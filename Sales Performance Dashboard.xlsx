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Rohan Sawant\OneDrive\Desktop\MichTohRohan\Excel for Data Analytics\practice\Dashboard and Charts\"/>
    </mc:Choice>
  </mc:AlternateContent>
  <xr:revisionPtr revIDLastSave="0" documentId="13_ncr:1_{CF3FB31F-A89F-4E16-8F26-B58C0DD5602B}" xr6:coauthVersionLast="47" xr6:coauthVersionMax="47" xr10:uidLastSave="{00000000-0000-0000-0000-000000000000}"/>
  <bookViews>
    <workbookView xWindow="-108" yWindow="-108" windowWidth="23256" windowHeight="12456" tabRatio="904" activeTab="7" xr2:uid="{00000000-000D-0000-FFFF-FFFF00000000}"/>
  </bookViews>
  <sheets>
    <sheet name="Data" sheetId="1" r:id="rId1"/>
    <sheet name="KPI" sheetId="9" r:id="rId2"/>
    <sheet name="Regional Performance" sheetId="2" r:id="rId3"/>
    <sheet name="Product Analysis" sheetId="3" r:id="rId4"/>
    <sheet name="Salesperson Ranking" sheetId="4" r:id="rId5"/>
    <sheet name="Monthly Sales Trend" sheetId="5" r:id="rId6"/>
    <sheet name="Customer Type Analysis" sheetId="6" r:id="rId7"/>
    <sheet name="Dashboard" sheetId="11" r:id="rId8"/>
  </sheets>
  <definedNames>
    <definedName name="_xlnm._FilterDatabase" localSheetId="0" hidden="1">Data!$A$1:$AA$1501</definedName>
    <definedName name="Slicer_Customer_Type">#N/A</definedName>
    <definedName name="Slicer_Order_Year">#N/A</definedName>
    <definedName name="Slicer_Product">#N/A</definedName>
    <definedName name="Slicer_Region">#N/A</definedName>
    <definedName name="Slicer_Store_Loc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 l="1"/>
  <c r="H4" i="9"/>
  <c r="G4" i="9"/>
  <c r="F4" i="9"/>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<sst xmlns="http://schemas.openxmlformats.org/spreadsheetml/2006/main" count="16589" uniqueCount="3090">
  <si>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</si>
  <si>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</si>
  <si>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</si>
  <si>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</si>
  <si>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</si>
  <si>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</si>
  <si>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</si>
  <si>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</si>
  <si>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</si>
  <si>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</si>
  <si>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</si>
  <si>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</si>
  <si>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</si>
  <si>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</si>
  <si>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</si>
  <si>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</si>
  <si>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</si>
  <si>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</si>
  <si>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</si>
  <si>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</si>
  <si>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</si>
  <si>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</si>
  <si>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</si>
  <si>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</si>
  <si>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</si>
  <si>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</si>
  <si>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</si>
  <si>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</si>
  <si>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</si>
  <si>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</si>
  <si>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</si>
  <si>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</si>
  <si>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nan</t>
  </si>
  <si>
    <t>Eric</t>
  </si>
  <si>
    <t>Sophie</t>
  </si>
  <si>
    <t>Ryan</t>
  </si>
  <si>
    <t>Cameron</t>
  </si>
  <si>
    <t>Wendy</t>
  </si>
  <si>
    <t>Feb</t>
  </si>
  <si>
    <t>Dec</t>
  </si>
  <si>
    <t>May</t>
  </si>
  <si>
    <t>Jun</t>
  </si>
  <si>
    <t>Jan</t>
  </si>
  <si>
    <t>Oct</t>
  </si>
  <si>
    <t>Mar</t>
  </si>
  <si>
    <t>Apr</t>
  </si>
  <si>
    <t>Jul</t>
  </si>
  <si>
    <t>Nov</t>
  </si>
  <si>
    <t>Aug</t>
  </si>
  <si>
    <t>Sep</t>
  </si>
  <si>
    <t>Date</t>
  </si>
  <si>
    <t>Region</t>
  </si>
  <si>
    <t>Product</t>
  </si>
  <si>
    <t>Quantity</t>
  </si>
  <si>
    <t>UnitPrice</t>
  </si>
  <si>
    <t>Discount</t>
  </si>
  <si>
    <t>Salesperson</t>
  </si>
  <si>
    <t>Promotion</t>
  </si>
  <si>
    <t>Returned</t>
  </si>
  <si>
    <t>Customer Type</t>
  </si>
  <si>
    <t>Store Location</t>
  </si>
  <si>
    <t>Total Price</t>
  </si>
  <si>
    <t>Payment Method</t>
  </si>
  <si>
    <t>Order ID</t>
  </si>
  <si>
    <t>Customer Name</t>
  </si>
  <si>
    <t>Shipping Cost</t>
  </si>
  <si>
    <t>Order Date</t>
  </si>
  <si>
    <t>Delivery Date</t>
  </si>
  <si>
    <t>Region Manager</t>
  </si>
  <si>
    <t>Order Day</t>
  </si>
  <si>
    <t>Order Month</t>
  </si>
  <si>
    <t>Order Month Name</t>
  </si>
  <si>
    <t>Order Year</t>
  </si>
  <si>
    <t>Order Quarter</t>
  </si>
  <si>
    <t>Order Week</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</si>
  <si>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</si>
  <si>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</si>
  <si>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</si>
  <si>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</si>
  <si>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</si>
  <si>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</si>
  <si>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</si>
  <si>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</si>
  <si>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</si>
  <si>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</si>
  <si>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</si>
  <si>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</si>
  <si>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</si>
  <si>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</si>
  <si>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</si>
  <si>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</si>
  <si>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</si>
  <si>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</si>
  <si>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</si>
  <si>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</si>
  <si>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</si>
  <si>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</si>
  <si>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</si>
  <si>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</si>
  <si>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</si>
  <si>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</si>
  <si>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</si>
  <si>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</si>
  <si>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</si>
  <si>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</si>
  <si>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</si>
  <si>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</si>
  <si>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</si>
  <si>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</si>
  <si>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</si>
  <si>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</si>
  <si>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</si>
  <si>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</si>
  <si>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</si>
  <si>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</si>
  <si>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</si>
  <si>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</si>
  <si>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</si>
  <si>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</si>
  <si>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</si>
  <si>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</si>
  <si>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</si>
  <si>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</si>
  <si>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</si>
  <si>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</si>
  <si>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</si>
  <si>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</si>
  <si>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</si>
  <si>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</si>
  <si>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</si>
  <si>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</si>
  <si>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</si>
  <si>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</si>
  <si>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</si>
  <si>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</si>
  <si>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</si>
  <si>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</si>
  <si>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</si>
  <si>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</si>
  <si>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</si>
  <si>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</si>
  <si>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</si>
  <si>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</si>
  <si>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</si>
  <si>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</si>
  <si>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</si>
  <si>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</si>
  <si>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</si>
  <si>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</si>
  <si>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</si>
  <si>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</si>
  <si>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</si>
  <si>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</si>
  <si>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</si>
  <si>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</si>
  <si>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</si>
  <si>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</si>
  <si>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</si>
  <si>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</si>
  <si>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</si>
  <si>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</si>
  <si>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</si>
  <si>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</si>
  <si>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</si>
  <si>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</si>
  <si>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</si>
  <si>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</si>
  <si>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</si>
  <si>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</si>
  <si>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</si>
  <si>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</si>
  <si>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</si>
  <si>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</si>
  <si>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</si>
  <si>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</si>
  <si>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</si>
  <si>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</si>
  <si>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</si>
  <si>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</si>
  <si>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</si>
  <si>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</si>
  <si>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</si>
  <si>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</si>
  <si>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</si>
  <si>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</si>
  <si>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</si>
  <si>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</si>
  <si>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</si>
  <si>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</si>
  <si>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</si>
  <si>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</si>
  <si>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</si>
  <si>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</si>
  <si>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</si>
  <si>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</si>
  <si>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</si>
  <si>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</si>
  <si>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</si>
  <si>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</si>
  <si>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</si>
  <si>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</si>
  <si>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</si>
  <si>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</si>
  <si>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</si>
  <si>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</si>
  <si>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</si>
  <si>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</si>
  <si>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</si>
  <si>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</si>
  <si>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</si>
  <si>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</si>
  <si>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</si>
  <si>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</si>
  <si>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</si>
  <si>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</si>
  <si>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</si>
  <si>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</si>
  <si>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</si>
  <si>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</si>
  <si>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</si>
  <si>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</si>
  <si>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</si>
  <si>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</si>
  <si>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</si>
  <si>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</si>
  <si>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</si>
  <si>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</si>
  <si>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</si>
  <si>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</si>
  <si>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</si>
  <si>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</si>
  <si>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</si>
  <si>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</si>
  <si>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</si>
  <si>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</si>
  <si>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</si>
  <si>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</si>
  <si>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</si>
  <si>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</si>
  <si>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</si>
  <si>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</si>
  <si>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</si>
  <si>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</si>
  <si>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</si>
  <si>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</si>
  <si>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</si>
  <si>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</si>
  <si>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</si>
  <si>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</si>
  <si>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</si>
  <si>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</si>
  <si>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</si>
  <si>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</si>
  <si>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</si>
  <si>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</si>
  <si>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</si>
  <si>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</si>
  <si>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</si>
  <si>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</si>
  <si>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</si>
  <si>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</si>
  <si>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</si>
  <si>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</si>
  <si>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</si>
  <si>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</si>
  <si>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</si>
  <si>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</si>
  <si>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</si>
  <si>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</si>
  <si>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</si>
  <si>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</si>
  <si>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</si>
  <si>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</si>
  <si>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</si>
  <si>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</si>
  <si>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</si>
  <si>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</si>
  <si>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</si>
  <si>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</si>
  <si>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</si>
  <si>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</si>
  <si>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</si>
  <si>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</si>
  <si>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</si>
  <si>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</si>
  <si>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</si>
  <si>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</si>
  <si>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</si>
  <si>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</si>
  <si>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</si>
  <si>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</si>
  <si>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</si>
  <si>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</si>
  <si>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</si>
  <si>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</si>
  <si>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</si>
  <si>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</si>
  <si>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</si>
  <si>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</si>
  <si>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</si>
  <si>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</si>
  <si>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</si>
  <si>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</si>
  <si>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</si>
  <si>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</si>
  <si>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</si>
  <si>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</si>
  <si>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</si>
  <si>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</si>
  <si>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</si>
  <si>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</si>
  <si>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</si>
  <si>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</si>
  <si>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</si>
  <si>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</si>
  <si>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</si>
  <si>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</si>
  <si>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</si>
  <si>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</si>
  <si>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</si>
  <si>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</si>
  <si>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</si>
  <si>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</si>
  <si>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</si>
  <si>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</si>
  <si>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</si>
  <si>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</si>
  <si>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</si>
  <si>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</si>
  <si>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</si>
  <si>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</si>
  <si>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</si>
  <si>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</si>
  <si>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</si>
  <si>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</si>
  <si>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</si>
  <si>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</si>
  <si>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</si>
  <si>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</si>
  <si>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</si>
  <si>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</si>
  <si>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</si>
  <si>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</si>
  <si>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</si>
  <si>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</si>
  <si>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</si>
  <si>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</si>
  <si>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</si>
  <si>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</si>
  <si>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</si>
  <si>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</si>
  <si>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</si>
  <si>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</si>
  <si>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</si>
  <si>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</si>
  <si>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</si>
  <si>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</si>
  <si>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</si>
  <si>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</si>
  <si>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</si>
  <si>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</si>
  <si>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</si>
  <si>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</si>
  <si>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</si>
  <si>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</si>
  <si>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</si>
  <si>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</si>
  <si>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</si>
  <si>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</si>
  <si>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</si>
  <si>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</si>
  <si>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</si>
  <si>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</si>
  <si>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</si>
  <si>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</si>
  <si>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</si>
  <si>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</si>
  <si>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</si>
  <si>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</si>
  <si>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</si>
  <si>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</si>
  <si>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</si>
  <si>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</si>
  <si>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</si>
  <si>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</si>
  <si>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</si>
  <si>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</si>
  <si>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</si>
  <si>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</si>
  <si>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</si>
  <si>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</si>
  <si>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</si>
  <si>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</si>
  <si>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</si>
  <si>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</si>
  <si>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</si>
  <si>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</si>
  <si>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</si>
  <si>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</si>
  <si>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</si>
  <si>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</si>
  <si>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</si>
  <si>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</si>
  <si>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</si>
  <si>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</si>
  <si>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</si>
  <si>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</si>
  <si>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</si>
  <si>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</si>
  <si>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</si>
  <si>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</si>
  <si>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</si>
  <si>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</si>
  <si>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</si>
  <si>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</si>
  <si>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</si>
  <si>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</si>
  <si>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</si>
  <si>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</si>
  <si>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</si>
  <si>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</si>
  <si>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</si>
  <si>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</si>
  <si>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</si>
  <si>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</si>
  <si>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</si>
  <si>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</si>
  <si>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</si>
  <si>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</si>
  <si>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</si>
  <si>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</si>
  <si>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</si>
  <si>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</si>
  <si>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</si>
  <si>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</si>
  <si>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</si>
  <si>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</si>
  <si>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</si>
  <si>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</si>
  <si>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</si>
  <si>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</si>
  <si>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</si>
  <si>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</si>
  <si>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</si>
  <si>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</si>
  <si>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</si>
  <si>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</si>
  <si>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</si>
  <si>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</si>
  <si>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</si>
  <si>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</si>
  <si>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</si>
  <si>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</si>
  <si>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</si>
  <si>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</si>
  <si>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</si>
  <si>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</si>
  <si>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</si>
  <si>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</si>
  <si>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</si>
  <si>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</si>
  <si>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</si>
  <si>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</si>
  <si>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</si>
  <si>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</si>
  <si>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</si>
  <si>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</si>
  <si>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</si>
  <si>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</si>
  <si>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</si>
  <si>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</si>
  <si>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</si>
  <si>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</si>
  <si>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</si>
  <si>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</si>
  <si>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</si>
  <si>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</si>
  <si>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</si>
  <si>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</si>
  <si>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</si>
  <si>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</si>
  <si>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</si>
  <si>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</si>
  <si>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</si>
  <si>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</si>
  <si>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</si>
  <si>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</si>
  <si>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</si>
  <si>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</si>
  <si>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</si>
  <si>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</si>
  <si>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</si>
  <si>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</si>
  <si>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</si>
  <si>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</si>
  <si>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</si>
  <si>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</si>
  <si>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</si>
  <si>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</si>
  <si>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</si>
  <si>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</si>
  <si>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</si>
  <si>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</si>
  <si>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</si>
  <si>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</si>
  <si>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</si>
  <si>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</si>
  <si>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</si>
  <si>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</si>
  <si>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</si>
  <si>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</si>
  <si>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</si>
  <si>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</si>
  <si>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</si>
  <si>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</si>
  <si>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</si>
  <si>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</si>
  <si>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</si>
  <si>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</si>
  <si>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</si>
  <si>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</si>
  <si>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</si>
  <si>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</si>
  <si>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</si>
  <si>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</si>
  <si>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</si>
  <si>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</si>
  <si>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</si>
  <si>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</si>
  <si>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</si>
  <si>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</si>
  <si>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</si>
  <si>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</si>
  <si>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</si>
  <si>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</si>
  <si>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</si>
  <si>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</si>
  <si>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</si>
  <si>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</si>
  <si>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</si>
  <si>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</si>
  <si>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</si>
  <si>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</si>
  <si>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</si>
  <si>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</si>
  <si>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</si>
  <si>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</si>
  <si>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</si>
  <si>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</si>
  <si>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</si>
  <si>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</si>
  <si>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</si>
  <si>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</si>
  <si>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</si>
  <si>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</si>
  <si>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</si>
  <si>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</si>
  <si>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</si>
  <si>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</si>
  <si>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</si>
  <si>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</si>
  <si>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</si>
  <si>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</si>
  <si>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</si>
  <si>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</si>
  <si>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</si>
  <si>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</si>
  <si>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</si>
  <si>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</si>
  <si>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</si>
  <si>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</si>
  <si>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</si>
  <si>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</si>
  <si>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</si>
  <si>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</si>
  <si>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</si>
  <si>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</si>
  <si>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</si>
  <si>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</si>
  <si>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</si>
  <si>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</si>
  <si>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</si>
  <si>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</si>
  <si>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</si>
  <si>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</si>
  <si>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</si>
  <si>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</si>
  <si>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</si>
  <si>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</si>
  <si>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</si>
  <si>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</si>
  <si>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</si>
  <si>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</si>
  <si>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</si>
  <si>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</si>
  <si>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</si>
  <si>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</si>
  <si>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</si>
  <si>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</si>
  <si>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</si>
  <si>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</si>
  <si>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</si>
  <si>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</si>
  <si>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</si>
  <si>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</si>
  <si>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</si>
  <si>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</si>
  <si>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</si>
  <si>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</si>
  <si>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</si>
  <si>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</si>
  <si>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</si>
  <si>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</si>
  <si>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</si>
  <si>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</si>
  <si>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</si>
  <si>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</si>
  <si>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</si>
  <si>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</si>
  <si>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</si>
  <si>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</si>
  <si>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</si>
  <si>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</si>
  <si>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</si>
  <si>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</si>
  <si>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</si>
  <si>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</si>
  <si>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</si>
  <si>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</si>
  <si>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</si>
  <si>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</si>
  <si>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</si>
  <si>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</si>
  <si>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</si>
  <si>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</si>
  <si>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</si>
  <si>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</si>
  <si>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</si>
  <si>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</si>
  <si>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</si>
  <si>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</si>
  <si>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</si>
  <si>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</si>
  <si>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</si>
  <si>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</si>
  <si>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</si>
  <si>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</si>
  <si>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</si>
  <si>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</si>
  <si>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</si>
  <si>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</si>
  <si>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</si>
  <si>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</si>
  <si>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</si>
  <si>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</si>
  <si>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</si>
  <si>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</si>
  <si>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</si>
  <si>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</si>
  <si>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</si>
  <si>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</si>
  <si>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</si>
  <si>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</si>
  <si>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</si>
  <si>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</si>
  <si>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</si>
  <si>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</si>
  <si>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</si>
  <si>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</si>
  <si>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</si>
  <si>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</si>
  <si>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</si>
  <si>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</si>
  <si>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</si>
  <si>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</si>
  <si>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</si>
  <si>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</si>
  <si>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</si>
  <si>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</si>
  <si>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</si>
  <si>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</si>
  <si>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</si>
  <si>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</si>
  <si>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</si>
  <si>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</si>
  <si>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</si>
  <si>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</si>
  <si>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</si>
  <si>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</si>
  <si>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</si>
  <si>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</si>
  <si>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</si>
  <si>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</si>
  <si>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</si>
  <si>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</si>
  <si>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</si>
  <si>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</si>
  <si>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</si>
  <si>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</si>
  <si>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</si>
  <si>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</si>
  <si>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</si>
  <si>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</si>
  <si>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</si>
  <si>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</si>
  <si>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</si>
  <si>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</si>
  <si>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</si>
  <si>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</si>
  <si>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</si>
  <si>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</si>
  <si>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</si>
  <si>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</si>
  <si>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</si>
  <si>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</si>
  <si>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</si>
  <si>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</si>
  <si>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</si>
  <si>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</si>
  <si>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</si>
  <si>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</si>
  <si>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</si>
  <si>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</si>
  <si>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</si>
  <si>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</si>
  <si>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</si>
  <si>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</si>
  <si>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</si>
  <si>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</si>
  <si>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</si>
  <si>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</si>
  <si>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</si>
  <si>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</si>
  <si>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</si>
  <si>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</si>
  <si>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</si>
  <si>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</si>
  <si>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</si>
  <si>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</si>
  <si>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</si>
  <si>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</si>
  <si>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</si>
  <si>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</si>
  <si>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</si>
  <si>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</si>
  <si>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</si>
  <si>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</si>
  <si>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</si>
  <si>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</si>
  <si>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</si>
  <si>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</si>
  <si>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</si>
  <si>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</si>
  <si>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</si>
  <si>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</si>
  <si>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</si>
  <si>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</si>
  <si>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</si>
  <si>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</si>
  <si>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</si>
  <si>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</si>
  <si>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</si>
  <si>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</si>
  <si>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</si>
  <si>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</si>
  <si>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</si>
  <si>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</si>
  <si>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</si>
  <si>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</si>
  <si>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</si>
  <si>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</si>
  <si>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</si>
  <si>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</si>
  <si>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</si>
  <si>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</si>
  <si>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</si>
  <si>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</si>
  <si>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</si>
  <si>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</si>
  <si>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</si>
  <si>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</si>
  <si>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</si>
  <si>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</si>
  <si>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</si>
  <si>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</si>
  <si>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</si>
  <si>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</si>
  <si>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</si>
  <si>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</si>
  <si>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</si>
  <si>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</si>
  <si>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</si>
  <si>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</si>
  <si>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</si>
  <si>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</si>
  <si>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</si>
  <si>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</si>
  <si>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</si>
  <si>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</si>
  <si>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</si>
  <si>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</si>
  <si>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</si>
  <si>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</si>
  <si>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</si>
  <si>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</si>
  <si>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</si>
  <si>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</si>
  <si>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</si>
  <si>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</si>
  <si>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</si>
  <si>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</si>
  <si>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</si>
  <si>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</si>
  <si>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</si>
  <si>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</si>
  <si>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</si>
  <si>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</si>
  <si>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</si>
  <si>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</si>
  <si>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</si>
  <si>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</si>
  <si>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</si>
  <si>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</si>
  <si>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</si>
  <si>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</si>
  <si>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</si>
  <si>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</si>
  <si>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</si>
  <si>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</si>
  <si>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</si>
  <si>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</si>
  <si>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</si>
  <si>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</si>
  <si>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</si>
  <si>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</si>
  <si>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</si>
  <si>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</si>
  <si>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</si>
  <si>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</si>
  <si>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</si>
  <si>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</si>
  <si>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</si>
  <si>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</si>
  <si>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</si>
  <si>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</si>
  <si>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</si>
  <si>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</si>
  <si>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</si>
  <si>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</si>
  <si>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</si>
  <si>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</si>
  <si>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</si>
  <si>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</si>
  <si>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</si>
  <si>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</si>
  <si>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</si>
  <si>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</si>
  <si>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</si>
  <si>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</si>
  <si>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</si>
  <si>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</si>
  <si>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</si>
  <si>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</si>
  <si>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</si>
  <si>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</si>
  <si>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</si>
  <si>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</si>
  <si>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</si>
  <si>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</si>
  <si>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</si>
  <si>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</si>
  <si>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</si>
  <si>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</si>
  <si>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</si>
  <si>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</si>
  <si>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</si>
  <si>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</si>
  <si>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</si>
  <si>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</si>
  <si>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</si>
  <si>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</si>
  <si>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</si>
  <si>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</si>
  <si>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</si>
  <si>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</si>
  <si>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</si>
  <si>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</si>
  <si>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</si>
  <si>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</si>
  <si>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</si>
  <si>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</si>
  <si>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</si>
  <si>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</si>
  <si>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</si>
  <si>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</si>
  <si>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</si>
  <si>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</si>
  <si>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</si>
  <si>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</si>
  <si>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</si>
  <si>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</si>
  <si>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</si>
  <si>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</si>
  <si>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</si>
  <si>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</si>
  <si>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</si>
  <si>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</si>
  <si>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</si>
  <si>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</si>
  <si>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</si>
  <si>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</si>
  <si>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</si>
  <si>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</si>
  <si>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</si>
  <si>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</si>
  <si>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</si>
  <si>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</si>
  <si>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</si>
  <si>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</si>
  <si>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</si>
  <si>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</si>
  <si>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</si>
  <si>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</si>
  <si>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</si>
  <si>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</si>
  <si>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</si>
  <si>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</si>
  <si>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</si>
  <si>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</si>
  <si>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</si>
  <si>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</si>
  <si>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</si>
  <si>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</si>
  <si>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</si>
  <si>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</si>
  <si>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</si>
  <si>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</si>
  <si>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</si>
  <si>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</si>
  <si>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</si>
  <si>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</si>
  <si>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</si>
  <si>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</si>
  <si>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</si>
  <si>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</si>
  <si>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</si>
  <si>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</si>
  <si>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</si>
  <si>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</si>
  <si>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</si>
  <si>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</si>
  <si>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</si>
  <si>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</si>
  <si>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</si>
  <si>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</si>
  <si>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</si>
  <si>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</si>
  <si>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</si>
  <si>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</si>
  <si>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</si>
  <si>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</si>
  <si>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</si>
  <si>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</si>
  <si>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</si>
  <si>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</si>
  <si>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</si>
  <si>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</si>
  <si>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</si>
  <si>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</si>
  <si>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</si>
  <si>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</si>
  <si>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</si>
  <si>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</si>
  <si>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</si>
  <si>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</si>
  <si>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</si>
  <si>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</si>
  <si>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</si>
  <si>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</si>
  <si>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</si>
  <si>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</si>
  <si>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</si>
  <si>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</si>
  <si>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</si>
  <si>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</si>
  <si>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</si>
  <si>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</si>
  <si>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</si>
  <si>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</si>
  <si>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</si>
  <si>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</si>
  <si>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</si>
  <si>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</si>
  <si>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</si>
  <si>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</si>
  <si>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</si>
  <si>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</si>
  <si>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</si>
  <si>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</si>
  <si>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</si>
  <si>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</si>
  <si>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</si>
  <si>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</si>
  <si>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</si>
  <si>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</si>
  <si>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</si>
  <si>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</si>
  <si>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</si>
  <si>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</si>
  <si>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</si>
  <si>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</si>
  <si>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</si>
  <si>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</si>
  <si>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</si>
  <si>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</si>
  <si>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</si>
  <si>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</si>
  <si>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</si>
  <si>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</si>
  <si>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</si>
  <si>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</si>
  <si>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</si>
  <si>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</si>
  <si>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</si>
  <si>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</si>
  <si>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</si>
  <si>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</si>
  <si>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</si>
  <si>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</si>
  <si>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</si>
  <si>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</si>
  <si>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</si>
  <si>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</si>
  <si>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</si>
  <si>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</si>
  <si>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</si>
  <si>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</si>
  <si>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</si>
  <si>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</si>
  <si>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</si>
  <si>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</si>
  <si>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</si>
  <si>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</si>
  <si>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</si>
  <si>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</si>
  <si>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</si>
  <si>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</si>
  <si>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</si>
  <si>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</si>
  <si>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</si>
  <si>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</si>
  <si>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</si>
  <si>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</si>
  <si>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</si>
  <si>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</si>
  <si>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</si>
  <si>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</si>
  <si>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</si>
  <si>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</si>
  <si>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</si>
  <si>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</si>
  <si>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</si>
  <si>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</si>
  <si>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</si>
  <si>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</si>
  <si>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</si>
  <si>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</si>
  <si>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</si>
  <si>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</si>
  <si>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</si>
  <si>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</si>
  <si>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</si>
  <si>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</si>
  <si>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</si>
  <si>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</si>
  <si>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</si>
  <si>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</si>
  <si>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</si>
  <si>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</si>
  <si>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</si>
  <si>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</si>
  <si>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</si>
  <si>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</si>
  <si>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</si>
  <si>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</si>
  <si>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</si>
  <si>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</si>
  <si>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</si>
  <si>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</si>
  <si>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</si>
  <si>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</si>
  <si>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</si>
  <si>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</si>
  <si>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</si>
  <si>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</si>
  <si>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</si>
  <si>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</si>
  <si>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</si>
  <si>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</si>
  <si>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</si>
  <si>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</si>
  <si>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</si>
  <si>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</si>
  <si>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</si>
  <si>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</si>
  <si>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</si>
  <si>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</si>
  <si>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</si>
  <si>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</si>
  <si>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</si>
  <si>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</si>
  <si>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</si>
  <si>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</si>
  <si>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</si>
  <si>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</si>
  <si>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</si>
  <si>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</si>
  <si>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</si>
  <si>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</si>
  <si>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</si>
  <si>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</si>
  <si>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</si>
  <si>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</si>
  <si>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</si>
  <si>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</si>
  <si>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</si>
  <si>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</si>
  <si>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</si>
  <si>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</si>
  <si>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</si>
  <si>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</si>
  <si>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</si>
  <si>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</si>
  <si>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</si>
  <si>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</si>
  <si>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</si>
  <si>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</si>
  <si>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</si>
  <si>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</si>
  <si>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</si>
  <si>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</si>
  <si>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</si>
  <si>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</si>
  <si>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</si>
  <si>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</si>
  <si>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</si>
  <si>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</si>
  <si>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</si>
  <si>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</si>
  <si>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</si>
  <si>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</si>
  <si>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</si>
  <si>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</si>
  <si>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</si>
  <si>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</si>
  <si>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</si>
  <si>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</si>
  <si>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</si>
  <si>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</si>
  <si>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</si>
  <si>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</si>
  <si>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</si>
  <si>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</si>
  <si>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</si>
  <si>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</si>
  <si>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</si>
  <si>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</si>
  <si>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</si>
  <si>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</si>
  <si>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</si>
  <si>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</si>
  <si>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</si>
  <si>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</si>
  <si>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</si>
  <si>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</si>
  <si>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</si>
  <si>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</si>
  <si>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</si>
  <si>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</si>
  <si>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</si>
  <si>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</si>
  <si>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</si>
  <si>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</si>
  <si>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</si>
  <si>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</si>
  <si>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</si>
  <si>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</si>
  <si>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</si>
  <si>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</si>
  <si>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</si>
  <si>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</si>
  <si>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</si>
  <si>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</si>
  <si>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</si>
  <si>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</si>
  <si>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</si>
  <si>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</si>
  <si>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</si>
  <si>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</si>
  <si>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</si>
  <si>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</si>
  <si>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</si>
  <si>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</si>
  <si>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</si>
  <si>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</si>
  <si>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</si>
  <si>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</si>
  <si>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</si>
  <si>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</si>
  <si>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</si>
  <si>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</si>
  <si>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</si>
  <si>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</si>
  <si>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</si>
  <si>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</si>
  <si>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</si>
  <si>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</si>
  <si>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</si>
  <si>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</si>
  <si>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</si>
  <si>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</si>
  <si>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</si>
  <si>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</si>
  <si>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</si>
  <si>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</si>
  <si>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</si>
  <si>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</si>
  <si>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</si>
  <si>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</si>
  <si>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</si>
  <si>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</si>
  <si>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</si>
  <si>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</si>
  <si>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</si>
  <si>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</si>
  <si>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</si>
  <si>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</si>
  <si>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</si>
  <si>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</si>
  <si>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</si>
  <si>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</si>
  <si>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</si>
  <si>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</si>
  <si>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</si>
  <si>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</si>
  <si>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</si>
  <si>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</si>
  <si>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</si>
  <si>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</si>
  <si>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</si>
  <si>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</si>
  <si>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</si>
  <si>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</si>
  <si>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</si>
  <si>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</si>
  <si>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</si>
  <si>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</si>
  <si>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</si>
  <si>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</si>
  <si>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</si>
  <si>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</si>
  <si>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</si>
  <si>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</si>
  <si>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</si>
  <si>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</si>
  <si>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</si>
  <si>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</si>
  <si>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</si>
  <si>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</si>
  <si>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</si>
  <si>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</si>
  <si>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</si>
  <si>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</si>
  <si>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</si>
  <si>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</si>
  <si>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</si>
  <si>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</si>
  <si>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</si>
  <si>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</si>
  <si>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</si>
  <si>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</si>
  <si>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</si>
  <si>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</si>
  <si>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</si>
  <si>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</si>
  <si>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</si>
  <si>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</si>
  <si>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</si>
  <si>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</si>
  <si>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</si>
  <si>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</si>
  <si>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</si>
  <si>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</si>
  <si>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</si>
  <si>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</si>
  <si>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</si>
  <si>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</si>
  <si>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</si>
  <si>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</si>
  <si>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</si>
  <si>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</si>
  <si>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</si>
  <si>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</si>
  <si>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</si>
  <si>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</si>
  <si>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</si>
  <si>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</si>
  <si>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</si>
  <si>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</si>
  <si>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</si>
  <si>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</si>
  <si>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</si>
  <si>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</si>
  <si>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</si>
  <si>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</si>
  <si>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</si>
  <si>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</si>
  <si>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</si>
  <si>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</si>
  <si>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</si>
  <si>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</si>
  <si>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</si>
  <si>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</si>
  <si>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</si>
  <si>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</si>
  <si>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</si>
  <si>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</si>
  <si>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</si>
  <si>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</si>
  <si>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</si>
  <si>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</si>
  <si>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</si>
  <si>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</si>
  <si>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</si>
  <si>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</si>
  <si>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</si>
  <si>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</si>
  <si>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</si>
  <si>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</si>
  <si>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</si>
  <si>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</si>
  <si>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</si>
  <si>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</si>
  <si>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</si>
  <si>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</si>
  <si>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</si>
  <si>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</si>
  <si>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</si>
  <si>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</si>
  <si>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</si>
  <si>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</si>
  <si>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</si>
  <si>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</si>
  <si>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</si>
  <si>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</si>
  <si>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</si>
  <si>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</si>
  <si>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</si>
  <si>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</si>
  <si>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</si>
  <si>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</si>
  <si>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</si>
  <si>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</si>
  <si>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</si>
  <si>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</si>
  <si>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</si>
  <si>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</si>
  <si>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</si>
  <si>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</si>
  <si>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</si>
  <si>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</si>
  <si>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</si>
  <si>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</si>
  <si>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</si>
  <si>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</si>
  <si>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</si>
  <si>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</si>
  <si>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</si>
  <si>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</si>
  <si>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</si>
  <si>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</si>
  <si>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</si>
  <si>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</si>
  <si>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</si>
  <si>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</si>
  <si>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</si>
  <si>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</si>
  <si>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</si>
  <si>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</si>
  <si>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</si>
  <si>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</si>
  <si>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</si>
  <si>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</si>
  <si>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</si>
  <si>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</si>
  <si>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</si>
  <si>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</si>
  <si>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</si>
  <si>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</si>
  <si>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</si>
  <si>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</si>
  <si>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</si>
  <si>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</si>
  <si>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</si>
  <si>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</si>
  <si>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</si>
  <si>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</si>
  <si>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</si>
  <si>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</si>
  <si>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</si>
  <si>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</si>
  <si>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</si>
  <si>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</si>
  <si>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</si>
  <si>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</si>
  <si>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</si>
  <si>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</si>
  <si>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</si>
  <si>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</si>
  <si>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</si>
  <si>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</si>
  <si>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</si>
  <si>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</si>
  <si>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</si>
  <si>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</si>
  <si>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</si>
  <si>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</si>
  <si>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</si>
  <si>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</si>
  <si>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</si>
  <si>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</si>
  <si>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</si>
  <si>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</si>
  <si>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</si>
  <si>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</si>
  <si>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</si>
  <si>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</si>
  <si>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</si>
  <si>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</si>
  <si>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</si>
  <si>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</si>
  <si>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</si>
  <si>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</si>
  <si>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</si>
  <si>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</si>
  <si>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</si>
  <si>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</si>
  <si>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</si>
  <si>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</si>
  <si>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</si>
  <si>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</si>
  <si>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</si>
  <si>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</si>
  <si>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</si>
  <si>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</si>
  <si>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</si>
  <si>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</si>
  <si>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</si>
  <si>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</si>
  <si>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</si>
  <si>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</si>
  <si>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</si>
  <si>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</si>
  <si>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</si>
  <si>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</si>
  <si>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</si>
  <si>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</si>
  <si>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</si>
  <si>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</si>
  <si>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</si>
  <si>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</si>
  <si>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</si>
  <si>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</si>
  <si>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</si>
  <si>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</si>
  <si>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</si>
  <si>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</si>
  <si>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</si>
  <si>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</si>
  <si>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</si>
  <si>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</si>
  <si>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</si>
  <si>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</si>
  <si>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</si>
  <si>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</si>
  <si>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</si>
  <si>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</si>
  <si>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</si>
  <si>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</si>
  <si>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</si>
  <si>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</si>
  <si>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</si>
  <si>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</si>
  <si>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</si>
  <si>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</si>
  <si>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</si>
  <si>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</si>
  <si>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</si>
  <si>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</si>
  <si>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</si>
  <si>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</si>
  <si>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</si>
  <si>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</si>
  <si>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</si>
  <si>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</si>
  <si>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</si>
  <si>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</si>
  <si>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</si>
  <si>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</si>
  <si>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</si>
  <si>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</si>
  <si>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</si>
  <si>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</si>
  <si>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</si>
  <si>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</si>
  <si>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</si>
  <si>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</si>
  <si>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</si>
  <si>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</si>
  <si>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</si>
  <si>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</si>
  <si>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</si>
  <si>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</si>
  <si>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</si>
  <si>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</si>
  <si>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</si>
  <si>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</si>
  <si>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</si>
  <si>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</si>
  <si>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</si>
  <si>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</si>
  <si>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</si>
  <si>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</si>
  <si>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</si>
  <si>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</si>
  <si>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</si>
  <si>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</si>
  <si>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</si>
  <si>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</si>
  <si>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</si>
  <si>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</si>
  <si>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</si>
  <si>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</si>
  <si>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</si>
  <si>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</si>
  <si>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</si>
  <si>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</si>
  <si>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</si>
  <si>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</si>
  <si>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</si>
  <si>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</si>
  <si>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</si>
  <si>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</si>
  <si>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</si>
  <si>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</si>
  <si>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</si>
  <si>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</si>
  <si>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</si>
  <si>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</si>
  <si>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</si>
  <si>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</si>
  <si>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</si>
  <si>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</si>
  <si>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</si>
  <si>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</si>
  <si>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</si>
  <si>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</si>
  <si>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</si>
  <si>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</si>
  <si>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</si>
  <si>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</si>
  <si>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</si>
  <si>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</si>
  <si>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</si>
  <si>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</si>
  <si>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Pooja Mehta</t>
  </si>
  <si>
    <t>Sanya Banerjee</t>
  </si>
  <si>
    <t>Devansh Shah</t>
  </si>
  <si>
    <t>Kavya Hussain</t>
  </si>
  <si>
    <t>Ananya Fernandes</t>
  </si>
  <si>
    <t>Sai Mehta</t>
  </si>
  <si>
    <t>Ananya Khanna</t>
  </si>
  <si>
    <t>Nikhil Pathan</t>
  </si>
  <si>
    <t>Sana Mehta</t>
  </si>
  <si>
    <t>Noor Das</t>
  </si>
  <si>
    <t>Mohit Pai</t>
  </si>
  <si>
    <t>Devansh George</t>
  </si>
  <si>
    <t>Zoya Sen</t>
  </si>
  <si>
    <t>Aarav Sinha</t>
  </si>
  <si>
    <t>Raina Bhargava</t>
  </si>
  <si>
    <t>Sanya Kaur</t>
  </si>
  <si>
    <t>Tanishq Bhargava</t>
  </si>
  <si>
    <t>Kavya Iyer</t>
  </si>
  <si>
    <t>Laksh Reddy</t>
  </si>
  <si>
    <t>Om Chaudhary</t>
  </si>
  <si>
    <t>Sana Ghosh</t>
  </si>
  <si>
    <t>Rohan Joseph</t>
  </si>
  <si>
    <t>Kunal Jain</t>
  </si>
  <si>
    <t>Laksh Desai</t>
  </si>
  <si>
    <t>Fatima Tripathi</t>
  </si>
  <si>
    <t>Rukhsar Thakur</t>
  </si>
  <si>
    <t>Sara Pillai</t>
  </si>
  <si>
    <t>Neel Gupta</t>
  </si>
  <si>
    <t>Nikhil Tripathi</t>
  </si>
  <si>
    <t>Priya Mishra</t>
  </si>
  <si>
    <t>Sneha Dubey</t>
  </si>
  <si>
    <t>Sanya Joseph</t>
  </si>
  <si>
    <t>Parth Sinha</t>
  </si>
  <si>
    <t>Ved Solanki</t>
  </si>
  <si>
    <t>Varun Dutta</t>
  </si>
  <si>
    <t>Yash Vora</t>
  </si>
  <si>
    <t>Kunal Banerjee</t>
  </si>
  <si>
    <t>Aman Mathew</t>
  </si>
  <si>
    <t>Laksh Dutta</t>
  </si>
  <si>
    <t>Noor Agarwal</t>
  </si>
  <si>
    <t>Ishaan Nair</t>
  </si>
  <si>
    <t>Nikhil Verma</t>
  </si>
  <si>
    <t>Kabir Hegde</t>
  </si>
  <si>
    <t>Neha Joshi</t>
  </si>
  <si>
    <t>Tanishq Chopra</t>
  </si>
  <si>
    <t>Tanishq Shaikh</t>
  </si>
  <si>
    <t>Zara Joseph</t>
  </si>
  <si>
    <t>Riya Ghosh</t>
  </si>
  <si>
    <t>Meera Banerjee</t>
  </si>
  <si>
    <t>Noor Malik</t>
  </si>
  <si>
    <t>Tanvi Fernandes</t>
  </si>
  <si>
    <t>Hina Hegde</t>
  </si>
  <si>
    <t>Parth Agarwal</t>
  </si>
  <si>
    <t>Meera Syed</t>
  </si>
  <si>
    <t>Pranav Iyer</t>
  </si>
  <si>
    <t>Karan Bhatia</t>
  </si>
  <si>
    <t>Simran Sinha</t>
  </si>
  <si>
    <t>Raina Joshi</t>
  </si>
  <si>
    <t>Atharv Dubey</t>
  </si>
  <si>
    <t>Aaliyah Mathew</t>
  </si>
  <si>
    <t>Ashwin Mukherjee</t>
  </si>
  <si>
    <t>Fatima Patel</t>
  </si>
  <si>
    <t>Pooja Malik</t>
  </si>
  <si>
    <t>Neha Bhargava</t>
  </si>
  <si>
    <t>Pooja Tripathi</t>
  </si>
  <si>
    <t>Ira Sinha</t>
  </si>
  <si>
    <t>Bhavna Sharma</t>
  </si>
  <si>
    <t>Tanvi Pathan</t>
  </si>
  <si>
    <t>Raj Pathan</t>
  </si>
  <si>
    <t>Kavya Tiwari</t>
  </si>
  <si>
    <t>Siddharth Das</t>
  </si>
  <si>
    <t>Simran Rawat</t>
  </si>
  <si>
    <t>Aman Hussain</t>
  </si>
  <si>
    <t>Ashwin Sharma</t>
  </si>
  <si>
    <t>Aaliyah Saxena</t>
  </si>
  <si>
    <t>Gaurav Singh</t>
  </si>
  <si>
    <t>Pooja Thakur</t>
  </si>
  <si>
    <t>Manya Bose</t>
  </si>
  <si>
    <t>Rahul Bose</t>
  </si>
  <si>
    <t>Alina Desai</t>
  </si>
  <si>
    <t>Priya Khan</t>
  </si>
  <si>
    <t>Neel Malik</t>
  </si>
  <si>
    <t>Nisha Kulkarni</t>
  </si>
  <si>
    <t>Akash Vora</t>
  </si>
  <si>
    <t>Tanvi Mirza</t>
  </si>
  <si>
    <t>Sana Fernandes</t>
  </si>
  <si>
    <t>Tanishq Hussain</t>
  </si>
  <si>
    <t>Suresh Pandey</t>
  </si>
  <si>
    <t>Myra Rawat</t>
  </si>
  <si>
    <t>Trisha Farooqui</t>
  </si>
  <si>
    <t>Mitali Jain</t>
  </si>
  <si>
    <t>Diya Agarwal</t>
  </si>
  <si>
    <t>Neel Bhargava</t>
  </si>
  <si>
    <t>Aditya Mishra</t>
  </si>
  <si>
    <t>Zoya Agarwal</t>
  </si>
  <si>
    <t>Aarav Malhotra</t>
  </si>
  <si>
    <t>Rahul Mishra</t>
  </si>
  <si>
    <t>Neel Verma</t>
  </si>
  <si>
    <t>Aryan Malhotra</t>
  </si>
  <si>
    <t>Vikram Bose</t>
  </si>
  <si>
    <t>Sanya Khan</t>
  </si>
  <si>
    <t>Sara Ansari</t>
  </si>
  <si>
    <t>Diya Ansari</t>
  </si>
  <si>
    <t>Kiara Pillai</t>
  </si>
  <si>
    <t>Sneha Reddy</t>
  </si>
  <si>
    <t>Ira Solanki</t>
  </si>
  <si>
    <t>Raina Shetty</t>
  </si>
  <si>
    <t>Charu Kapoor</t>
  </si>
  <si>
    <t>Sneha Nair</t>
  </si>
  <si>
    <t>Myra Bhargava</t>
  </si>
  <si>
    <t>Kavya Banerjee</t>
  </si>
  <si>
    <t>Manish Pillai</t>
  </si>
  <si>
    <t>Kunal George</t>
  </si>
  <si>
    <t>Meera Fernandes</t>
  </si>
  <si>
    <t>Deepak Sen</t>
  </si>
  <si>
    <t>Charu Banerjee</t>
  </si>
  <si>
    <t>Yash Thomas</t>
  </si>
  <si>
    <t>Fatima Reddy</t>
  </si>
  <si>
    <t>Karan Hussain</t>
  </si>
  <si>
    <t>Vivaan Iyer</t>
  </si>
  <si>
    <t>Aisha Vora</t>
  </si>
  <si>
    <t>Kiara Khan</t>
  </si>
  <si>
    <t>Abhishek Khanna</t>
  </si>
  <si>
    <t>Myra Nair</t>
  </si>
  <si>
    <t>Harsh Dubey</t>
  </si>
  <si>
    <t>Aarav Srivastava</t>
  </si>
  <si>
    <t>Tanvi Joseph</t>
  </si>
  <si>
    <t>Ritika Fernandes</t>
  </si>
  <si>
    <t>Noor Khan</t>
  </si>
  <si>
    <t>Simran Pillai</t>
  </si>
  <si>
    <t>Aditi Khanna</t>
  </si>
  <si>
    <t>Rahul Hussain</t>
  </si>
  <si>
    <t>Rahul Chopra</t>
  </si>
  <si>
    <t>Rahul Kapoor</t>
  </si>
  <si>
    <t>Hina Qureshi</t>
  </si>
  <si>
    <t>Siddharth Mirza</t>
  </si>
  <si>
    <t>Aman Nair</t>
  </si>
  <si>
    <t>Vikram Desai</t>
  </si>
  <si>
    <t>Deepak Joshi</t>
  </si>
  <si>
    <t>Aaliyah Joshi</t>
  </si>
  <si>
    <t>Aisha Hegde</t>
  </si>
  <si>
    <t>Isha Banerjee</t>
  </si>
  <si>
    <t>Hina Gupta</t>
  </si>
  <si>
    <t>Rukhsar Desai</t>
  </si>
  <si>
    <t>Avni Farooqui</t>
  </si>
  <si>
    <t>Kabir Ghosh</t>
  </si>
  <si>
    <t>Varun Chopra</t>
  </si>
  <si>
    <t>Aisha Ghosh</t>
  </si>
  <si>
    <t>Zara Kulkarni</t>
  </si>
  <si>
    <t>Palak Joseph</t>
  </si>
  <si>
    <t>Kabir Malhotra</t>
  </si>
  <si>
    <t>Vivaan Joseph</t>
  </si>
  <si>
    <t>Rukhsar Reddy</t>
  </si>
  <si>
    <t>Yash Malik</t>
  </si>
  <si>
    <t>Tanishq Pathan</t>
  </si>
  <si>
    <t>Tanvi Kulkarni</t>
  </si>
  <si>
    <t>Krish Joshi</t>
  </si>
  <si>
    <t>Diya Rawat</t>
  </si>
  <si>
    <t>Ritika Sinha</t>
  </si>
  <si>
    <t>Trisha Hussain</t>
  </si>
  <si>
    <t>Palak Mirza</t>
  </si>
  <si>
    <t>Vivaan Tiwari</t>
  </si>
  <si>
    <t>Kavya Shah</t>
  </si>
  <si>
    <t>Tanvi Bhatia</t>
  </si>
  <si>
    <t>Kavya Kaur</t>
  </si>
  <si>
    <t>Neha Roy</t>
  </si>
  <si>
    <t>Sana Arora</t>
  </si>
  <si>
    <t>Dhruv Arora</t>
  </si>
  <si>
    <t>Karan Iyer</t>
  </si>
  <si>
    <t>Raina Sen</t>
  </si>
  <si>
    <t>Rohan Sharma</t>
  </si>
  <si>
    <t>Aryan Kulkarni</t>
  </si>
  <si>
    <t>Tanvi Sinha</t>
  </si>
  <si>
    <t>Trisha Fernandes</t>
  </si>
  <si>
    <t>Noor Patel</t>
  </si>
  <si>
    <t>Pooja Malhotra</t>
  </si>
  <si>
    <t>Simran Hussain</t>
  </si>
  <si>
    <t>Sai Rawat</t>
  </si>
  <si>
    <t>Hina Chawla</t>
  </si>
  <si>
    <t>Ira Kulkarni</t>
  </si>
  <si>
    <t>Rohan Pandey</t>
  </si>
  <si>
    <t>Parth Gupta</t>
  </si>
  <si>
    <t>Om Arora</t>
  </si>
  <si>
    <t>Diya Menon</t>
  </si>
  <si>
    <t>Om Shetty</t>
  </si>
  <si>
    <t>Rukhsar Kaur</t>
  </si>
  <si>
    <t>Aisha Sinha</t>
  </si>
  <si>
    <t>Raj Shetty</t>
  </si>
  <si>
    <t>Arjun Yadav</t>
  </si>
  <si>
    <t>Aryan Shetty</t>
  </si>
  <si>
    <t>Diya Dutta</t>
  </si>
  <si>
    <t>Aman Menon</t>
  </si>
  <si>
    <t>Laksh Verma</t>
  </si>
  <si>
    <t>Akash Agarwal</t>
  </si>
  <si>
    <t>Suresh Joseph</t>
  </si>
  <si>
    <t>Krish Pandey</t>
  </si>
  <si>
    <t>Nikhil Agarwal</t>
  </si>
  <si>
    <t>Arjun Pillai</t>
  </si>
  <si>
    <t>Myra Bansal</t>
  </si>
  <si>
    <t>Sanya Joshi</t>
  </si>
  <si>
    <t>Sanya Chaudhary</t>
  </si>
  <si>
    <t>Vikram Hegde</t>
  </si>
  <si>
    <t>Kunal Bansal</t>
  </si>
  <si>
    <t>Arjun Bhatia</t>
  </si>
  <si>
    <t>Tanvi Yadav</t>
  </si>
  <si>
    <t>Hina Ghosh</t>
  </si>
  <si>
    <t>Sai Menon</t>
  </si>
  <si>
    <t>Aaliyah D'Souza</t>
  </si>
  <si>
    <t>Krish Chopra</t>
  </si>
  <si>
    <t>Ira Syed</t>
  </si>
  <si>
    <t>Pooja Srivastava</t>
  </si>
  <si>
    <t>Ira Sharma</t>
  </si>
  <si>
    <t>Ankit Malik</t>
  </si>
  <si>
    <t>Suresh Thakur</t>
  </si>
  <si>
    <t>Ira Joshi</t>
  </si>
  <si>
    <t>Aryan Chopra</t>
  </si>
  <si>
    <t>Isha Tiwari</t>
  </si>
  <si>
    <t>Siddharth Pandey</t>
  </si>
  <si>
    <t>Kiara Saxena</t>
  </si>
  <si>
    <t>Myra Tripathi</t>
  </si>
  <si>
    <t>Fatima Kulkarni</t>
  </si>
  <si>
    <t>Manish Pai</t>
  </si>
  <si>
    <t>Laksh Yadav</t>
  </si>
  <si>
    <t>Nazia Tiwari</t>
  </si>
  <si>
    <t>Myra Sharma</t>
  </si>
  <si>
    <t>Palak Roy</t>
  </si>
  <si>
    <t>Varun D'Souza</t>
  </si>
  <si>
    <t>Hina Saxena</t>
  </si>
  <si>
    <t>Charu Thomas</t>
  </si>
  <si>
    <t>Trisha Khanna</t>
  </si>
  <si>
    <t>Vikram Ansari</t>
  </si>
  <si>
    <t>Harsh Desai</t>
  </si>
  <si>
    <t>Ritika Syed</t>
  </si>
  <si>
    <t>Rukhsar Bansal</t>
  </si>
  <si>
    <t>Ananya Bose</t>
  </si>
  <si>
    <t>Manya Agarwal</t>
  </si>
  <si>
    <t>Suresh Chawla</t>
  </si>
  <si>
    <t>Arjun Gupta</t>
  </si>
  <si>
    <t>Yash Joseph</t>
  </si>
  <si>
    <t>Avni Pillai</t>
  </si>
  <si>
    <t>Atharv Shaikh</t>
  </si>
  <si>
    <t>Myra Banerjee</t>
  </si>
  <si>
    <t>Riya Sharma</t>
  </si>
  <si>
    <t>Kavya Fernandes</t>
  </si>
  <si>
    <t>Devansh Yadav</t>
  </si>
  <si>
    <t>Ankit Mathew</t>
  </si>
  <si>
    <t>Karan Banerjee</t>
  </si>
  <si>
    <t>Isha Joseph</t>
  </si>
  <si>
    <t>Meera Mathew</t>
  </si>
  <si>
    <t>Ashwin Chopra</t>
  </si>
  <si>
    <t>Trisha Pathan</t>
  </si>
  <si>
    <t>Raina George</t>
  </si>
  <si>
    <t>Aman Ansari</t>
  </si>
  <si>
    <t>Mitali Ghosh</t>
  </si>
  <si>
    <t>Diya Sen</t>
  </si>
  <si>
    <t>Ankit Khan</t>
  </si>
  <si>
    <t>Aisha Sen</t>
  </si>
  <si>
    <t>Trisha Malhotra</t>
  </si>
  <si>
    <t>Ritika Bose</t>
  </si>
  <si>
    <t>Neha Bansal</t>
  </si>
  <si>
    <t>Kabir Hussain</t>
  </si>
  <si>
    <t>Priya Shah</t>
  </si>
  <si>
    <t>Simran Mishra</t>
  </si>
  <si>
    <t>Atharv Kaur</t>
  </si>
  <si>
    <t>Tanishq Joshi</t>
  </si>
  <si>
    <t>Avni Shetty</t>
  </si>
  <si>
    <t>Aryan Hussain</t>
  </si>
  <si>
    <t>Charu Pai</t>
  </si>
  <si>
    <t>Rahul Arora</t>
  </si>
  <si>
    <t>Avni Srivastava</t>
  </si>
  <si>
    <t>Hina Singh</t>
  </si>
  <si>
    <t>Sara Dubey</t>
  </si>
  <si>
    <t>Abhishek Sharma</t>
  </si>
  <si>
    <t>Om Tiwari</t>
  </si>
  <si>
    <t>Atharv Pai</t>
  </si>
  <si>
    <t>Kunal Hussain</t>
  </si>
  <si>
    <t>Sana Agarwal</t>
  </si>
  <si>
    <t>Gaurav Agarwal</t>
  </si>
  <si>
    <t>Neha D'Souza</t>
  </si>
  <si>
    <t>Gaurav Mehta</t>
  </si>
  <si>
    <t>Atharv Bhargava</t>
  </si>
  <si>
    <t>Myra Vora</t>
  </si>
  <si>
    <t>Charu Kulkarni</t>
  </si>
  <si>
    <t>Rukhsar Malik</t>
  </si>
  <si>
    <t>Arjun Naidu</t>
  </si>
  <si>
    <t>Zoya Mehta</t>
  </si>
  <si>
    <t>Priya Fernandes</t>
  </si>
  <si>
    <t>Tanvi Dubey</t>
  </si>
  <si>
    <t>Ishaan Khanna</t>
  </si>
  <si>
    <t>Bhavna Saxena</t>
  </si>
  <si>
    <t>Dhruv Dubey</t>
  </si>
  <si>
    <t>Sanya Pai</t>
  </si>
  <si>
    <t>Shruti Desai</t>
  </si>
  <si>
    <t>Akash Singh</t>
  </si>
  <si>
    <t>Mohit Kapoor</t>
  </si>
  <si>
    <t>Krish Agarwal</t>
  </si>
  <si>
    <t>Diya Das</t>
  </si>
  <si>
    <t>Aditya Kaur</t>
  </si>
  <si>
    <t>Aisha Kulkarni</t>
  </si>
  <si>
    <t>Akash Bhatia</t>
  </si>
  <si>
    <t>Alina Khanna</t>
  </si>
  <si>
    <t>Charu Mukherjee</t>
  </si>
  <si>
    <t>Ved Vora</t>
  </si>
  <si>
    <t>Sana Bhatia</t>
  </si>
  <si>
    <t>Aman Pandey</t>
  </si>
  <si>
    <t>Kavya Mehta</t>
  </si>
  <si>
    <t>Manya Dubey</t>
  </si>
  <si>
    <t>Zara Das</t>
  </si>
  <si>
    <t>Yash Banerjee</t>
  </si>
  <si>
    <t>Aaliyah Jain</t>
  </si>
  <si>
    <t>Alina Gupta</t>
  </si>
  <si>
    <t>Krish Malik</t>
  </si>
  <si>
    <t>Raina Rawat</t>
  </si>
  <si>
    <t>Neel Pathan</t>
  </si>
  <si>
    <t>Dhruv Patel</t>
  </si>
  <si>
    <t>Avni Khan</t>
  </si>
  <si>
    <t>Kavya D'Souza</t>
  </si>
  <si>
    <t>Parth Joseph</t>
  </si>
  <si>
    <t>Simran D'Souza</t>
  </si>
  <si>
    <t>Raj Farooqui</t>
  </si>
  <si>
    <t>Neha Malik</t>
  </si>
  <si>
    <t>Abhishek Mathew</t>
  </si>
  <si>
    <t>Ira Dutta</t>
  </si>
  <si>
    <t>Ishaan Banerjee</t>
  </si>
  <si>
    <t>Ananya Sen</t>
  </si>
  <si>
    <t>Mitali Banerjee</t>
  </si>
  <si>
    <t>Charu Dubey</t>
  </si>
  <si>
    <t>Dhruv Mehta</t>
  </si>
  <si>
    <t>Pranav Saxena</t>
  </si>
  <si>
    <t>Deepak Khan</t>
  </si>
  <si>
    <t>Tanishq Solanki</t>
  </si>
  <si>
    <t>Tanvi Bhargava</t>
  </si>
  <si>
    <t>Sanya Sen</t>
  </si>
  <si>
    <t>Manish Desai</t>
  </si>
  <si>
    <t>Aisha Shetty</t>
  </si>
  <si>
    <t>Gaurav Bose</t>
  </si>
  <si>
    <t>Akash Khan</t>
  </si>
  <si>
    <t>Mitali Singh</t>
  </si>
  <si>
    <t>Ananya Tripathi</t>
  </si>
  <si>
    <t>Devansh Hegde</t>
  </si>
  <si>
    <t>Diya Pandey</t>
  </si>
  <si>
    <t>Hina Rawat</t>
  </si>
  <si>
    <t>Akash Mirza</t>
  </si>
  <si>
    <t>Krish Fernandes</t>
  </si>
  <si>
    <t>Fatima Bansal</t>
  </si>
  <si>
    <t>Om Joseph</t>
  </si>
  <si>
    <t>Neha Pandey</t>
  </si>
  <si>
    <t>Shruti Mishra</t>
  </si>
  <si>
    <t>Isha Pillai</t>
  </si>
  <si>
    <t>Kabir Jain</t>
  </si>
  <si>
    <t>Kunal Rao</t>
  </si>
  <si>
    <t>Manish Khanna</t>
  </si>
  <si>
    <t>Abhishek Sen</t>
  </si>
  <si>
    <t>Zoya Mirza</t>
  </si>
  <si>
    <t>Aaliyah Roy</t>
  </si>
  <si>
    <t>Sneha Pillai</t>
  </si>
  <si>
    <t>Aditi Mishra</t>
  </si>
  <si>
    <t>Parth Yadav</t>
  </si>
  <si>
    <t>Palak Patel</t>
  </si>
  <si>
    <t>Kunal Kulkarni</t>
  </si>
  <si>
    <t>Sanya Gupta</t>
  </si>
  <si>
    <t>Karan Tripathi</t>
  </si>
  <si>
    <t>Nisha Khan</t>
  </si>
  <si>
    <t>Kavya Patel</t>
  </si>
  <si>
    <t>Sara Roy</t>
  </si>
  <si>
    <t>Akash Qureshi</t>
  </si>
  <si>
    <t>Trisha Bhargava</t>
  </si>
  <si>
    <t>Deepak Kapoor</t>
  </si>
  <si>
    <t>Shruti Qureshi</t>
  </si>
  <si>
    <t>Pooja Joshi</t>
  </si>
  <si>
    <t>Myra Khan</t>
  </si>
  <si>
    <t>Yash Kapoor</t>
  </si>
  <si>
    <t>Simran Kaur</t>
  </si>
  <si>
    <t>Alina Tiwari</t>
  </si>
  <si>
    <t>Priya Banerjee</t>
  </si>
  <si>
    <t>Isha Pai</t>
  </si>
  <si>
    <t>Laksh George</t>
  </si>
  <si>
    <t>Trisha Tiwari</t>
  </si>
  <si>
    <t>Zoya Fernandes</t>
  </si>
  <si>
    <t>Manya Nair</t>
  </si>
  <si>
    <t>Nazia Reddy</t>
  </si>
  <si>
    <t>Varun Khanna</t>
  </si>
  <si>
    <t>Tanvi Desai</t>
  </si>
  <si>
    <t>Aman Bose</t>
  </si>
  <si>
    <t>Raj Malhotra</t>
  </si>
  <si>
    <t>Aman Sharma</t>
  </si>
  <si>
    <t>Kiara George</t>
  </si>
  <si>
    <t>Aaliyah Ansari</t>
  </si>
  <si>
    <t>Aditi Verma</t>
  </si>
  <si>
    <t>Nikhil Roy</t>
  </si>
  <si>
    <t>Ritika Joseph</t>
  </si>
  <si>
    <t>Yash Mishra</t>
  </si>
  <si>
    <t>Tanvi Das</t>
  </si>
  <si>
    <t>Raina Bhatia</t>
  </si>
  <si>
    <t>Mohit Agarwal</t>
  </si>
  <si>
    <t>Simran Dutta</t>
  </si>
  <si>
    <t>Riya Malhotra</t>
  </si>
  <si>
    <t>Rahul Vora</t>
  </si>
  <si>
    <t>Manya Roy</t>
  </si>
  <si>
    <t>Trisha Jain</t>
  </si>
  <si>
    <t>Charu Tiwari</t>
  </si>
  <si>
    <t>Myra Dutta</t>
  </si>
  <si>
    <t>Siddharth Hussain</t>
  </si>
  <si>
    <t>Pranav Thomas</t>
  </si>
  <si>
    <t>Priya Gupta</t>
  </si>
  <si>
    <t>Ira Saxena</t>
  </si>
  <si>
    <t>Sana Mukherjee</t>
  </si>
  <si>
    <t>Arjun Iyer</t>
  </si>
  <si>
    <t>Nikhil Singh</t>
  </si>
  <si>
    <t>Neha Gupta</t>
  </si>
  <si>
    <t>Raj Ansari</t>
  </si>
  <si>
    <t>Ankit Thomas</t>
  </si>
  <si>
    <t>Sanya Rao</t>
  </si>
  <si>
    <t>Hina D'Souza</t>
  </si>
  <si>
    <t>Gaurav Iyer</t>
  </si>
  <si>
    <t>Akash Chaudhary</t>
  </si>
  <si>
    <t>Kiara Bansal</t>
  </si>
  <si>
    <t>Ishaan Menon</t>
  </si>
  <si>
    <t>Aman Bansal</t>
  </si>
  <si>
    <t>Kiara Shaikh</t>
  </si>
  <si>
    <t>Ritika Hegde</t>
  </si>
  <si>
    <t>Fatima Verma</t>
  </si>
  <si>
    <t>Bhavna Iyer</t>
  </si>
  <si>
    <t>Kabir Mukherjee</t>
  </si>
  <si>
    <t>Ishaan Bhatia</t>
  </si>
  <si>
    <t>Myra Syed</t>
  </si>
  <si>
    <t>Aarav Hussain</t>
  </si>
  <si>
    <t>Charu Shetty</t>
  </si>
  <si>
    <t>Karan Pillai</t>
  </si>
  <si>
    <t>Ankit Thakur</t>
  </si>
  <si>
    <t>Rukhsar Shaikh</t>
  </si>
  <si>
    <t>Trisha Kapoor</t>
  </si>
  <si>
    <t>Ritika Thomas</t>
  </si>
  <si>
    <t>Gaurav Jain</t>
  </si>
  <si>
    <t>Arjun Bose</t>
  </si>
  <si>
    <t>Fatima Shetty</t>
  </si>
  <si>
    <t>Ananya Agarwal</t>
  </si>
  <si>
    <t>Pooja Mathew</t>
  </si>
  <si>
    <t>Isha Kaur</t>
  </si>
  <si>
    <t>Pranav Tripathi</t>
  </si>
  <si>
    <t>Vikram Dutta</t>
  </si>
  <si>
    <t>Avni Qureshi</t>
  </si>
  <si>
    <t>Akash Banerjee</t>
  </si>
  <si>
    <t>Bhavna Chawla</t>
  </si>
  <si>
    <t>Atharv Pillai</t>
  </si>
  <si>
    <t>Aaliyah Syed</t>
  </si>
  <si>
    <t>Meera Joshi</t>
  </si>
  <si>
    <t>Siddharth Dutta</t>
  </si>
  <si>
    <t>Aarav Roy</t>
  </si>
  <si>
    <t>Palak Khan</t>
  </si>
  <si>
    <t>Simran George</t>
  </si>
  <si>
    <t>Kunal Qureshi</t>
  </si>
  <si>
    <t>Krish Bansal</t>
  </si>
  <si>
    <t>Fatima Hussain</t>
  </si>
  <si>
    <t>Laksh Joseph</t>
  </si>
  <si>
    <t>Ishaan Pillai</t>
  </si>
  <si>
    <t>Aisha Srivastava</t>
  </si>
  <si>
    <t>Nikhil Shetty</t>
  </si>
  <si>
    <t>Rohan Chopra</t>
  </si>
  <si>
    <t>Akash Dubey</t>
  </si>
  <si>
    <t>Sai Kulkarni</t>
  </si>
  <si>
    <t>Siddharth Bansal</t>
  </si>
  <si>
    <t>Sneha Thomas</t>
  </si>
  <si>
    <t>Sneha Mirza</t>
  </si>
  <si>
    <t>Bhavna Patel</t>
  </si>
  <si>
    <t>Riya Shetty</t>
  </si>
  <si>
    <t>Simran Malhotra</t>
  </si>
  <si>
    <t>Akash Ghosh</t>
  </si>
  <si>
    <t>Dhruv Naidu</t>
  </si>
  <si>
    <t>Priya Bansal</t>
  </si>
  <si>
    <t>Kunal Dubey</t>
  </si>
  <si>
    <t>Kabir Khan</t>
  </si>
  <si>
    <t>Mohit Verma</t>
  </si>
  <si>
    <t>Rukhsar Joshi</t>
  </si>
  <si>
    <t>Aisha Roy</t>
  </si>
  <si>
    <t>Nikhil Iyer</t>
  </si>
  <si>
    <t>Ira Reddy</t>
  </si>
  <si>
    <t>Palak Mehta</t>
  </si>
  <si>
    <t>Rohan Saxena</t>
  </si>
  <si>
    <t>Rahul Tripathi</t>
  </si>
  <si>
    <t>Om Rawat</t>
  </si>
  <si>
    <t>Ira Chawla</t>
  </si>
  <si>
    <t>Diya Mirza</t>
  </si>
  <si>
    <t>Kiara Rao</t>
  </si>
  <si>
    <t>Harsh Yadav</t>
  </si>
  <si>
    <t>Priya Dubey</t>
  </si>
  <si>
    <t>Rukhsar Bose</t>
  </si>
  <si>
    <t>Pranav Chawla</t>
  </si>
  <si>
    <t>Nikhil Mathew</t>
  </si>
  <si>
    <t>Shruti Joseph</t>
  </si>
  <si>
    <t>Shruti Patel</t>
  </si>
  <si>
    <t>Charu Roy</t>
  </si>
  <si>
    <t>Mohit Sinha</t>
  </si>
  <si>
    <t>Zoya Tiwari</t>
  </si>
  <si>
    <t>Raina Mukherjee</t>
  </si>
  <si>
    <t>Bhavna Tiwari</t>
  </si>
  <si>
    <t>Suresh Srivastava</t>
  </si>
  <si>
    <t>Abhishek Menon</t>
  </si>
  <si>
    <t>Aisha Dubey</t>
  </si>
  <si>
    <t>Sara Solanki</t>
  </si>
  <si>
    <t>Sara Tripathi</t>
  </si>
  <si>
    <t>Aditi Singh</t>
  </si>
  <si>
    <t>Zara Sen</t>
  </si>
  <si>
    <t>Vivaan Kapoor</t>
  </si>
  <si>
    <t>Sana Shaikh</t>
  </si>
  <si>
    <t>Ritika Mishra</t>
  </si>
  <si>
    <t>Sana Solanki</t>
  </si>
  <si>
    <t>Devansh Pillai</t>
  </si>
  <si>
    <t>Rukhsar Mukherjee</t>
  </si>
  <si>
    <t>Meera Reddy</t>
  </si>
  <si>
    <t>Sai Thakur</t>
  </si>
  <si>
    <t>Nisha Iyer</t>
  </si>
  <si>
    <t>Aditi Saxena</t>
  </si>
  <si>
    <t>Avni Yadav</t>
  </si>
  <si>
    <t>Suresh Kulkarni</t>
  </si>
  <si>
    <t>Mohit Thakur</t>
  </si>
  <si>
    <t>Ashwin Pathan</t>
  </si>
  <si>
    <t>Neha Vora</t>
  </si>
  <si>
    <t>Aditi Bhargava</t>
  </si>
  <si>
    <t>Riya Agarwal</t>
  </si>
  <si>
    <t>Zara Thakur</t>
  </si>
  <si>
    <t>Ananya Naidu</t>
  </si>
  <si>
    <t>Vivaan Ghosh</t>
  </si>
  <si>
    <t>Ved Menon</t>
  </si>
  <si>
    <t>Nikhil Ansari</t>
  </si>
  <si>
    <t>Arjun Saxena</t>
  </si>
  <si>
    <t>Nazia Agarwal</t>
  </si>
  <si>
    <t>Neel Mathew</t>
  </si>
  <si>
    <t>Palak Shetty</t>
  </si>
  <si>
    <t>Pooja Shah</t>
  </si>
  <si>
    <t>Rohan Verma</t>
  </si>
  <si>
    <t>Palak Shaikh</t>
  </si>
  <si>
    <t>Pooja Reddy</t>
  </si>
  <si>
    <t>Aisha Malik</t>
  </si>
  <si>
    <t>Meera Srivastava</t>
  </si>
  <si>
    <t>Bhavna Rawat</t>
  </si>
  <si>
    <t>Simran Pai</t>
  </si>
  <si>
    <t>Sneha Khan</t>
  </si>
  <si>
    <t>Nazia Shetty</t>
  </si>
  <si>
    <t>Sanya Verma</t>
  </si>
  <si>
    <t>Ved Khanna</t>
  </si>
  <si>
    <t>Trisha Thomas</t>
  </si>
  <si>
    <t>Aisha Thakur</t>
  </si>
  <si>
    <t>Sneha Rawat</t>
  </si>
  <si>
    <t>Mohit Solanki</t>
  </si>
  <si>
    <t>Rahul Naidu</t>
  </si>
  <si>
    <t>Sanya Pillai</t>
  </si>
  <si>
    <t>Tanishq Singh</t>
  </si>
  <si>
    <t>Karan Bansal</t>
  </si>
  <si>
    <t>Diya Kulkarni</t>
  </si>
  <si>
    <t>Alina Arora</t>
  </si>
  <si>
    <t>Neel Arora</t>
  </si>
  <si>
    <t>Zoya Khanna</t>
  </si>
  <si>
    <t>Nikhil Bansal</t>
  </si>
  <si>
    <t>Riya Kulkarni</t>
  </si>
  <si>
    <t>Mohit Mukherjee</t>
  </si>
  <si>
    <t>Raj Bhatia</t>
  </si>
  <si>
    <t>Arjun Kulkarni</t>
  </si>
  <si>
    <t>Vivaan Solanki</t>
  </si>
  <si>
    <t>Aisha Saxena</t>
  </si>
  <si>
    <t>Aditya Yadav</t>
  </si>
  <si>
    <t>Tanvi Kapoor</t>
  </si>
  <si>
    <t>Nisha Pai</t>
  </si>
  <si>
    <t>Ashwin Bhatia</t>
  </si>
  <si>
    <t>Neel Ansari</t>
  </si>
  <si>
    <t>Mitali Thakur</t>
  </si>
  <si>
    <t>Vikram Menon</t>
  </si>
  <si>
    <t>Mitali Pathan</t>
  </si>
  <si>
    <t>Devansh Gupta</t>
  </si>
  <si>
    <t>Ankit Tiwari</t>
  </si>
  <si>
    <t>Bhavna Mehta</t>
  </si>
  <si>
    <t>Rahul Qureshi</t>
  </si>
  <si>
    <t>Myra Fernandes</t>
  </si>
  <si>
    <t>Kavya Khan</t>
  </si>
  <si>
    <t>Ishaan Chawla</t>
  </si>
  <si>
    <t>Neel Kulkarni</t>
  </si>
  <si>
    <t>Sanya Saxena</t>
  </si>
  <si>
    <t>Laksh Mirza</t>
  </si>
  <si>
    <t>Aditi Joseph</t>
  </si>
  <si>
    <t>Siddharth D'Souza</t>
  </si>
  <si>
    <t>Sneha Bhatia</t>
  </si>
  <si>
    <t>Fatima Khanna</t>
  </si>
  <si>
    <t>Ira George</t>
  </si>
  <si>
    <t>Bhavna Hegde</t>
  </si>
  <si>
    <t>Avni Reddy</t>
  </si>
  <si>
    <t>Kabir Fernandes</t>
  </si>
  <si>
    <t>Simran Ansari</t>
  </si>
  <si>
    <t>Neel Iyer</t>
  </si>
  <si>
    <t>Priya Iyer</t>
  </si>
  <si>
    <t>Ved Kulkarni</t>
  </si>
  <si>
    <t>Noor Nair</t>
  </si>
  <si>
    <t>Zoya Bansal</t>
  </si>
  <si>
    <t>Isha Shetty</t>
  </si>
  <si>
    <t>Om Fernandes</t>
  </si>
  <si>
    <t>Karan Roy</t>
  </si>
  <si>
    <t>Aaliyah Pandey</t>
  </si>
  <si>
    <t>Om Menon</t>
  </si>
  <si>
    <t>Sara Pathan</t>
  </si>
  <si>
    <t>Tanishq Kaur</t>
  </si>
  <si>
    <t>Abhishek Agarwal</t>
  </si>
  <si>
    <t>Kavya Chaudhary</t>
  </si>
  <si>
    <t>Noor Rawat</t>
  </si>
  <si>
    <t>Pooja Sen</t>
  </si>
  <si>
    <t>Sara Agarwal</t>
  </si>
  <si>
    <t>Raina Mehta</t>
  </si>
  <si>
    <t>Sana Dutta</t>
  </si>
  <si>
    <t>Arjun Rao</t>
  </si>
  <si>
    <t>Krish Sharma</t>
  </si>
  <si>
    <t>Deepak Chawla</t>
  </si>
  <si>
    <t>Alina Hegde</t>
  </si>
  <si>
    <t>Neel Chawla</t>
  </si>
  <si>
    <t>Tanishq Dubey</t>
  </si>
  <si>
    <t>Avni Joseph</t>
  </si>
  <si>
    <t>Dhruv Sinha</t>
  </si>
  <si>
    <t>Ved Pandey</t>
  </si>
  <si>
    <t>Ishaan Desai</t>
  </si>
  <si>
    <t>Karan Kaur</t>
  </si>
  <si>
    <t>Aman Kapoor</t>
  </si>
  <si>
    <t>Priya Dutta</t>
  </si>
  <si>
    <t>Trisha Pai</t>
  </si>
  <si>
    <t>Neha Khanna</t>
  </si>
  <si>
    <t>Vikram Bhatia</t>
  </si>
  <si>
    <t>Krish D'Souza</t>
  </si>
  <si>
    <t>Pooja Roy</t>
  </si>
  <si>
    <t>Zoya Khan</t>
  </si>
  <si>
    <t>Ashwin Pandey</t>
  </si>
  <si>
    <t>Rohan Agarwal</t>
  </si>
  <si>
    <t>Zara Nair</t>
  </si>
  <si>
    <t>Aarav Arora</t>
  </si>
  <si>
    <t>Palak Khanna</t>
  </si>
  <si>
    <t>Meera Mukherjee</t>
  </si>
  <si>
    <t>Pranav D'Souza</t>
  </si>
  <si>
    <t>Raj Kulkarni</t>
  </si>
  <si>
    <t>Laksh Malik</t>
  </si>
  <si>
    <t>Om Malhotra</t>
  </si>
  <si>
    <t>Zara Gupta</t>
  </si>
  <si>
    <t>Ira Singh</t>
  </si>
  <si>
    <t>Bhavna Malhotra</t>
  </si>
  <si>
    <t>Avni Tripathi</t>
  </si>
  <si>
    <t>Pooja Hegde</t>
  </si>
  <si>
    <t>Aditya Saxena</t>
  </si>
  <si>
    <t>Harsh Joseph</t>
  </si>
  <si>
    <t>Parth Iyer</t>
  </si>
  <si>
    <t>Ira Menon</t>
  </si>
  <si>
    <t>Diya D'Souza</t>
  </si>
  <si>
    <t>Zoya Hegde</t>
  </si>
  <si>
    <t>Ashwin Desai</t>
  </si>
  <si>
    <t>Zara Pandey</t>
  </si>
  <si>
    <t>Dhruv Agarwal</t>
  </si>
  <si>
    <t>Aryan Vora</t>
  </si>
  <si>
    <t>Yash Syed</t>
  </si>
  <si>
    <t>Pooja Mirza</t>
  </si>
  <si>
    <t>Vikram Pillai</t>
  </si>
  <si>
    <t>Krish Chaudhary</t>
  </si>
  <si>
    <t>Riya Bose</t>
  </si>
  <si>
    <t>Kavya Chawla</t>
  </si>
  <si>
    <t>Shruti Das</t>
  </si>
  <si>
    <t>Raj Kaur</t>
  </si>
  <si>
    <t>Yash Yadav</t>
  </si>
  <si>
    <t>Pranav Mathew</t>
  </si>
  <si>
    <t>Alina George</t>
  </si>
  <si>
    <t>Alina Saxena</t>
  </si>
  <si>
    <t>Kabir Kaur</t>
  </si>
  <si>
    <t>Trisha Joshi</t>
  </si>
  <si>
    <t>Akash Thomas</t>
  </si>
  <si>
    <t>Palak Sen</t>
  </si>
  <si>
    <t>Zoya Nair</t>
  </si>
  <si>
    <t>Om Pathan</t>
  </si>
  <si>
    <t>Yash Pandey</t>
  </si>
  <si>
    <t>Charu George</t>
  </si>
  <si>
    <t>Sai Nair</t>
  </si>
  <si>
    <t>Ved Roy</t>
  </si>
  <si>
    <t>Yash Iyer</t>
  </si>
  <si>
    <t>Nazia Pathan</t>
  </si>
  <si>
    <t>Atharv Mathew</t>
  </si>
  <si>
    <t>Akash Pathan</t>
  </si>
  <si>
    <t>Simran Nair</t>
  </si>
  <si>
    <t>Mitali Menon</t>
  </si>
  <si>
    <t>Dhruv Desai</t>
  </si>
  <si>
    <t>Siddharth Yadav</t>
  </si>
  <si>
    <t>Rohan Banerjee</t>
  </si>
  <si>
    <t>Nazia Sinha</t>
  </si>
  <si>
    <t>Parth Rawat</t>
  </si>
  <si>
    <t>Ritika Srivastava</t>
  </si>
  <si>
    <t>Kiara Bhargava</t>
  </si>
  <si>
    <t>Aaliyah Kapoor</t>
  </si>
  <si>
    <t>Aryan Joshi</t>
  </si>
  <si>
    <t>Aryan Reddy</t>
  </si>
  <si>
    <t>Noor Srivastava</t>
  </si>
  <si>
    <t>Ritika Mukherjee</t>
  </si>
  <si>
    <t>Sana Kaur</t>
  </si>
  <si>
    <t>Aryan Desai</t>
  </si>
  <si>
    <t>Manya Naidu</t>
  </si>
  <si>
    <t>Nisha Desai</t>
  </si>
  <si>
    <t>Ashwin Iyer</t>
  </si>
  <si>
    <t>Raina Syed</t>
  </si>
  <si>
    <t>Parth Singh</t>
  </si>
  <si>
    <t>Parth Pandey</t>
  </si>
  <si>
    <t>Deepak Khanna</t>
  </si>
  <si>
    <t>Dhruv Khan</t>
  </si>
  <si>
    <t>Manish Agarwal</t>
  </si>
  <si>
    <t>Meera Kaur</t>
  </si>
  <si>
    <t>Yash Tripathi</t>
  </si>
  <si>
    <t>Sneha Pathan</t>
  </si>
  <si>
    <t>Mohit Mirza</t>
  </si>
  <si>
    <t>Sai Bhargava</t>
  </si>
  <si>
    <t>Rukhsar Kulkarni</t>
  </si>
  <si>
    <t>Aaliyah Dubey</t>
  </si>
  <si>
    <t>Rukhsar Vora</t>
  </si>
  <si>
    <t>Trisha Gupta</t>
  </si>
  <si>
    <t>Kiara Thakur</t>
  </si>
  <si>
    <t>Aisha Thomas</t>
  </si>
  <si>
    <t>Nazia Roy</t>
  </si>
  <si>
    <t>Mitali Mishra</t>
  </si>
  <si>
    <t>Kunal Bose</t>
  </si>
  <si>
    <t>Manya Ansari</t>
  </si>
  <si>
    <t>Manish Rawat</t>
  </si>
  <si>
    <t>Sara Thomas</t>
  </si>
  <si>
    <t>Aman Das</t>
  </si>
  <si>
    <t>Sana Shah</t>
  </si>
  <si>
    <t>Shruti Kapoor</t>
  </si>
  <si>
    <t>Abhishek Rawat</t>
  </si>
  <si>
    <t>Fatima Menon</t>
  </si>
  <si>
    <t>Ankit Jain</t>
  </si>
  <si>
    <t>Ritika Desai</t>
  </si>
  <si>
    <t>Aman Dutta</t>
  </si>
  <si>
    <t>Mitali Syed</t>
  </si>
  <si>
    <t>Riya D'Souza</t>
  </si>
  <si>
    <t>Krish Mehta</t>
  </si>
  <si>
    <t>Avni Kapoor</t>
  </si>
  <si>
    <t>Zara Pathan</t>
  </si>
  <si>
    <t>Ved Bose</t>
  </si>
  <si>
    <t>Atharv Desai</t>
  </si>
  <si>
    <t>Ved Agarwal</t>
  </si>
  <si>
    <t>Arjun Chopra</t>
  </si>
  <si>
    <t>Sneha Bansal</t>
  </si>
  <si>
    <t>Riya Shah</t>
  </si>
  <si>
    <t>Sai Roy</t>
  </si>
  <si>
    <t>Akash Shah</t>
  </si>
  <si>
    <t>Akash George</t>
  </si>
  <si>
    <t>Nazia Sharma</t>
  </si>
  <si>
    <t>Priya Singh</t>
  </si>
  <si>
    <t>Shruti Khanna</t>
  </si>
  <si>
    <t>Simran Mirza</t>
  </si>
  <si>
    <t>Aisha Tiwari</t>
  </si>
  <si>
    <t>Isha Kapoor</t>
  </si>
  <si>
    <t>Aisha Pai</t>
  </si>
  <si>
    <t>Rukhsar Joseph</t>
  </si>
  <si>
    <t>Neel Bhatia</t>
  </si>
  <si>
    <t>Pranav Malik</t>
  </si>
  <si>
    <t>Aditya Syed</t>
  </si>
  <si>
    <t>Sara Bose</t>
  </si>
  <si>
    <t>Riya Tripathi</t>
  </si>
  <si>
    <t>Raina Sharma</t>
  </si>
  <si>
    <t>Nazia Solanki</t>
  </si>
  <si>
    <t>Priya Mirza</t>
  </si>
  <si>
    <t>Parth Joshi</t>
  </si>
  <si>
    <t>Ashwin Hussain</t>
  </si>
  <si>
    <t>Siddharth Pathan</t>
  </si>
  <si>
    <t>Fatima Singh</t>
  </si>
  <si>
    <t>Atharv Ansari</t>
  </si>
  <si>
    <t>Rohan Srivastava</t>
  </si>
  <si>
    <t>Ved Mukherjee</t>
  </si>
  <si>
    <t>Aditya Solanki</t>
  </si>
  <si>
    <t>Neel Chaudhary</t>
  </si>
  <si>
    <t>Aisha Menon</t>
  </si>
  <si>
    <t>Hina Bansal</t>
  </si>
  <si>
    <t>Meera Gupta</t>
  </si>
  <si>
    <t>Om Hussain</t>
  </si>
  <si>
    <t>Dhruv Yadav</t>
  </si>
  <si>
    <t>Charu Qureshi</t>
  </si>
  <si>
    <t>Deepak Shah</t>
  </si>
  <si>
    <t>Neel Joseph</t>
  </si>
  <si>
    <t>Sai Tripathi</t>
  </si>
  <si>
    <t>Suresh Gupta</t>
  </si>
  <si>
    <t>Manya Syed</t>
  </si>
  <si>
    <t>Zara Hussain</t>
  </si>
  <si>
    <t>Akash Mukherjee</t>
  </si>
  <si>
    <t>Sai Pillai</t>
  </si>
  <si>
    <t>Ritika Solanki</t>
  </si>
  <si>
    <t>Ved D'Souza</t>
  </si>
  <si>
    <t>Myra Thomas</t>
  </si>
  <si>
    <t>Pranav Shaikh</t>
  </si>
  <si>
    <t>Ved Farooqui</t>
  </si>
  <si>
    <t>Neha Desai</t>
  </si>
  <si>
    <t>Raina Desai</t>
  </si>
  <si>
    <t>Ira Rao</t>
  </si>
  <si>
    <t>Mohit Tripathi</t>
  </si>
  <si>
    <t>Aditi Pandey</t>
  </si>
  <si>
    <t>Mitali Fernandes</t>
  </si>
  <si>
    <t>Harsh Thomas</t>
  </si>
  <si>
    <t>Krish George</t>
  </si>
  <si>
    <t>Rohan Solanki</t>
  </si>
  <si>
    <t>Nazia D'Souza</t>
  </si>
  <si>
    <t>Sanya Nair</t>
  </si>
  <si>
    <t>Yash Hegde</t>
  </si>
  <si>
    <t>Parth Syed</t>
  </si>
  <si>
    <t>Aman Mehta</t>
  </si>
  <si>
    <t>Riya Thomas</t>
  </si>
  <si>
    <t>Parth Thakur</t>
  </si>
  <si>
    <t>Atharv Verma</t>
  </si>
  <si>
    <t>Ved Rawat</t>
  </si>
  <si>
    <t>Ashwin Thakur</t>
  </si>
  <si>
    <t>Zara Chopra</t>
  </si>
  <si>
    <t>Atharv Jain</t>
  </si>
  <si>
    <t>Tanvi Ghosh</t>
  </si>
  <si>
    <t>Mitali Khanna</t>
  </si>
  <si>
    <t>Gaurav Das</t>
  </si>
  <si>
    <t>Isha Shah</t>
  </si>
  <si>
    <t>Yash George</t>
  </si>
  <si>
    <t>Raj Thomas</t>
  </si>
  <si>
    <t>Ananya Chopra</t>
  </si>
  <si>
    <t>Aditi Tiwari</t>
  </si>
  <si>
    <t>Aman Yadav</t>
  </si>
  <si>
    <t>Suresh Shah</t>
  </si>
  <si>
    <t>Aisha Shaikh</t>
  </si>
  <si>
    <t>Arjun Thakur</t>
  </si>
  <si>
    <t>Fatima Rawat</t>
  </si>
  <si>
    <t>Ananya Joshi</t>
  </si>
  <si>
    <t>Abhishek Mirza</t>
  </si>
  <si>
    <t>Kiara Shetty</t>
  </si>
  <si>
    <t>Sara Malhotra</t>
  </si>
  <si>
    <t>Nisha Chopra</t>
  </si>
  <si>
    <t>Ankit Chaudhary</t>
  </si>
  <si>
    <t>Nisha Rao</t>
  </si>
  <si>
    <t>Nisha D'Souza</t>
  </si>
  <si>
    <t>Siddharth Nair</t>
  </si>
  <si>
    <t>Isha Farooqui</t>
  </si>
  <si>
    <t>Simran Tiwari</t>
  </si>
  <si>
    <t>Harsh Sinha</t>
  </si>
  <si>
    <t>Ishaan Agarwal</t>
  </si>
  <si>
    <t>Krish Farooqui</t>
  </si>
  <si>
    <t>Fatima Sen</t>
  </si>
  <si>
    <t>Nisha Tiwari</t>
  </si>
  <si>
    <t>Nazia Malik</t>
  </si>
  <si>
    <t>Ananya Pathan</t>
  </si>
  <si>
    <t>Harsh Kaur</t>
  </si>
  <si>
    <t>Harsh Bhargava</t>
  </si>
  <si>
    <t>Arjun Desai</t>
  </si>
  <si>
    <t>Rohan Ghosh</t>
  </si>
  <si>
    <t>Varun Pai</t>
  </si>
  <si>
    <t>Rukhsar Mehta</t>
  </si>
  <si>
    <t>Pranav Hussain</t>
  </si>
  <si>
    <t>Myra Tiwari</t>
  </si>
  <si>
    <t>Aman Thomas</t>
  </si>
  <si>
    <t>Dhruv Chawla</t>
  </si>
  <si>
    <t>Kabir Chopra</t>
  </si>
  <si>
    <t>Krish Hegde</t>
  </si>
  <si>
    <t>Nisha Rawat</t>
  </si>
  <si>
    <t>Charu Jain</t>
  </si>
  <si>
    <t>Neha George</t>
  </si>
  <si>
    <t>Diya Chawla</t>
  </si>
  <si>
    <t>Sneha Kapoor</t>
  </si>
  <si>
    <t>Aditi Srivastava</t>
  </si>
  <si>
    <t>Nazia Pai</t>
  </si>
  <si>
    <t>Diya Sinha</t>
  </si>
  <si>
    <t>Ishaan Chopra</t>
  </si>
  <si>
    <t>Manish Sinha</t>
  </si>
  <si>
    <t>Pranav Syed</t>
  </si>
  <si>
    <t>Charu Shaikh</t>
  </si>
  <si>
    <t>Manya Shaikh</t>
  </si>
  <si>
    <t>Aditya Iyer</t>
  </si>
  <si>
    <t>Aisha Khanna</t>
  </si>
  <si>
    <t>Hina Solanki</t>
  </si>
  <si>
    <t>Karan Kapoor</t>
  </si>
  <si>
    <t>Ritika Shaikh</t>
  </si>
  <si>
    <t>Vivaan Menon</t>
  </si>
  <si>
    <t>Ira Shah</t>
  </si>
  <si>
    <t>Tanvi Thakur</t>
  </si>
  <si>
    <t>Myra Thakur</t>
  </si>
  <si>
    <t>Rohan Hegde</t>
  </si>
  <si>
    <t>Ritika Malhotra</t>
  </si>
  <si>
    <t>Atharv Pathan</t>
  </si>
  <si>
    <t>Mitali Sen</t>
  </si>
  <si>
    <t>Rukhsar Jain</t>
  </si>
  <si>
    <t>Nisha Reddy</t>
  </si>
  <si>
    <t>Zara Rawat</t>
  </si>
  <si>
    <t>Dhruv Thakur</t>
  </si>
  <si>
    <t>Riya Das</t>
  </si>
  <si>
    <t>Sana Syed</t>
  </si>
  <si>
    <t>Myra Pathan</t>
  </si>
  <si>
    <t>Rohan Gupta</t>
  </si>
  <si>
    <t>Sai Shah</t>
  </si>
  <si>
    <t>Aryan Ansari</t>
  </si>
  <si>
    <t>Ankit Joseph</t>
  </si>
  <si>
    <t>Simran Syed</t>
  </si>
  <si>
    <t>Meera Saxena</t>
  </si>
  <si>
    <t>Nazia Chopra</t>
  </si>
  <si>
    <t>Aman Naidu</t>
  </si>
  <si>
    <t>Siddharth Syed</t>
  </si>
  <si>
    <t>Kunal Khan</t>
  </si>
  <si>
    <t>Aditya Rawat</t>
  </si>
  <si>
    <t>Aryan Bhatia</t>
  </si>
  <si>
    <t>Avni Pandey</t>
  </si>
  <si>
    <t>Arjun Ansari</t>
  </si>
  <si>
    <t>Tanvi Mishra</t>
  </si>
  <si>
    <t>Karan Qureshi</t>
  </si>
  <si>
    <t>Harsh Mirza</t>
  </si>
  <si>
    <t>Rukhsar Dubey</t>
  </si>
  <si>
    <t>Riya Banerjee</t>
  </si>
  <si>
    <t>Sai Bhatia</t>
  </si>
  <si>
    <t>Manish Singh</t>
  </si>
  <si>
    <t>Trisha Chopra</t>
  </si>
  <si>
    <t>Avni Kaur</t>
  </si>
  <si>
    <t>Kiara Arora</t>
  </si>
  <si>
    <t>Kiara Pathan</t>
  </si>
  <si>
    <t>Nazia Ansari</t>
  </si>
  <si>
    <t>Rahul Shah</t>
  </si>
  <si>
    <t>Ankit Arora</t>
  </si>
  <si>
    <t>Noor Saxena</t>
  </si>
  <si>
    <t>Raj Joseph</t>
  </si>
  <si>
    <t>Kunal Bhargava</t>
  </si>
  <si>
    <t>Tanvi Qureshi</t>
  </si>
  <si>
    <t>Manish Banerjee</t>
  </si>
  <si>
    <t>Sanya Tiwari</t>
  </si>
  <si>
    <t>Devansh Tiwari</t>
  </si>
  <si>
    <t>Ritika Arora</t>
  </si>
  <si>
    <t>Gaurav Chopra</t>
  </si>
  <si>
    <t>Abhishek Chaudhary</t>
  </si>
  <si>
    <t>Noor Sen</t>
  </si>
  <si>
    <t>Ritika Jain</t>
  </si>
  <si>
    <t>Sara Hussain</t>
  </si>
  <si>
    <t>Laksh Naidu</t>
  </si>
  <si>
    <t>Krish Chawla</t>
  </si>
  <si>
    <t>Aditi Gupta</t>
  </si>
  <si>
    <t>Trisha Mukherjee</t>
  </si>
  <si>
    <t>Kunal Dutta</t>
  </si>
  <si>
    <t>Noor Dutta</t>
  </si>
  <si>
    <t>Meera Menon</t>
  </si>
  <si>
    <t>Nazia Bose</t>
  </si>
  <si>
    <t>Diya Kapoor</t>
  </si>
  <si>
    <t>Ashwin Agarwal</t>
  </si>
  <si>
    <t>Nikhil Kapoor</t>
  </si>
  <si>
    <t>Sneha Shetty</t>
  </si>
  <si>
    <t>Meera Sharma</t>
  </si>
  <si>
    <t>Fatima Sinha</t>
  </si>
  <si>
    <t>Kiara Ansari</t>
  </si>
  <si>
    <t>Abhishek Das</t>
  </si>
  <si>
    <t>Ritika Saxena</t>
  </si>
  <si>
    <t>Ritika Nair</t>
  </si>
  <si>
    <t>Ananya Mishra</t>
  </si>
  <si>
    <t>Kunal Verma</t>
  </si>
  <si>
    <t>Raj Pai</t>
  </si>
  <si>
    <t>Raj Verma</t>
  </si>
  <si>
    <t>Zara Shaikh</t>
  </si>
  <si>
    <t>Deepak Tripathi</t>
  </si>
  <si>
    <t>Sai Patel</t>
  </si>
  <si>
    <t>Palak Menon</t>
  </si>
  <si>
    <t>Aryan Roy</t>
  </si>
  <si>
    <t>Bhavna Hussain</t>
  </si>
  <si>
    <t>Ashwin Shaikh</t>
  </si>
  <si>
    <t>Meera Pathan</t>
  </si>
  <si>
    <t>Charu Dutta</t>
  </si>
  <si>
    <t>Manish Bhatia</t>
  </si>
  <si>
    <t>Aryan Sinha</t>
  </si>
  <si>
    <t>Bhavna Mukherjee</t>
  </si>
  <si>
    <t>Deepak Patel</t>
  </si>
  <si>
    <t>Dhruv Tripathi</t>
  </si>
  <si>
    <t>Alina Pillai</t>
  </si>
  <si>
    <t>Raj Hegde</t>
  </si>
  <si>
    <t>Myra Reddy</t>
  </si>
  <si>
    <t>Diya Sharma</t>
  </si>
  <si>
    <t>Tanvi Srivastava</t>
  </si>
  <si>
    <t>Aisha George</t>
  </si>
  <si>
    <t>Sara Patel</t>
  </si>
  <si>
    <t>Rahul Jain</t>
  </si>
  <si>
    <t>Charu Pandey</t>
  </si>
  <si>
    <t>Aman Hegde</t>
  </si>
  <si>
    <t>Aditi Rawat</t>
  </si>
  <si>
    <t>Meera Qureshi</t>
  </si>
  <si>
    <t>Simran Joseph</t>
  </si>
  <si>
    <t>Sana Rawat</t>
  </si>
  <si>
    <t>Avni Ansari</t>
  </si>
  <si>
    <t>Kunal Khanna</t>
  </si>
  <si>
    <t>Diya Desai</t>
  </si>
  <si>
    <t>Ashwin George</t>
  </si>
  <si>
    <t>Alina Bhatia</t>
  </si>
  <si>
    <t>Rahul Pathan</t>
  </si>
  <si>
    <t>Suresh Malik</t>
  </si>
  <si>
    <t>Simran Vora</t>
  </si>
  <si>
    <t>Ishaan Farooqui</t>
  </si>
  <si>
    <t>Trisha Bhatia</t>
  </si>
  <si>
    <t>Varun Khan</t>
  </si>
  <si>
    <t>Ananya Syed</t>
  </si>
  <si>
    <t>Mitali Nair</t>
  </si>
  <si>
    <t>Bhavna Kulkarni</t>
  </si>
  <si>
    <t>Vikram Pai</t>
  </si>
  <si>
    <t>Bhavna Nair</t>
  </si>
  <si>
    <t>Noor Mathew</t>
  </si>
  <si>
    <t>Manya Singh</t>
  </si>
  <si>
    <t>Zara Mukherjee</t>
  </si>
  <si>
    <t>Aarav Khanna</t>
  </si>
  <si>
    <t>Hina Malhotra</t>
  </si>
  <si>
    <t>Rohan Fernandes</t>
  </si>
  <si>
    <t>Rahul Joshi</t>
  </si>
  <si>
    <t>Akash Verma</t>
  </si>
  <si>
    <t>Ritika Shetty</t>
  </si>
  <si>
    <t>Avni Rawat</t>
  </si>
  <si>
    <t>Laksh Dubey</t>
  </si>
  <si>
    <t>Priya Hussain</t>
  </si>
  <si>
    <t>Meera Chaudhary</t>
  </si>
  <si>
    <t>Isha Yadav</t>
  </si>
  <si>
    <t>Kunal Naidu</t>
  </si>
  <si>
    <t>Ashwin Kulkarni</t>
  </si>
  <si>
    <t>Devansh Sharma</t>
  </si>
  <si>
    <t>Aditya Tiwari</t>
  </si>
  <si>
    <t>Charu Hussain</t>
  </si>
  <si>
    <t>Raina Malik</t>
  </si>
  <si>
    <t>Laksh Mishra</t>
  </si>
  <si>
    <t>Diya Joseph</t>
  </si>
  <si>
    <t>Krish Kaur</t>
  </si>
  <si>
    <t>Pooja Verma</t>
  </si>
  <si>
    <t>Avni Singh</t>
  </si>
  <si>
    <t>Aisha Arora</t>
  </si>
  <si>
    <t>Neel Reddy</t>
  </si>
  <si>
    <t>Aaliyah Verma</t>
  </si>
  <si>
    <t>Mitali Kapoor</t>
  </si>
  <si>
    <t>Diya Gupta</t>
  </si>
  <si>
    <t>Tanishq Nair</t>
  </si>
  <si>
    <t>Nikhil Chopra</t>
  </si>
  <si>
    <t>Sara Saxena</t>
  </si>
  <si>
    <t>Ankit Agarwal</t>
  </si>
  <si>
    <t>Kiara Tiwari</t>
  </si>
  <si>
    <t>Zoya Yadav</t>
  </si>
  <si>
    <t>Raina Shaikh</t>
  </si>
  <si>
    <t>Karan Chaudhary</t>
  </si>
  <si>
    <t>Laksh Rao</t>
  </si>
  <si>
    <t>Kunal Ansari</t>
  </si>
  <si>
    <t>Aisha Agarwal</t>
  </si>
  <si>
    <t>Palak Chawla</t>
  </si>
  <si>
    <t>Charu Nair</t>
  </si>
  <si>
    <t>Noor Shetty</t>
  </si>
  <si>
    <t>Avni Mirza</t>
  </si>
  <si>
    <t>Varun Bansal</t>
  </si>
  <si>
    <t>Priya George</t>
  </si>
  <si>
    <t>Ved Iyer</t>
  </si>
  <si>
    <t>Kunal Pillai</t>
  </si>
  <si>
    <t>Karan Dutta</t>
  </si>
  <si>
    <t>Laksh Gupta</t>
  </si>
  <si>
    <t>Yash Pillai</t>
  </si>
  <si>
    <t>Aryan Tiwari</t>
  </si>
  <si>
    <t>Vivaan Khanna</t>
  </si>
  <si>
    <t>Manish Jain</t>
  </si>
  <si>
    <t>Abhishek Banerjee</t>
  </si>
  <si>
    <t>Laksh Mathew</t>
  </si>
  <si>
    <t>Kunal Solanki</t>
  </si>
  <si>
    <t>Manya Ghosh</t>
  </si>
  <si>
    <t>Charu Reddy</t>
  </si>
  <si>
    <t>Akash Chopra</t>
  </si>
  <si>
    <t>Varun Rawat</t>
  </si>
  <si>
    <t>Kabir Shetty</t>
  </si>
  <si>
    <t>Aditya Ghosh</t>
  </si>
  <si>
    <t>Fatima Pai</t>
  </si>
  <si>
    <t>Aditi Kaur</t>
  </si>
  <si>
    <t>Suresh Bansal</t>
  </si>
  <si>
    <t>Nikhil Dubey</t>
  </si>
  <si>
    <t>Alina Banerjee</t>
  </si>
  <si>
    <t>Pranav Bhargava</t>
  </si>
  <si>
    <t>Shruti Khan</t>
  </si>
  <si>
    <t>Gaurav Joseph</t>
  </si>
  <si>
    <t>Harsh Solanki</t>
  </si>
  <si>
    <t>Harsh Shah</t>
  </si>
  <si>
    <t>Mohit Khan</t>
  </si>
  <si>
    <t>Deepak Hussain</t>
  </si>
  <si>
    <t>Rahul Mirza</t>
  </si>
  <si>
    <t>Sai Malhotra</t>
  </si>
  <si>
    <t>Karan Sharma</t>
  </si>
  <si>
    <t>Kiara Shah</t>
  </si>
  <si>
    <t>Nikhil Joshi</t>
  </si>
  <si>
    <t>Simran Patel</t>
  </si>
  <si>
    <t>Aditya Sharma</t>
  </si>
  <si>
    <t>Kunal Shetty</t>
  </si>
  <si>
    <t>Vivaan Singh</t>
  </si>
  <si>
    <t>Ashwin Sen</t>
  </si>
  <si>
    <t>Kunal Roy</t>
  </si>
  <si>
    <t>Aditya Pathan</t>
  </si>
  <si>
    <t>Ira Yadav</t>
  </si>
  <si>
    <t>Kavya Reddy</t>
  </si>
  <si>
    <t>Ashwin Kaur</t>
  </si>
  <si>
    <t>Aisha Pillai</t>
  </si>
  <si>
    <t>Rukhsar Mirza</t>
  </si>
  <si>
    <t>Shruti Solanki</t>
  </si>
  <si>
    <t>Neha Naidu</t>
  </si>
  <si>
    <t>Priya Rawat</t>
  </si>
  <si>
    <t>Myra Joseph</t>
  </si>
  <si>
    <t>Priya Verma</t>
  </si>
  <si>
    <t>Ananya Hegde</t>
  </si>
  <si>
    <t>Rahul Patel</t>
  </si>
  <si>
    <t>Ira Bansal</t>
  </si>
  <si>
    <t>Alina Reddy</t>
  </si>
  <si>
    <t>Ashwin Gupta</t>
  </si>
  <si>
    <t>Nikhil Khanna</t>
  </si>
  <si>
    <t>Alina Ansari</t>
  </si>
  <si>
    <t>Sanya Hussain</t>
  </si>
  <si>
    <t>Alina Verma</t>
  </si>
  <si>
    <t>Raj Chopra</t>
  </si>
  <si>
    <t>Aditya Arora</t>
  </si>
  <si>
    <t>Zoya Chawla</t>
  </si>
  <si>
    <t>Zara Malhotra</t>
  </si>
  <si>
    <t>Palak Sinha</t>
  </si>
  <si>
    <t>Alina Bose</t>
  </si>
  <si>
    <t>Alina Srivastava</t>
  </si>
  <si>
    <t>Mohit Bansal</t>
  </si>
  <si>
    <t>Atharv Shah</t>
  </si>
  <si>
    <t>Priya Pathan</t>
  </si>
  <si>
    <t>Krish Kapoor</t>
  </si>
  <si>
    <t>Sneha D'Souza</t>
  </si>
  <si>
    <t>Nikhil Malhotra</t>
  </si>
  <si>
    <t>Ishaan Mehta</t>
  </si>
  <si>
    <t>Om Dubey</t>
  </si>
  <si>
    <t>Aditi Banerjee</t>
  </si>
  <si>
    <t>Yash Desai</t>
  </si>
  <si>
    <t>Neha Kaur</t>
  </si>
  <si>
    <t>Laksh Kaur</t>
  </si>
  <si>
    <t>Atharv Chopra</t>
  </si>
  <si>
    <t>Parth Menon</t>
  </si>
  <si>
    <t>Ananya Sharma</t>
  </si>
  <si>
    <t>Manya Thomas</t>
  </si>
  <si>
    <t>Parth Dutta</t>
  </si>
  <si>
    <t>Kavya Kulkarni</t>
  </si>
  <si>
    <t>Ananya Rao</t>
  </si>
  <si>
    <t>Vikram Shetty</t>
  </si>
  <si>
    <t>Fatima Iyer</t>
  </si>
  <si>
    <t>Vivaan Tripathi</t>
  </si>
  <si>
    <t>Kiara Srivastava</t>
  </si>
  <si>
    <t>Neha Tiwari</t>
  </si>
  <si>
    <t>Neha Shaikh</t>
  </si>
  <si>
    <t>Riya Joshi</t>
  </si>
  <si>
    <t>Harsh D'Souza</t>
  </si>
  <si>
    <t>Yash Thakur</t>
  </si>
  <si>
    <t>Shruti Banerjee</t>
  </si>
  <si>
    <t>Pranav Das</t>
  </si>
  <si>
    <t>Bhavna Menon</t>
  </si>
  <si>
    <t>Meera Tiwari</t>
  </si>
  <si>
    <t>Aarav Naidu</t>
  </si>
  <si>
    <t>Aryan Dubey</t>
  </si>
  <si>
    <t>Aryan Thomas</t>
  </si>
  <si>
    <t>Aryan D'Souza</t>
  </si>
  <si>
    <t>Aaliyah Shah</t>
  </si>
  <si>
    <t>Palak Saxena</t>
  </si>
  <si>
    <t>Sana Das</t>
  </si>
  <si>
    <t>Abhishek Chopra</t>
  </si>
  <si>
    <t>Raj Naidu</t>
  </si>
  <si>
    <t>Kabir Tripathi</t>
  </si>
  <si>
    <t>Gaurav Banerjee</t>
  </si>
  <si>
    <t>Ishaan Dubey</t>
  </si>
  <si>
    <t>Sanya Naidu</t>
  </si>
  <si>
    <t>Parth Bhatia</t>
  </si>
  <si>
    <t>Alina Das</t>
  </si>
  <si>
    <t>Zoya Hussain</t>
  </si>
  <si>
    <t>Deepak Mehta</t>
  </si>
  <si>
    <t>Charu Arora</t>
  </si>
  <si>
    <t>Trisha Tripathi</t>
  </si>
  <si>
    <t>Neel Shetty</t>
  </si>
  <si>
    <t>Pranav Shah</t>
  </si>
  <si>
    <t>Palak Bose</t>
  </si>
  <si>
    <t>Shruti Kaur</t>
  </si>
  <si>
    <t>Raina Dubey</t>
  </si>
  <si>
    <t>Abhishek Hegde</t>
  </si>
  <si>
    <t>Kunal Pathan</t>
  </si>
  <si>
    <t>Avni Hussain</t>
  </si>
  <si>
    <t>Kunal Desai</t>
  </si>
  <si>
    <t>Om Vora</t>
  </si>
  <si>
    <t>Nazia Gupta</t>
  </si>
  <si>
    <t>Sneha Ghosh</t>
  </si>
  <si>
    <t>Devansh Syed</t>
  </si>
  <si>
    <t>Zara Mathew</t>
  </si>
  <si>
    <t>Zoya Pathan</t>
  </si>
  <si>
    <t>Simran Chaudhary</t>
  </si>
  <si>
    <t>Arjun Qureshi</t>
  </si>
  <si>
    <t>Kavya Tripathi</t>
  </si>
  <si>
    <t>Avni Desai</t>
  </si>
  <si>
    <t>Pooja Chawla</t>
  </si>
  <si>
    <t>Varun Farooqui</t>
  </si>
  <si>
    <t>Trisha George</t>
  </si>
  <si>
    <t>Kabir Joshi</t>
  </si>
  <si>
    <t>Palak Gupta</t>
  </si>
  <si>
    <t>Pooja Singh</t>
  </si>
  <si>
    <t>Dhruv Menon</t>
  </si>
  <si>
    <t>Harsh Banerjee</t>
  </si>
  <si>
    <t>Ankit Yadav</t>
  </si>
  <si>
    <t>Raina Mathew</t>
  </si>
  <si>
    <t>Nikhil Hegde</t>
  </si>
  <si>
    <t>Deepak Rao</t>
  </si>
  <si>
    <t>Ira Naidu</t>
  </si>
  <si>
    <t>Arjun Das</t>
  </si>
  <si>
    <t>Tanishq Arora</t>
  </si>
  <si>
    <t>Gaurav Mirza</t>
  </si>
  <si>
    <t>Kabir Srivastava</t>
  </si>
  <si>
    <t>Nazia Naidu</t>
  </si>
  <si>
    <t>Zoya Bhatia</t>
  </si>
  <si>
    <t>Krish Solanki</t>
  </si>
  <si>
    <t>Bhavna Yadav</t>
  </si>
  <si>
    <t>Palak Desai</t>
  </si>
  <si>
    <t>Meera Chopra</t>
  </si>
  <si>
    <t>Isha Bose</t>
  </si>
  <si>
    <t>Manya Bhatia</t>
  </si>
  <si>
    <t>Deepak Rawat</t>
  </si>
  <si>
    <t>Riya Syed</t>
  </si>
  <si>
    <t>Sara Srivastava</t>
  </si>
  <si>
    <t>Raina Rao</t>
  </si>
  <si>
    <t>Gaurav Malik</t>
  </si>
  <si>
    <t>Raj Vora</t>
  </si>
  <si>
    <t>Gaurav Roy</t>
  </si>
  <si>
    <t>Meera Rao</t>
  </si>
  <si>
    <t>Kabir George</t>
  </si>
  <si>
    <t>Rukhsar Kapoor</t>
  </si>
  <si>
    <t>Om Patel</t>
  </si>
  <si>
    <t>Gaurav Shah</t>
  </si>
  <si>
    <t>Manish Srivastava</t>
  </si>
  <si>
    <t>Noor Pathan</t>
  </si>
  <si>
    <t>Pranav Shetty</t>
  </si>
  <si>
    <t>Gaurav Pai</t>
  </si>
  <si>
    <t>Trisha Khan</t>
  </si>
  <si>
    <t>Devansh Tripathi</t>
  </si>
  <si>
    <t>Sai Sen</t>
  </si>
  <si>
    <t>Devansh Malik</t>
  </si>
  <si>
    <t>Ritika Vora</t>
  </si>
  <si>
    <t>Bhavna Shaikh</t>
  </si>
  <si>
    <t>Fatima Syed</t>
  </si>
  <si>
    <t>Pooja Bhatia</t>
  </si>
  <si>
    <t>Neha Hussain</t>
  </si>
  <si>
    <t>Parth Hussain</t>
  </si>
  <si>
    <t>Rohan Thomas</t>
  </si>
  <si>
    <t>Mohit Khanna</t>
  </si>
  <si>
    <t>Raina Menon</t>
  </si>
  <si>
    <t>Diya Tiwari</t>
  </si>
  <si>
    <t>Sai George</t>
  </si>
  <si>
    <t>Tanvi Chaudhary</t>
  </si>
  <si>
    <t>Ananya Thomas</t>
  </si>
  <si>
    <t>Zoya Chaudhary</t>
  </si>
  <si>
    <t>Nazia Fernandes</t>
  </si>
  <si>
    <t>Varun Nair</t>
  </si>
  <si>
    <t>Alina Chaudhary</t>
  </si>
  <si>
    <t>Kunal Sen</t>
  </si>
  <si>
    <t>Aaliyah Malik</t>
  </si>
  <si>
    <t>Harsh Saxena</t>
  </si>
  <si>
    <t>Aditi Tripathi</t>
  </si>
  <si>
    <t>Sara Dutta</t>
  </si>
  <si>
    <t>Vikram Reddy</t>
  </si>
  <si>
    <t>Meera Shetty</t>
  </si>
  <si>
    <t>Rahul Sen</t>
  </si>
  <si>
    <t>Zara Khan</t>
  </si>
  <si>
    <t>Riya Dutta</t>
  </si>
  <si>
    <t>Avni Dubey</t>
  </si>
  <si>
    <t>Mitali Malhotra</t>
  </si>
  <si>
    <t>Sanya Rawat</t>
  </si>
  <si>
    <t>Bhavna Khan</t>
  </si>
  <si>
    <t>Ishaan Sharma</t>
  </si>
  <si>
    <t>Ananya Joseph</t>
  </si>
  <si>
    <t>Om Joshi</t>
  </si>
  <si>
    <t>Raina Khanna</t>
  </si>
  <si>
    <t>Pranav Dutta</t>
  </si>
  <si>
    <t>Ishaan Roy</t>
  </si>
  <si>
    <t>Dhruv Kulkarni</t>
  </si>
  <si>
    <t>Alina Khan</t>
  </si>
  <si>
    <t>Dhruv Kapoor</t>
  </si>
  <si>
    <t>Rohan Reddy</t>
  </si>
  <si>
    <t>Bhavna Singh</t>
  </si>
  <si>
    <t>Isha Sinha</t>
  </si>
  <si>
    <t>Trisha Joseph</t>
  </si>
  <si>
    <t>Aarav Fernandes</t>
  </si>
  <si>
    <t>Sanya Iyer</t>
  </si>
  <si>
    <t>Parth Mukherjee</t>
  </si>
  <si>
    <t>Harsh Kapoor</t>
  </si>
  <si>
    <t>Nikhil Fernandes</t>
  </si>
  <si>
    <t>Ananya Reddy</t>
  </si>
  <si>
    <t>Nisha Agarwal</t>
  </si>
  <si>
    <t>Dhruv Jain</t>
  </si>
  <si>
    <t>Raina Kulkarni</t>
  </si>
  <si>
    <t>Abhishek Malhotra</t>
  </si>
  <si>
    <t>Nikhil Srivastava</t>
  </si>
  <si>
    <t>Ananya Menon</t>
  </si>
  <si>
    <t>Kavya Chopra</t>
  </si>
  <si>
    <t>Ved Tiwari</t>
  </si>
  <si>
    <t>Meera Dubey</t>
  </si>
  <si>
    <t>Meera Chawla</t>
  </si>
  <si>
    <t>Neel Mirza</t>
  </si>
  <si>
    <t>Alina Patel</t>
  </si>
  <si>
    <t>Nazia Vora</t>
  </si>
  <si>
    <t>Trisha Chaudhary</t>
  </si>
  <si>
    <t>Nazia Thomas</t>
  </si>
  <si>
    <t>Tanishq Iyer</t>
  </si>
  <si>
    <t>Sneha Shah</t>
  </si>
  <si>
    <t>Isha Srivastava</t>
  </si>
  <si>
    <t>Arjun Tiwari</t>
  </si>
  <si>
    <t>Manish Naidu</t>
  </si>
  <si>
    <t>Aditi Kapoor</t>
  </si>
  <si>
    <t>Yash Mirza</t>
  </si>
  <si>
    <t>Vivaan Thakur</t>
  </si>
  <si>
    <t>Kabir Kulkarni</t>
  </si>
  <si>
    <t>Yash Singh</t>
  </si>
  <si>
    <t>Zoya Joshi</t>
  </si>
  <si>
    <t>Siddharth Pai</t>
  </si>
  <si>
    <t>Raina Hegde</t>
  </si>
  <si>
    <t>Priya Malik</t>
  </si>
  <si>
    <t>Kunal Kaur</t>
  </si>
  <si>
    <t>Sanya Desai</t>
  </si>
  <si>
    <t>Manya Desai</t>
  </si>
  <si>
    <t>Vikram Arora</t>
  </si>
  <si>
    <t>Simran Malik</t>
  </si>
  <si>
    <t>Ishaan Naidu</t>
  </si>
  <si>
    <t>Ira Bose</t>
  </si>
  <si>
    <t>Rahul Banerjee</t>
  </si>
  <si>
    <t>Ananya D'Souza</t>
  </si>
  <si>
    <t>Pooja Joseph</t>
  </si>
  <si>
    <t>Nazia Nair</t>
  </si>
  <si>
    <t>Manya Yadav</t>
  </si>
  <si>
    <t>Isha Patel</t>
  </si>
  <si>
    <t>Meera Patel</t>
  </si>
  <si>
    <t>Aman Shaikh</t>
  </si>
  <si>
    <t>Tanvi Vora</t>
  </si>
  <si>
    <t>Neha Jain</t>
  </si>
  <si>
    <t>Arjun Bansal</t>
  </si>
  <si>
    <t>Raina Dutta</t>
  </si>
  <si>
    <t>Ashwin Joshi</t>
  </si>
  <si>
    <t>Tanvi Malhotra</t>
  </si>
  <si>
    <t>Pranav Joseph</t>
  </si>
  <si>
    <t>Vikram Thakur</t>
  </si>
  <si>
    <t>Rahul Shaikh</t>
  </si>
  <si>
    <t>Alina Vora</t>
  </si>
  <si>
    <t>Ved Sinha</t>
  </si>
  <si>
    <t>Shruti Menon</t>
  </si>
  <si>
    <t>Sara Bhatia</t>
  </si>
  <si>
    <t>Nikhil Syed</t>
  </si>
  <si>
    <t>Aarav Gupta</t>
  </si>
  <si>
    <t>Vivaan Banerjee</t>
  </si>
  <si>
    <t>Rohan Ansari</t>
  </si>
  <si>
    <t>Parth Srivastava</t>
  </si>
  <si>
    <t>Simran Yadav</t>
  </si>
  <si>
    <t>Sai Pai</t>
  </si>
  <si>
    <t>Devansh Saxena</t>
  </si>
  <si>
    <t>Diya Pai</t>
  </si>
  <si>
    <t>Kabir Dutta</t>
  </si>
  <si>
    <t>Yash Rawat</t>
  </si>
  <si>
    <t>Isha Pathan</t>
  </si>
  <si>
    <t>Karan Yadav</t>
  </si>
  <si>
    <t>Devansh Farooqui</t>
  </si>
  <si>
    <t>Manya Saxena</t>
  </si>
  <si>
    <t>Suresh Tripathi</t>
  </si>
  <si>
    <t>Diya Mathew</t>
  </si>
  <si>
    <t>Ved Shaikh</t>
  </si>
  <si>
    <t>Suresh Hussain</t>
  </si>
  <si>
    <t>Diya Kaur</t>
  </si>
  <si>
    <t>Aarav Shetty</t>
  </si>
  <si>
    <t>Arjun Mishra</t>
  </si>
  <si>
    <t>Mohit Chaudhary</t>
  </si>
  <si>
    <t>Vivaan Bansal</t>
  </si>
  <si>
    <t>Aarav Dubey</t>
  </si>
  <si>
    <t>Manya Menon</t>
  </si>
  <si>
    <t>Varun Mirza</t>
  </si>
  <si>
    <t>Rahul Chawla</t>
  </si>
  <si>
    <t>Nikhil Farooqui</t>
  </si>
  <si>
    <t>Kiara Rawat</t>
  </si>
  <si>
    <t>Bhavna Desai</t>
  </si>
  <si>
    <t>Hina Reddy</t>
  </si>
  <si>
    <t>Siddharth Shah</t>
  </si>
  <si>
    <t>Rahul D'Souza</t>
  </si>
  <si>
    <t>Nisha Bose</t>
  </si>
  <si>
    <t>Aditi Ghosh</t>
  </si>
  <si>
    <t>Kabir Naidu</t>
  </si>
  <si>
    <t>Harsh George</t>
  </si>
  <si>
    <t>Charu Chopra</t>
  </si>
  <si>
    <t>Kiara Jain</t>
  </si>
  <si>
    <t>Varun George</t>
  </si>
  <si>
    <t>Manya Mathew</t>
  </si>
  <si>
    <t>Tanvi Jain</t>
  </si>
  <si>
    <t>Ananya Sinha</t>
  </si>
  <si>
    <t>Diya Solanki</t>
  </si>
  <si>
    <t>Zara Syed</t>
  </si>
  <si>
    <t>Karan Tiwari</t>
  </si>
  <si>
    <t>Myra George</t>
  </si>
  <si>
    <t>Noor Banerjee</t>
  </si>
  <si>
    <t>Sneha Mathew</t>
  </si>
  <si>
    <t>Rahul Agarwal</t>
  </si>
  <si>
    <t>Nisha Das</t>
  </si>
  <si>
    <t>Priya Ghosh</t>
  </si>
  <si>
    <t>Suresh Thomas</t>
  </si>
  <si>
    <t>Aryan Jain</t>
  </si>
  <si>
    <t>Rohan Mathew</t>
  </si>
  <si>
    <t>Karan Vora</t>
  </si>
  <si>
    <t>Sara D'Souza</t>
  </si>
  <si>
    <t>Raina Yadav</t>
  </si>
  <si>
    <t>Om Khanna</t>
  </si>
  <si>
    <t>Simran Verma</t>
  </si>
  <si>
    <t>Nazia Banerjee</t>
  </si>
  <si>
    <t>Aditi Shaikh</t>
  </si>
  <si>
    <t>Kiara Qureshi</t>
  </si>
  <si>
    <t>Rahul Iyer</t>
  </si>
  <si>
    <t>Sanya Srivastava</t>
  </si>
  <si>
    <t>Meera Pai</t>
  </si>
  <si>
    <t>Suresh Mirza</t>
  </si>
  <si>
    <t>Diya Hussain</t>
  </si>
  <si>
    <t>Aditya Dubey</t>
  </si>
  <si>
    <t>Om Qureshi</t>
  </si>
  <si>
    <t>Alina Pathan</t>
  </si>
  <si>
    <t>Ishaan Srivastava</t>
  </si>
  <si>
    <t>Neha Rao</t>
  </si>
  <si>
    <t>Arjun Sen</t>
  </si>
  <si>
    <t>Rahul Ansari</t>
  </si>
  <si>
    <t>Ashwin Solanki</t>
  </si>
  <si>
    <t>Hina Mishra</t>
  </si>
  <si>
    <t>Aman Reddy</t>
  </si>
  <si>
    <t>Diya Bose</t>
  </si>
  <si>
    <t>Atharv Solanki</t>
  </si>
  <si>
    <t>Raj Yadav</t>
  </si>
  <si>
    <t>Aisha Chopra</t>
  </si>
  <si>
    <t>Om Mehta</t>
  </si>
  <si>
    <t>Om Chawla</t>
  </si>
  <si>
    <t>Gaurav Verma</t>
  </si>
  <si>
    <t>Ananya Nair</t>
  </si>
  <si>
    <t>Nazia Das</t>
  </si>
  <si>
    <t>Nisha Bhargava</t>
  </si>
  <si>
    <t>Raj Saxena</t>
  </si>
  <si>
    <t>Rahul Singh</t>
  </si>
  <si>
    <t>Riya Chawla</t>
  </si>
  <si>
    <t>Zara Reddy</t>
  </si>
  <si>
    <t>Dhruv Tiwari</t>
  </si>
  <si>
    <t>Ishaan Shah</t>
  </si>
  <si>
    <t>Aman D'Souza</t>
  </si>
  <si>
    <t>Noor Solanki</t>
  </si>
  <si>
    <t>Aditi Kulkarni</t>
  </si>
  <si>
    <t>Raj Sharma</t>
  </si>
  <si>
    <t>Sara Naidu</t>
  </si>
  <si>
    <t>Kabir Agarwal</t>
  </si>
  <si>
    <t>Alina Menon</t>
  </si>
  <si>
    <t>Yash Bose</t>
  </si>
  <si>
    <t>Ananya Bansal</t>
  </si>
  <si>
    <t>Mitali Patel</t>
  </si>
  <si>
    <t>Tanvi Arora</t>
  </si>
  <si>
    <t>Diya Joshi</t>
  </si>
  <si>
    <t>Krish Mukherjee</t>
  </si>
  <si>
    <t>Kavya Sharma</t>
  </si>
  <si>
    <t>Karan Srivastava</t>
  </si>
  <si>
    <t>Krish Hussain</t>
  </si>
  <si>
    <t>Yash Verma</t>
  </si>
  <si>
    <t>Kavya Malhotra</t>
  </si>
  <si>
    <t>Dhruv Vora</t>
  </si>
  <si>
    <t>Laksh Sinha</t>
  </si>
  <si>
    <t>Nazia Qureshi</t>
  </si>
  <si>
    <t>Arjun D'Souza</t>
  </si>
  <si>
    <t>Manish Shetty</t>
  </si>
  <si>
    <t>Ritika Tiwari</t>
  </si>
  <si>
    <t>Aisha Reddy</t>
  </si>
  <si>
    <t>Karan Naidu</t>
  </si>
  <si>
    <t>Sara Khan</t>
  </si>
  <si>
    <t>Simran Kapoor</t>
  </si>
  <si>
    <t>Parth Sharma</t>
  </si>
  <si>
    <t>Raina Iyer</t>
  </si>
  <si>
    <t>Aditi Qureshi</t>
  </si>
  <si>
    <t>Suresh Reddy</t>
  </si>
  <si>
    <t>Arjun Arora</t>
  </si>
  <si>
    <t>Harsh Tripathi</t>
  </si>
  <si>
    <t>Priya Ansari</t>
  </si>
  <si>
    <t>Pooja Pandey</t>
  </si>
  <si>
    <t>Zara Ansari</t>
  </si>
  <si>
    <t>Gaurav Ghosh</t>
  </si>
  <si>
    <t>Ananya Hussain</t>
  </si>
  <si>
    <t>Atharv Rao</t>
  </si>
  <si>
    <t>Ved Dubey</t>
  </si>
  <si>
    <t>Ved Rao</t>
  </si>
  <si>
    <t>Mitali Gupta</t>
  </si>
  <si>
    <t>Tanvi Thomas</t>
  </si>
  <si>
    <t>Charu Ghosh</t>
  </si>
  <si>
    <t>Devansh Dutta</t>
  </si>
  <si>
    <t>Alina Nair</t>
  </si>
  <si>
    <t>Simran Reddy</t>
  </si>
  <si>
    <t>Priya Chaudhary</t>
  </si>
  <si>
    <t>Mohit Shetty</t>
  </si>
  <si>
    <t>Zoya Mishra</t>
  </si>
  <si>
    <t>Fatima Nair</t>
  </si>
  <si>
    <t>Atharv Farooqui</t>
  </si>
  <si>
    <t>Avni Malik</t>
  </si>
  <si>
    <t>Akash Bose</t>
  </si>
  <si>
    <t>Akash Tiwari</t>
  </si>
  <si>
    <t>Priya Naidu</t>
  </si>
  <si>
    <t>Sai Pathan</t>
  </si>
  <si>
    <t>Sara Farooqui</t>
  </si>
  <si>
    <t>Sara Chawla</t>
  </si>
  <si>
    <t>Isha George</t>
  </si>
  <si>
    <t>Manish Kulkarni</t>
  </si>
  <si>
    <t>Ira Das</t>
  </si>
  <si>
    <t>Zara Saxena</t>
  </si>
  <si>
    <t>Sanya Farooqui</t>
  </si>
  <si>
    <t>Rukhsar Farooqui</t>
  </si>
  <si>
    <t>Avni Bhatia</t>
  </si>
  <si>
    <t>Zoya Reddy</t>
  </si>
  <si>
    <t>Kunal Chaudhary</t>
  </si>
  <si>
    <t>Kiara Ghosh</t>
  </si>
  <si>
    <t>Atharv Khan</t>
  </si>
  <si>
    <t>Sanya Hegde</t>
  </si>
  <si>
    <t>Riya Hegde</t>
  </si>
  <si>
    <t>Sai Naidu</t>
  </si>
  <si>
    <t>Aryan Bose</t>
  </si>
  <si>
    <t>Karan Ansari</t>
  </si>
  <si>
    <t>Neha Rawat</t>
  </si>
  <si>
    <t>Average Order Value</t>
  </si>
  <si>
    <t>Profit Estimate</t>
  </si>
  <si>
    <t>Row Labels</t>
  </si>
  <si>
    <t>Grand Total</t>
  </si>
  <si>
    <t>Sum of Total Price</t>
  </si>
  <si>
    <t>Sum of Quantity</t>
  </si>
  <si>
    <t>Sum of Profit Estimate</t>
  </si>
  <si>
    <t>Sum of UnitPrice</t>
  </si>
  <si>
    <t>Count of Order ID</t>
  </si>
  <si>
    <t>Track key sales KPIs instantly</t>
  </si>
  <si>
    <t>Compare performance across regions and products</t>
  </si>
  <si>
    <t>Monitor salesperson contribution</t>
  </si>
  <si>
    <t>Analyze monthly sales trends</t>
  </si>
  <si>
    <t>Identify customer segment behavior</t>
  </si>
  <si>
    <t>Orders</t>
  </si>
  <si>
    <t>Qty</t>
  </si>
  <si>
    <t>Amount</t>
  </si>
  <si>
    <t>Unit Price</t>
  </si>
  <si>
    <t>Sales Performance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</si>
</sst>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_(&quot;$&quot;* #,##0_);_(&quot;$&quot;* \(#,##0\);_(&quot;$&quot;* &quot;-&quot;??_);_(@_)"/>
  </numFmts>
  <fonts count="3" x14ac:knownFonts="1">
    <font>
      <sz val="11"/>
      <color theme="1"/>
      <name val="Calibri"/>
      <family val="2"/>
      <scheme val="minor"/>
    </font>
    <font>
      <b/>
      <sz val="11"/>
      <color theme="1"/>
      <name val="Calibri"/>
      <family val="2"/>
      <scheme val="minor"/>
    </font>
    <font>
      <b/>
      <sz val="28"/>
      <color theme="0"/>
      <name val="Aptos Narrow"/>
      <family val="2"/>
    </font>
  </fonts>
  <fills count="4">
    <fill>
      <patternFill patternType="none"/>
    </fill>
    <fill>
      <patternFill patternType="gray125"/>
    </fill>
    <fill>
      <patternFill patternType="solid">
        <fgColor rgb="FFCC00CC"/>
        <bgColor indexed="64"/>
      </patternFill>
    </fill>
    <fill>
      <patternFill patternType="solid">
        <fgColor rgb="FFFF66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0" fillId="0" borderId="0" xfId="0" applyNumberFormat="1"/>
    <xf numFmtId="1" fontId="0" fillId="0" borderId="0" xfId="0" applyNumberFormat="1"/>
    <xf numFmtId="3" fontId="0" fillId="0" borderId="0" xfId="0" applyNumberFormat="1"/>
    <xf numFmtId="0" fontId="0" fillId="2" borderId="3" xfId="0" applyFill="1" applyBorder="1" applyAlignment="1">
      <alignment horizontal="center"/>
    </xf>
    <xf numFmtId="0" fontId="2" fillId="2" borderId="3" xfId="0" applyFont="1" applyFill="1" applyBorder="1" applyAlignment="1">
      <alignment horizontal="center" vertical="center"/>
    </xf>
  </cellXfs>
  <cellStyles count="1">
    <cellStyle name="Normal" xfId="0" builtinId="0"/>
  </cellStyles>
  <dxfs count="286">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 formatCode="0"/>
    </dxf>
    <dxf>
      <numFmt numFmtId="0" formatCode="General"/>
    </dxf>
    <dxf>
      <numFmt numFmtId="1" formatCode="0"/>
    </dxf>
    <dxf>
      <numFmt numFmtId="165" formatCode="_(&quot;$&quot;* #,##0_);_(&quot;$&quot;* \(#,##0\);_(&quot;$&quot;* &quot;-&quot;??_);_(@_)"/>
    </dxf>
    <dxf>
      <numFmt numFmtId="1" formatCode="0"/>
    </dxf>
    <dxf>
      <numFmt numFmtId="0" formatCode="General"/>
    </dxf>
    <dxf>
      <numFmt numFmtId="1" formatCode="0"/>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s>
  <tableStyles count="0" defaultTableStyle="TableStyleMedium9" defaultPivotStyle="PivotStyleLight16"/>
  <colors>
    <mruColors>
      <color rgb="FFCC00CC"/>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Dashboard.xlsx]Regional Performance!PivotTable1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Regional Sales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2195121951219513E-2"/>
              <c:y val="-4.18760469011725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4175084175084174E-3"/>
              <c:y val="4.18760469011725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13008130081300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0975609756097563E-3"/>
              <c:y val="-7.677186577700497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422764227642276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Performance'!$B$3</c:f>
              <c:strCache>
                <c:ptCount val="1"/>
                <c:pt idx="0">
                  <c:v>Sum of Total 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422764227642276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0A5-4875-9FE9-1B94AD02018D}"/>
                </c:ext>
              </c:extLst>
            </c:dLbl>
            <c:dLbl>
              <c:idx val="1"/>
              <c:layout>
                <c:manualLayout>
                  <c:x val="-1.2195121951219513E-2"/>
                  <c:y val="-4.18760469011725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A5-4875-9FE9-1B94AD02018D}"/>
                </c:ext>
              </c:extLst>
            </c:dLbl>
            <c:dLbl>
              <c:idx val="2"/>
              <c:layout>
                <c:manualLayout>
                  <c:x val="-8.4175084175084174E-3"/>
                  <c:y val="4.18760469011725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A5-4875-9FE9-1B94AD02018D}"/>
                </c:ext>
              </c:extLst>
            </c:dLbl>
            <c:dLbl>
              <c:idx val="3"/>
              <c:layout>
                <c:manualLayout>
                  <c:x val="-8.13008130081300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A5-4875-9FE9-1B94AD02018D}"/>
                </c:ext>
              </c:extLst>
            </c:dLbl>
            <c:dLbl>
              <c:idx val="4"/>
              <c:layout>
                <c:manualLayout>
                  <c:x val="-6.0975609756097563E-3"/>
                  <c:y val="-7.677186577700497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0A5-4875-9FE9-1B94AD0201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'Regional Performance'!$A$4:$A$9</c:f>
              <c:strCache>
                <c:ptCount val="5"/>
                <c:pt idx="0">
                  <c:v>Central</c:v>
                </c:pt>
                <c:pt idx="1">
                  <c:v>East</c:v>
                </c:pt>
                <c:pt idx="2">
                  <c:v>North</c:v>
                </c:pt>
                <c:pt idx="3">
                  <c:v>South</c:v>
                </c:pt>
                <c:pt idx="4">
                  <c:v>West</c:v>
                </c:pt>
              </c:strCache>
            </c:strRef>
          </c:cat>
          <c:val>
            <c:numRef>
              <c:f>'Regional Performance'!$B$4:$B$9</c:f>
              <c:numCache>
                <c:formatCode>_("$"* #,##0_);_("$"* \(#,##0\);_("$"*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A0A5-4875-9FE9-1B94AD02018D}"/>
            </c:ext>
          </c:extLst>
        </c:ser>
        <c:ser>
          <c:idx val="1"/>
          <c:order val="1"/>
          <c:tx>
            <c:strRef>
              <c:f>'Regional Performance'!$C$3</c:f>
              <c:strCache>
                <c:ptCount val="1"/>
                <c:pt idx="0">
                  <c:v>Sum of Profit Estimate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'Regional Performance'!$A$4:$A$9</c:f>
              <c:strCache>
                <c:ptCount val="5"/>
                <c:pt idx="0">
                  <c:v>Central</c:v>
                </c:pt>
                <c:pt idx="1">
                  <c:v>East</c:v>
                </c:pt>
                <c:pt idx="2">
                  <c:v>North</c:v>
                </c:pt>
                <c:pt idx="3">
                  <c:v>South</c:v>
                </c:pt>
                <c:pt idx="4">
                  <c:v>West</c:v>
                </c:pt>
              </c:strCache>
            </c:strRef>
          </c:cat>
          <c:val>
            <c:numRef>
              <c:f>'Regional Performance'!$C$4:$C$9</c:f>
              <c:numCache>
                <c:formatCode>_("$"* #,##0_);_("$"* \(#,##0\);_("$"* "-"??_);_(@_)</c:formatCode>
                <c:ptCount val="5"/>
                <c:pt idx="0">
                  <c:v>838759.12449999957</c:v>
                </c:pt>
                <c:pt idx="1">
                  <c:v>874838.40799999924</c:v>
                </c:pt>
                <c:pt idx="2">
                  <c:v>959954.97999999975</c:v>
                </c:pt>
                <c:pt idx="3">
                  <c:v>819376.65700000047</c:v>
                </c:pt>
                <c:pt idx="4">
                  <c:v>845802.3189999992</c:v>
                </c:pt>
              </c:numCache>
            </c:numRef>
          </c:val>
          <c:extLst>
            <c:ext xmlns:c16="http://schemas.microsoft.com/office/drawing/2014/chart" uri="{C3380CC4-5D6E-409C-BE32-E72D297353CC}">
              <c16:uniqueId val="{0000000D-A0A5-4875-9FE9-1B94AD02018D}"/>
            </c:ext>
          </c:extLst>
        </c:ser>
        <c:dLbls>
          <c:dLblPos val="outEnd"/>
          <c:showLegendKey val="0"/>
          <c:showVal val="1"/>
          <c:showCatName val="0"/>
          <c:showSerName val="0"/>
          <c:showPercent val="0"/>
          <c:showBubbleSize val="0"/>
        </c:dLbls>
        <c:gapWidth val="100"/>
        <c:overlap val="-24"/>
        <c:axId val="2009618448"/>
        <c:axId val="2009619408"/>
      </c:barChart>
      <c:catAx>
        <c:axId val="20096184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9619408"/>
        <c:crosses val="autoZero"/>
        <c:auto val="1"/>
        <c:lblAlgn val="ctr"/>
        <c:lblOffset val="100"/>
        <c:noMultiLvlLbl val="0"/>
      </c:catAx>
      <c:valAx>
        <c:axId val="200961940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961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Analysis!PivotTable3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964912280701754"/>
              <c:y val="-4.3402777777777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4775828460038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183235867446385"/>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08576998050687"/>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5029239766081866E-2"/>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695906432748543"/>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4367431044803609E-3"/>
              <c:y val="7.709650290192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7828122361896"/>
          <c:y val="0.22454943132108487"/>
          <c:w val="0.40415246887998652"/>
          <c:h val="0.76788969087197434"/>
        </c:manualLayout>
      </c:layout>
      <c:doughnutChart>
        <c:varyColors val="1"/>
        <c:ser>
          <c:idx val="0"/>
          <c:order val="0"/>
          <c:tx>
            <c:strRef>
              <c:f>'Product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5B60-4692-9915-17EAC2103CA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5B60-4692-9915-17EAC2103CA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5B60-4692-9915-17EAC2103CA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5B60-4692-9915-17EAC2103CA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5B60-4692-9915-17EAC2103CA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B60-4692-9915-17EAC2103CA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5B60-4692-9915-17EAC2103CA7}"/>
              </c:ext>
            </c:extLst>
          </c:dPt>
          <c:dLbls>
            <c:dLbl>
              <c:idx val="0"/>
              <c:layout>
                <c:manualLayout>
                  <c:x val="0.12183235867446385"/>
                  <c:y val="-3.0381944444444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60-4692-9915-17EAC2103CA7}"/>
                </c:ext>
              </c:extLst>
            </c:dLbl>
            <c:dLbl>
              <c:idx val="1"/>
              <c:layout>
                <c:manualLayout>
                  <c:x val="0.104775828460038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60-4692-9915-17EAC2103CA7}"/>
                </c:ext>
              </c:extLst>
            </c:dLbl>
            <c:dLbl>
              <c:idx val="2"/>
              <c:layout>
                <c:manualLayout>
                  <c:x val="9.5029239766081866E-2"/>
                  <c:y val="5.2083333333333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B60-4692-9915-17EAC2103CA7}"/>
                </c:ext>
              </c:extLst>
            </c:dLbl>
            <c:dLbl>
              <c:idx val="3"/>
              <c:layout>
                <c:manualLayout>
                  <c:x val="2.4367431044803609E-3"/>
                  <c:y val="7.7096502901925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B60-4692-9915-17EAC2103CA7}"/>
                </c:ext>
              </c:extLst>
            </c:dLbl>
            <c:dLbl>
              <c:idx val="4"/>
              <c:layout>
                <c:manualLayout>
                  <c:x val="-0.11695906432748543"/>
                  <c:y val="3.0381944444444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B60-4692-9915-17EAC2103CA7}"/>
                </c:ext>
              </c:extLst>
            </c:dLbl>
            <c:dLbl>
              <c:idx val="5"/>
              <c:layout>
                <c:manualLayout>
                  <c:x val="-0.10964912280701754"/>
                  <c:y val="-4.3402777777777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60-4692-9915-17EAC2103CA7}"/>
                </c:ext>
              </c:extLst>
            </c:dLbl>
            <c:dLbl>
              <c:idx val="6"/>
              <c:layout>
                <c:manualLayout>
                  <c:x val="-0.11208576998050687"/>
                  <c:y val="-3.47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60-4692-9915-17EAC2103C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'Product Analysis'!$A$4:$A$11</c:f>
              <c:strCache>
                <c:ptCount val="7"/>
                <c:pt idx="0">
                  <c:v>Chair</c:v>
                </c:pt>
                <c:pt idx="1">
                  <c:v>Desk</c:v>
                </c:pt>
                <c:pt idx="2">
                  <c:v>Laptop</c:v>
                </c:pt>
                <c:pt idx="3">
                  <c:v>Monitor</c:v>
                </c:pt>
                <c:pt idx="4">
                  <c:v>Phone</c:v>
                </c:pt>
                <c:pt idx="5">
                  <c:v>Printer</c:v>
                </c:pt>
                <c:pt idx="6">
                  <c:v>Tablet</c:v>
                </c:pt>
              </c:strCache>
            </c:strRef>
          </c:cat>
          <c:val>
            <c:numRef>
              <c:f>'Product Analysis'!$B$4:$B$11</c:f>
              <c:numCache>
                <c:formatCode>_("$"* #,##0_);_("$"* \(#,##0\);_("$"* "-"??_);_(@_)</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5B60-4692-9915-17EAC2103C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Dashboard.xlsx]Salesperson Ranking!PivotTable4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Salesperson Ranking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'Salesperson Ranking'!$B$3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'Salesperson Ranking'!$A$4:$A$10</c:f>
              <c:strCache>
                <c:ptCount val="6"/>
                <c:pt idx="0">
                  <c:v>Alice</c:v>
                </c:pt>
                <c:pt idx="1">
                  <c:v>Bob</c:v>
                </c:pt>
                <c:pt idx="2">
                  <c:v>Carlos</c:v>
                </c:pt>
                <c:pt idx="3">
                  <c:v>Diana</c:v>
                </c:pt>
                <c:pt idx="4">
                  <c:v>Eva</c:v>
                </c:pt>
                <c:pt idx="5">
                  <c:v>Frank</c:v>
                </c:pt>
              </c:strCache>
            </c:strRef>
          </c:cat>
          <c:val>
            <c:numRef>
              <c:f>'Salesperson Ranking'!$B$4:$B$10</c:f>
              <c:numCache>
                <c:formatCode>_("$"* #,##0_);_("$"* \(#,##0\);_("$"* "-"??_);_(@_)</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3-74F2-405E-84EB-A55F3F84C8B5}"/>
            </c:ext>
          </c:extLst>
        </c:ser>
        <c:dLbls>
          <c:dLblPos val="outEnd"/>
          <c:showLegendKey val="0"/>
          <c:showVal val="1"/>
          <c:showCatName val="0"/>
          <c:showSerName val="0"/>
          <c:showPercent val="0"/>
          <c:showBubbleSize val="0"/>
        </c:dLbls>
        <c:gapWidth val="100"/>
        <c:axId val="545761920"/>
        <c:axId val="545763360"/>
      </c:barChart>
      <c:catAx>
        <c:axId val="5457619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763360"/>
        <c:crosses val="autoZero"/>
        <c:auto val="1"/>
        <c:lblAlgn val="ctr"/>
        <c:lblOffset val="100"/>
        <c:noMultiLvlLbl val="0"/>
      </c:catAx>
      <c:valAx>
        <c:axId val="545763360"/>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7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Sales Trend!PivotTable5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_("$"* #,##0_);_("$"* \(#,##0\);_("$"*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02B8-4E5C-8552-90A26D1AFB77}"/>
            </c:ext>
          </c:extLst>
        </c:ser>
        <c:dLbls>
          <c:dLblPos val="t"/>
          <c:showLegendKey val="0"/>
          <c:showVal val="1"/>
          <c:showCatName val="0"/>
          <c:showSerName val="0"/>
          <c:showPercent val="0"/>
          <c:showBubbleSize val="0"/>
        </c:dLbls>
        <c:marker val="1"/>
        <c:smooth val="0"/>
        <c:axId val="649041648"/>
        <c:axId val="649042128"/>
      </c:lineChart>
      <c:catAx>
        <c:axId val="6490416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9042128"/>
        <c:crosses val="autoZero"/>
        <c:auto val="1"/>
        <c:lblAlgn val="ctr"/>
        <c:lblOffset val="100"/>
        <c:noMultiLvlLbl val="0"/>
      </c:catAx>
      <c:valAx>
        <c:axId val="64904212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90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Dashboard.xlsx]Customer Type Analysis!PivotTable6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Type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061461067366578E-2"/>
              <c:y val="4.54760863225430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6288276465441822E-3"/>
              <c:y val="3.1944444444444446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182852143482067E-3"/>
              <c:y val="5.265748031496063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0885170603674539E-2"/>
              <c:y val="3.1840915718868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7041557305336818E-2"/>
              <c:y val="6.77066929133858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'Customer Type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1"/>
            <c:invertIfNegative val="0"/>
            <c:bubble3D val="0"/>
            <c:spPr>
              <a:solidFill>
                <a:schemeClr val="accent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6E7-4553-BFFE-28F415F4B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Type Analysis'!$A$4:$A$6</c:f>
              <c:strCache>
                <c:ptCount val="2"/>
                <c:pt idx="0">
                  <c:v>Retail</c:v>
                </c:pt>
                <c:pt idx="1">
                  <c:v>Wholesale</c:v>
                </c:pt>
              </c:strCache>
            </c:strRef>
          </c:cat>
          <c:val>
            <c:numRef>
              <c:f>'Customer Type Analysis'!$B$4:$B$6</c:f>
              <c:numCache>
                <c:formatCode>_("$"* #,##0_);_("$"* \(#,##0\);_("$"* "-"??_);_(@_)</c:formatCode>
                <c:ptCount val="2"/>
                <c:pt idx="0">
                  <c:v>2195525.5929999994</c:v>
                </c:pt>
                <c:pt idx="1">
                  <c:v>2184466.8355000019</c:v>
                </c:pt>
              </c:numCache>
            </c:numRef>
          </c:val>
          <c:extLst>
            <c:ext xmlns:c16="http://schemas.microsoft.com/office/drawing/2014/chart" uri="{C3380CC4-5D6E-409C-BE32-E72D297353CC}">
              <c16:uniqueId val="{00000000-E6E7-4553-BFFE-28F415F4B7C8}"/>
            </c:ext>
          </c:extLst>
        </c:ser>
        <c:dLbls>
          <c:showLegendKey val="0"/>
          <c:showVal val="0"/>
          <c:showCatName val="0"/>
          <c:showSerName val="0"/>
          <c:showPercent val="0"/>
          <c:showBubbleSize val="0"/>
        </c:dLbls>
        <c:gapWidth val="100"/>
        <c:overlap val="-24"/>
        <c:axId val="993694704"/>
        <c:axId val="993695664"/>
      </c:barChart>
      <c:catAx>
        <c:axId val="993694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3695664"/>
        <c:crosses val="autoZero"/>
        <c:auto val="1"/>
        <c:lblAlgn val="ctr"/>
        <c:lblOffset val="100"/>
        <c:noMultiLvlLbl val="0"/>
      </c:catAx>
      <c:valAx>
        <c:axId val="993695664"/>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36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Analysis!PivotTable3</c:name>
    <c:fmtId val="16"/>
  </c:pivotSource>
  <c:chart>
    <c:title>
      <c:tx>
        <c:rich>
          <a:bodyPr rot="0" spcFirstLastPara="1" vertOverflow="ellipsis" vert="horz" wrap="square" anchor="ctr" anchorCtr="1"/>
          <a:lstStyle/>
          <a:p>
            <a:pPr>
              <a:defRPr lang="en-US" sz="1800" b="1" i="0" u="none" strike="noStrike" kern="1200" baseline="0">
                <a:solidFill>
                  <a:schemeClr val="tx2"/>
                </a:solidFill>
                <a:latin typeface="+mn-lt"/>
                <a:ea typeface="+mn-ea"/>
                <a:cs typeface="+mn-cs"/>
              </a:defRPr>
            </a:pPr>
            <a:r>
              <a:rPr lang="en-US" sz="1800"/>
              <a:t>Product Analysis</a:t>
            </a:r>
          </a:p>
        </c:rich>
      </c:tx>
      <c:layout>
        <c:manualLayout>
          <c:xMode val="edge"/>
          <c:yMode val="edge"/>
          <c:x val="0.32512285033231825"/>
          <c:y val="1.1778700076283568E-2"/>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964912280701754"/>
              <c:y val="-4.340277777777778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47758284600389"/>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183235867446385"/>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08576998050687"/>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5029239766081866E-2"/>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695906432748543"/>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4367431044803609E-3"/>
              <c:y val="7.70965029019259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183235867446385"/>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47758284600389"/>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5029239766081866E-2"/>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4367431044803609E-3"/>
              <c:y val="7.70965029019259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695906432748543"/>
              <c:y val="3.038194444444444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964912280701754"/>
              <c:y val="-4.340277777777778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08576998050687"/>
              <c:y val="-3.47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183235867446385"/>
              <c:y val="-3.0381944444444444E-2"/>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47758284600389"/>
              <c:y val="0"/>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3947370467580442"/>
              <c:y val="-6.446689793146497E-2"/>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376679636569899"/>
              <c:y val="2.7122687250300457E-2"/>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695906432748543"/>
              <c:y val="3.0381944444444444E-2"/>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964912280701754"/>
              <c:y val="-4.340277777777778E-3"/>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1208576998050687"/>
              <c:y val="-3.4722222222222224E-2"/>
            </c:manualLayout>
          </c:layout>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7816644600843"/>
          <c:y val="0.14780827630191085"/>
          <c:w val="0.40415246887998652"/>
          <c:h val="0.76788969087197434"/>
        </c:manualLayout>
      </c:layout>
      <c:doughnutChart>
        <c:varyColors val="1"/>
        <c:ser>
          <c:idx val="0"/>
          <c:order val="0"/>
          <c:tx>
            <c:strRef>
              <c:f>'Product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A7F-43CC-A0F8-784EDDF1101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A7F-43CC-A0F8-784EDDF1101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A7F-43CC-A0F8-784EDDF1101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A7F-43CC-A0F8-784EDDF1101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DA7F-43CC-A0F8-784EDDF1101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DA7F-43CC-A0F8-784EDDF1101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DA7F-43CC-A0F8-784EDDF1101B}"/>
              </c:ext>
            </c:extLst>
          </c:dPt>
          <c:dLbls>
            <c:dLbl>
              <c:idx val="0"/>
              <c:layout>
                <c:manualLayout>
                  <c:x val="0.12183235867446385"/>
                  <c:y val="-3.0381944444444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7F-43CC-A0F8-784EDDF1101B}"/>
                </c:ext>
              </c:extLst>
            </c:dLbl>
            <c:dLbl>
              <c:idx val="1"/>
              <c:layout>
                <c:manualLayout>
                  <c:x val="0.104775828460038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7F-43CC-A0F8-784EDDF1101B}"/>
                </c:ext>
              </c:extLst>
            </c:dLbl>
            <c:dLbl>
              <c:idx val="2"/>
              <c:layout>
                <c:manualLayout>
                  <c:x val="0.13947370467580442"/>
                  <c:y val="-6.446689793146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7F-43CC-A0F8-784EDDF1101B}"/>
                </c:ext>
              </c:extLst>
            </c:dLbl>
            <c:dLbl>
              <c:idx val="3"/>
              <c:layout>
                <c:manualLayout>
                  <c:x val="0.16376679636569899"/>
                  <c:y val="2.7122687250300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7F-43CC-A0F8-784EDDF1101B}"/>
                </c:ext>
              </c:extLst>
            </c:dLbl>
            <c:dLbl>
              <c:idx val="4"/>
              <c:layout>
                <c:manualLayout>
                  <c:x val="-0.11695906432748543"/>
                  <c:y val="3.0381944444444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A7F-43CC-A0F8-784EDDF1101B}"/>
                </c:ext>
              </c:extLst>
            </c:dLbl>
            <c:dLbl>
              <c:idx val="5"/>
              <c:layout>
                <c:manualLayout>
                  <c:x val="-0.10964912280701754"/>
                  <c:y val="-4.3402777777777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A7F-43CC-A0F8-784EDDF1101B}"/>
                </c:ext>
              </c:extLst>
            </c:dLbl>
            <c:dLbl>
              <c:idx val="6"/>
              <c:layout>
                <c:manualLayout>
                  <c:x val="-0.11208576998050687"/>
                  <c:y val="-3.47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A7F-43CC-A0F8-784EDDF1101B}"/>
                </c:ext>
              </c:extLst>
            </c:dLbl>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'Product Analysis'!$A$4:$A$11</c:f>
              <c:strCache>
                <c:ptCount val="7"/>
                <c:pt idx="0">
                  <c:v>Chair</c:v>
                </c:pt>
                <c:pt idx="1">
                  <c:v>Desk</c:v>
                </c:pt>
                <c:pt idx="2">
                  <c:v>Laptop</c:v>
                </c:pt>
                <c:pt idx="3">
                  <c:v>Monitor</c:v>
                </c:pt>
                <c:pt idx="4">
                  <c:v>Phone</c:v>
                </c:pt>
                <c:pt idx="5">
                  <c:v>Printer</c:v>
                </c:pt>
                <c:pt idx="6">
                  <c:v>Tablet</c:v>
                </c:pt>
              </c:strCache>
            </c:strRef>
          </c:cat>
          <c:val>
            <c:numRef>
              <c:f>'Product Analysis'!$B$4:$B$11</c:f>
              <c:numCache>
                <c:formatCode>_("$"* #,##0_);_("$"* \(#,##0\);_("$"* "-"??_);_(@_)</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E-DA7F-43CC-A0F8-784EDDF110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3.2928322244691263E-2"/>
          <c:y val="0.85424020273327905"/>
          <c:w val="0.92548136983093654"/>
          <c:h val="0.12112925539479978"/>
        </c:manualLayout>
      </c:layout>
      <c:overlay val="0"/>
      <c:spPr>
        <a:noFill/>
        <a:ln>
          <a:noFill/>
        </a:ln>
        <a:effectLst/>
      </c:spPr>
      <c:txPr>
        <a:bodyPr rot="0" spcFirstLastPara="1" vertOverflow="ellipsis" vert="horz" wrap="square" anchor="ctr" anchorCtr="1"/>
        <a:lstStyle/>
        <a:p>
          <a:pPr algn="ctr">
            <a:defRPr lang="en-US" sz="125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lgn="ctr">
        <a:defRPr lang="en-US" sz="1000" b="1"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Dashboard.xlsx]Salesperson Ranking!PivotTable4</c:name>
    <c:fmtId val="15"/>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Salesperson Ranking</a:t>
            </a:r>
          </a:p>
        </c:rich>
      </c:tx>
      <c:layout>
        <c:manualLayout>
          <c:xMode val="edge"/>
          <c:yMode val="edge"/>
          <c:x val="0.30205475640633261"/>
          <c:y val="8.4189387751943453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Ranking'!$B$3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'Salesperson Ranking'!$A$4:$A$10</c:f>
              <c:strCache>
                <c:ptCount val="6"/>
                <c:pt idx="0">
                  <c:v>Alice</c:v>
                </c:pt>
                <c:pt idx="1">
                  <c:v>Bob</c:v>
                </c:pt>
                <c:pt idx="2">
                  <c:v>Carlos</c:v>
                </c:pt>
                <c:pt idx="3">
                  <c:v>Diana</c:v>
                </c:pt>
                <c:pt idx="4">
                  <c:v>Eva</c:v>
                </c:pt>
                <c:pt idx="5">
                  <c:v>Frank</c:v>
                </c:pt>
              </c:strCache>
            </c:strRef>
          </c:cat>
          <c:val>
            <c:numRef>
              <c:f>'Salesperson Ranking'!$B$4:$B$10</c:f>
              <c:numCache>
                <c:formatCode>_("$"* #,##0_);_("$"* \(#,##0\);_("$"* "-"??_);_(@_)</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96AC-4260-95D2-FDE1FF9B1842}"/>
            </c:ext>
          </c:extLst>
        </c:ser>
        <c:dLbls>
          <c:dLblPos val="outEnd"/>
          <c:showLegendKey val="0"/>
          <c:showVal val="1"/>
          <c:showCatName val="0"/>
          <c:showSerName val="0"/>
          <c:showPercent val="0"/>
          <c:showBubbleSize val="0"/>
        </c:dLbls>
        <c:gapWidth val="100"/>
        <c:axId val="545761920"/>
        <c:axId val="545763360"/>
      </c:barChart>
      <c:catAx>
        <c:axId val="54576192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250" b="1" i="0" u="none" strike="noStrike" kern="1200" baseline="0">
                <a:solidFill>
                  <a:schemeClr val="tx2"/>
                </a:solidFill>
                <a:latin typeface="+mn-lt"/>
                <a:ea typeface="+mn-ea"/>
                <a:cs typeface="+mn-cs"/>
              </a:defRPr>
            </a:pPr>
            <a:endParaRPr lang="en-US"/>
          </a:p>
        </c:txPr>
        <c:crossAx val="545763360"/>
        <c:crosses val="autoZero"/>
        <c:auto val="1"/>
        <c:lblAlgn val="ctr"/>
        <c:lblOffset val="100"/>
        <c:noMultiLvlLbl val="0"/>
      </c:catAx>
      <c:valAx>
        <c:axId val="545763360"/>
        <c:scaling>
          <c:orientation val="minMax"/>
        </c:scaling>
        <c:delete val="1"/>
        <c:axPos val="b"/>
        <c:numFmt formatCode="_(&quot;$&quot;* #,##0_);_(&quot;$&quot;* \(#,##0\);_(&quot;$&quot;* &quot;-&quot;??_);_(@_)" sourceLinked="1"/>
        <c:majorTickMark val="none"/>
        <c:minorTickMark val="none"/>
        <c:tickLblPos val="nextTo"/>
        <c:crossAx val="5457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Sales Trend!PivotTable5</c:name>
    <c:fmtId val="10"/>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Monthly Sales Trend</a:t>
            </a:r>
          </a:p>
        </c:rich>
      </c:tx>
      <c:layout>
        <c:manualLayout>
          <c:xMode val="edge"/>
          <c:yMode val="edge"/>
          <c:x val="0.40330149024668005"/>
          <c:y val="1.54320987654320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_("$"* #,##0_);_("$"* \(#,##0\);_("$"*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7C57-454E-A36B-379B59F5DA2C}"/>
            </c:ext>
          </c:extLst>
        </c:ser>
        <c:dLbls>
          <c:dLblPos val="t"/>
          <c:showLegendKey val="0"/>
          <c:showVal val="1"/>
          <c:showCatName val="0"/>
          <c:showSerName val="0"/>
          <c:showPercent val="0"/>
          <c:showBubbleSize val="0"/>
        </c:dLbls>
        <c:marker val="1"/>
        <c:smooth val="0"/>
        <c:axId val="649041648"/>
        <c:axId val="649042128"/>
      </c:lineChart>
      <c:catAx>
        <c:axId val="6490416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250" b="1" i="0" u="none" strike="noStrike" kern="1200" baseline="0">
                <a:solidFill>
                  <a:schemeClr val="tx2"/>
                </a:solidFill>
                <a:latin typeface="+mn-lt"/>
                <a:ea typeface="+mn-ea"/>
                <a:cs typeface="+mn-cs"/>
              </a:defRPr>
            </a:pPr>
            <a:endParaRPr lang="en-US"/>
          </a:p>
        </c:txPr>
        <c:crossAx val="649042128"/>
        <c:crosses val="autoZero"/>
        <c:auto val="1"/>
        <c:lblAlgn val="ctr"/>
        <c:lblOffset val="100"/>
        <c:noMultiLvlLbl val="0"/>
      </c:catAx>
      <c:valAx>
        <c:axId val="649042128"/>
        <c:scaling>
          <c:orientation val="minMax"/>
        </c:scaling>
        <c:delete val="1"/>
        <c:axPos val="l"/>
        <c:numFmt formatCode="_(&quot;$&quot;* #,##0_);_(&quot;$&quot;* \(#,##0\);_(&quot;$&quot;* &quot;-&quot;??_);_(@_)" sourceLinked="1"/>
        <c:majorTickMark val="none"/>
        <c:minorTickMark val="none"/>
        <c:tickLblPos val="nextTo"/>
        <c:crossAx val="6490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Dashboard.xlsx]Customer Type Analysis!PivotTable6</c:name>
    <c:fmtId val="10"/>
  </c:pivotSource>
  <c:chart>
    <c:title>
      <c:tx>
        <c:rich>
          <a:bodyPr rot="0" spcFirstLastPara="1" vertOverflow="ellipsis" vert="horz" wrap="square" anchor="ctr" anchorCtr="1"/>
          <a:lstStyle/>
          <a:p>
            <a:pPr>
              <a:defRPr lang="en-US" sz="1800" b="1" i="0" u="none" strike="noStrike" kern="1200" baseline="0">
                <a:solidFill>
                  <a:schemeClr val="tx2"/>
                </a:solidFill>
                <a:latin typeface="+mn-lt"/>
                <a:ea typeface="+mn-ea"/>
                <a:cs typeface="+mn-cs"/>
              </a:defRPr>
            </a:pPr>
            <a:r>
              <a:rPr lang="en-US" sz="1800"/>
              <a:t>Customer Type Analysis</a:t>
            </a:r>
          </a:p>
        </c:rich>
      </c:tx>
      <c:layout>
        <c:manualLayout>
          <c:xMode val="edge"/>
          <c:yMode val="edge"/>
          <c:x val="0.27074985601674162"/>
          <c:y val="1.0288146414130665E-2"/>
        </c:manualLayout>
      </c:layout>
      <c:overlay val="0"/>
      <c:spPr>
        <a:noFill/>
        <a:ln>
          <a:noFill/>
        </a:ln>
        <a:effectLst/>
      </c:spPr>
      <c:txPr>
        <a:bodyPr rot="0" spcFirstLastPara="1" vertOverflow="ellipsis" vert="horz" wrap="square" anchor="ctr" anchorCtr="1"/>
        <a:lstStyle/>
        <a:p>
          <a:pPr>
            <a:defRPr lang="en-US"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061461067366578E-2"/>
              <c:y val="4.54760863225430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6288276465441822E-3"/>
              <c:y val="3.1944444444444446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182852143482067E-3"/>
              <c:y val="5.265748031496063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0885170603674539E-2"/>
              <c:y val="3.1840915718868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7041557305336818E-2"/>
              <c:y val="6.77066929133858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'Customer Type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1"/>
            <c:invertIfNegative val="0"/>
            <c:bubble3D val="0"/>
            <c:spPr>
              <a:solidFill>
                <a:schemeClr val="accent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37D-4F20-B9B2-C4C17C4DC745}"/>
              </c:ext>
            </c:extLst>
          </c:dPt>
          <c:dLbls>
            <c:spPr>
              <a:noFill/>
              <a:ln>
                <a:noFill/>
              </a:ln>
              <a:effectLst/>
            </c:spPr>
            <c:txPr>
              <a:bodyPr rot="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Type Analysis'!$A$4:$A$6</c:f>
              <c:strCache>
                <c:ptCount val="2"/>
                <c:pt idx="0">
                  <c:v>Retail</c:v>
                </c:pt>
                <c:pt idx="1">
                  <c:v>Wholesale</c:v>
                </c:pt>
              </c:strCache>
            </c:strRef>
          </c:cat>
          <c:val>
            <c:numRef>
              <c:f>'Customer Type Analysis'!$B$4:$B$6</c:f>
              <c:numCache>
                <c:formatCode>_("$"* #,##0_);_("$"* \(#,##0\);_("$"* "-"??_);_(@_)</c:formatCode>
                <c:ptCount val="2"/>
                <c:pt idx="0">
                  <c:v>2195525.5929999994</c:v>
                </c:pt>
                <c:pt idx="1">
                  <c:v>2184466.8355000019</c:v>
                </c:pt>
              </c:numCache>
            </c:numRef>
          </c:val>
          <c:extLst>
            <c:ext xmlns:c16="http://schemas.microsoft.com/office/drawing/2014/chart" uri="{C3380CC4-5D6E-409C-BE32-E72D297353CC}">
              <c16:uniqueId val="{00000002-637D-4F20-B9B2-C4C17C4DC745}"/>
            </c:ext>
          </c:extLst>
        </c:ser>
        <c:dLbls>
          <c:showLegendKey val="0"/>
          <c:showVal val="0"/>
          <c:showCatName val="0"/>
          <c:showSerName val="0"/>
          <c:showPercent val="0"/>
          <c:showBubbleSize val="0"/>
        </c:dLbls>
        <c:gapWidth val="100"/>
        <c:overlap val="-24"/>
        <c:axId val="993694704"/>
        <c:axId val="993695664"/>
      </c:barChart>
      <c:catAx>
        <c:axId val="993694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250" b="1" i="0" u="none" strike="noStrike" kern="1200" baseline="0">
                <a:solidFill>
                  <a:schemeClr val="tx2"/>
                </a:solidFill>
                <a:latin typeface="+mn-lt"/>
                <a:ea typeface="+mn-ea"/>
                <a:cs typeface="+mn-cs"/>
              </a:defRPr>
            </a:pPr>
            <a:endParaRPr lang="en-US"/>
          </a:p>
        </c:txPr>
        <c:crossAx val="993695664"/>
        <c:crosses val="autoZero"/>
        <c:auto val="1"/>
        <c:lblAlgn val="ctr"/>
        <c:lblOffset val="100"/>
        <c:noMultiLvlLbl val="0"/>
      </c:catAx>
      <c:valAx>
        <c:axId val="993695664"/>
        <c:scaling>
          <c:orientation val="minMax"/>
        </c:scaling>
        <c:delete val="1"/>
        <c:axPos val="l"/>
        <c:numFmt formatCode="_(&quot;$&quot;* #,##0_);_(&quot;$&quot;* \(#,##0\);_(&quot;$&quot;* &quot;-&quot;??_);_(@_)" sourceLinked="1"/>
        <c:majorTickMark val="none"/>
        <c:minorTickMark val="none"/>
        <c:tickLblPos val="nextTo"/>
        <c:crossAx val="9936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lgn="ctr">
        <a:defRPr lang="en-US" sz="1000" b="1"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Dashboard.xlsx]Regional Performance!PivotTable1</c:name>
    <c:fmtId val="8"/>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IN" sz="1800" b="1"/>
              <a:t>Regional Sales Performance</a:t>
            </a:r>
          </a:p>
        </c:rich>
      </c:tx>
      <c:layout>
        <c:manualLayout>
          <c:xMode val="edge"/>
          <c:yMode val="edge"/>
          <c:x val="0.25900444427517899"/>
          <c:y val="5.2272276374375135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2228301970728236E-2"/>
              <c:y val="-8.8265835929387332E-2"/>
            </c:manualLayout>
          </c:layout>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02001868410519E-2"/>
              <c:y val="-3.53402670460584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6665999377196494E-2"/>
              <c:y val="-2.177292090825097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5079185017127095E-2"/>
              <c:y val="-3.634475597092419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30466212909828E-2"/>
              <c:y val="-5.1921079958463137E-2"/>
            </c:manualLayout>
          </c:layout>
          <c:tx>
            <c:rich>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fld id="{D3159657-C019-447C-A723-856264065567}" type="VALUE">
                  <a:rPr lang="en-US" sz="1250"/>
                  <a:pPr algn="ctr">
                    <a:defRPr lang="en-US" sz="1250" b="1" i="0" u="none" strike="noStrike" kern="1200" baseline="0">
                      <a:solidFill>
                        <a:schemeClr val="tx2"/>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57973935241167E-2"/>
          <c:y val="0.1674101610904585"/>
          <c:w val="0.94088405212951765"/>
          <c:h val="0.62993622079767908"/>
        </c:manualLayout>
      </c:layout>
      <c:barChart>
        <c:barDir val="col"/>
        <c:grouping val="clustered"/>
        <c:varyColors val="0"/>
        <c:ser>
          <c:idx val="0"/>
          <c:order val="0"/>
          <c:tx>
            <c:strRef>
              <c:f>'Regional Performance'!$B$3</c:f>
              <c:strCache>
                <c:ptCount val="1"/>
                <c:pt idx="0">
                  <c:v>Sum of Total 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228301970728236E-2"/>
                  <c:y val="-8.82658359293873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DE-471E-AD2F-1C88D967C7C7}"/>
                </c:ext>
              </c:extLst>
            </c:dLbl>
            <c:dLbl>
              <c:idx val="1"/>
              <c:layout>
                <c:manualLayout>
                  <c:x val="-1.502001868410519E-2"/>
                  <c:y val="-3.53402670460584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DE-471E-AD2F-1C88D967C7C7}"/>
                </c:ext>
              </c:extLst>
            </c:dLbl>
            <c:dLbl>
              <c:idx val="2"/>
              <c:layout>
                <c:manualLayout>
                  <c:x val="-3.6665999377196494E-2"/>
                  <c:y val="-2.177292090825097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DE-471E-AD2F-1C88D967C7C7}"/>
                </c:ext>
              </c:extLst>
            </c:dLbl>
            <c:dLbl>
              <c:idx val="3"/>
              <c:layout>
                <c:manualLayout>
                  <c:x val="-2.5079185017127095E-2"/>
                  <c:y val="-3.634475597092419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5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DE-471E-AD2F-1C88D967C7C7}"/>
                </c:ext>
              </c:extLst>
            </c:dLbl>
            <c:dLbl>
              <c:idx val="4"/>
              <c:layout>
                <c:manualLayout>
                  <c:x val="-2.30466212909828E-2"/>
                  <c:y val="-5.1921079958463137E-2"/>
                </c:manualLayout>
              </c:layout>
              <c:tx>
                <c:rich>
                  <a:bodyPr/>
                  <a:lstStyle/>
                  <a:p>
                    <a:fld id="{D3159657-C019-447C-A723-856264065567}" type="VALUE">
                      <a:rPr lang="en-US" sz="125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0DE-471E-AD2F-1C88D967C7C7}"/>
                </c:ext>
              </c:extLst>
            </c:dLbl>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'Regional Performance'!$A$4:$A$9</c:f>
              <c:strCache>
                <c:ptCount val="5"/>
                <c:pt idx="0">
                  <c:v>Central</c:v>
                </c:pt>
                <c:pt idx="1">
                  <c:v>East</c:v>
                </c:pt>
                <c:pt idx="2">
                  <c:v>North</c:v>
                </c:pt>
                <c:pt idx="3">
                  <c:v>South</c:v>
                </c:pt>
                <c:pt idx="4">
                  <c:v>West</c:v>
                </c:pt>
              </c:strCache>
            </c:strRef>
          </c:cat>
          <c:val>
            <c:numRef>
              <c:f>'Regional Performance'!$B$4:$B$9</c:f>
              <c:numCache>
                <c:formatCode>_("$"* #,##0_);_("$"* \(#,##0\);_("$"*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5-90DE-471E-AD2F-1C88D967C7C7}"/>
            </c:ext>
          </c:extLst>
        </c:ser>
        <c:ser>
          <c:idx val="1"/>
          <c:order val="1"/>
          <c:tx>
            <c:strRef>
              <c:f>'Regional Performance'!$C$3</c:f>
              <c:strCache>
                <c:ptCount val="1"/>
                <c:pt idx="0">
                  <c:v>Sum of Profit Estimate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'Regional Performance'!$A$4:$A$9</c:f>
              <c:strCache>
                <c:ptCount val="5"/>
                <c:pt idx="0">
                  <c:v>Central</c:v>
                </c:pt>
                <c:pt idx="1">
                  <c:v>East</c:v>
                </c:pt>
                <c:pt idx="2">
                  <c:v>North</c:v>
                </c:pt>
                <c:pt idx="3">
                  <c:v>South</c:v>
                </c:pt>
                <c:pt idx="4">
                  <c:v>West</c:v>
                </c:pt>
              </c:strCache>
            </c:strRef>
          </c:cat>
          <c:val>
            <c:numRef>
              <c:f>'Regional Performance'!$C$4:$C$9</c:f>
              <c:numCache>
                <c:formatCode>_("$"* #,##0_);_("$"* \(#,##0\);_("$"* "-"??_);_(@_)</c:formatCode>
                <c:ptCount val="5"/>
                <c:pt idx="0">
                  <c:v>838759.12449999957</c:v>
                </c:pt>
                <c:pt idx="1">
                  <c:v>874838.40799999924</c:v>
                </c:pt>
                <c:pt idx="2">
                  <c:v>959954.97999999975</c:v>
                </c:pt>
                <c:pt idx="3">
                  <c:v>819376.65700000047</c:v>
                </c:pt>
                <c:pt idx="4">
                  <c:v>845802.3189999992</c:v>
                </c:pt>
              </c:numCache>
            </c:numRef>
          </c:val>
          <c:extLst>
            <c:ext xmlns:c16="http://schemas.microsoft.com/office/drawing/2014/chart" uri="{C3380CC4-5D6E-409C-BE32-E72D297353CC}">
              <c16:uniqueId val="{00000006-90DE-471E-AD2F-1C88D967C7C7}"/>
            </c:ext>
          </c:extLst>
        </c:ser>
        <c:dLbls>
          <c:dLblPos val="outEnd"/>
          <c:showLegendKey val="0"/>
          <c:showVal val="1"/>
          <c:showCatName val="0"/>
          <c:showSerName val="0"/>
          <c:showPercent val="0"/>
          <c:showBubbleSize val="0"/>
        </c:dLbls>
        <c:gapWidth val="100"/>
        <c:overlap val="-24"/>
        <c:axId val="2009618448"/>
        <c:axId val="2009619408"/>
      </c:barChart>
      <c:catAx>
        <c:axId val="20096184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250" b="1" i="0" u="none" strike="noStrike" kern="1200" baseline="0">
                <a:solidFill>
                  <a:schemeClr val="tx2"/>
                </a:solidFill>
                <a:latin typeface="+mn-lt"/>
                <a:ea typeface="+mn-ea"/>
                <a:cs typeface="+mn-cs"/>
              </a:defRPr>
            </a:pPr>
            <a:endParaRPr lang="en-US"/>
          </a:p>
        </c:txPr>
        <c:crossAx val="2009619408"/>
        <c:crosses val="autoZero"/>
        <c:auto val="1"/>
        <c:lblAlgn val="ctr"/>
        <c:lblOffset val="100"/>
        <c:noMultiLvlLbl val="0"/>
      </c:catAx>
      <c:valAx>
        <c:axId val="2009619408"/>
        <c:scaling>
          <c:orientation val="minMax"/>
        </c:scaling>
        <c:delete val="1"/>
        <c:axPos val="l"/>
        <c:numFmt formatCode="_(&quot;$&quot;* #,##0_);_(&quot;$&quot;* \(#,##0\);_(&quot;$&quot;* &quot;-&quot;??_);_(@_)" sourceLinked="1"/>
        <c:majorTickMark val="none"/>
        <c:minorTickMark val="none"/>
        <c:tickLblPos val="nextTo"/>
        <c:crossAx val="200961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152400</xdr:colOff>
      <xdr:row>10</xdr:row>
      <xdr:rowOff>0</xdr:rowOff>
    </xdr:from>
    <xdr:to>
      <xdr:col>8</xdr:col>
      <xdr:colOff>891540</xdr:colOff>
      <xdr:row>26</xdr:row>
      <xdr:rowOff>106680</xdr:rowOff>
    </xdr:to>
    <xdr:graphicFrame macro="">
      <xdr:nvGraphicFramePr>
        <xdr:cNvPr id="2" name="Chart 1">
          <a:extLst>
            <a:ext uri="{FF2B5EF4-FFF2-40B4-BE49-F238E27FC236}">
              <a16:creationId xmlns:a16="http://schemas.microsoft.com/office/drawing/2014/main" id="{386DDC9F-524A-B0CE-EC89-3B43BB76B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320040</xdr:colOff>
      <xdr:row>13</xdr:row>
      <xdr:rowOff>121920</xdr:rowOff>
    </xdr:from>
    <xdr:to>
      <xdr:col>2</xdr:col>
      <xdr:colOff>1226820</xdr:colOff>
      <xdr:row>19</xdr:row>
      <xdr:rowOff>7620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C335948-99AA-57B4-D536-6128270EEE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100" y="2499360"/>
              <a:ext cx="202692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38100</xdr:rowOff>
    </xdr:from>
    <xdr:to>
      <xdr:col>11</xdr:col>
      <xdr:colOff>304800</xdr:colOff>
      <xdr:row>23</xdr:row>
      <xdr:rowOff>175260</xdr:rowOff>
    </xdr:to>
    <xdr:graphicFrame macro="">
      <xdr:nvGraphicFramePr>
        <xdr:cNvPr id="2" name="Chart 1">
          <a:extLst>
            <a:ext uri="{FF2B5EF4-FFF2-40B4-BE49-F238E27FC236}">
              <a16:creationId xmlns:a16="http://schemas.microsoft.com/office/drawing/2014/main" id="{A508E409-1564-9622-1CC6-6ABAABF9A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251460</xdr:colOff>
      <xdr:row>11</xdr:row>
      <xdr:rowOff>167641</xdr:rowOff>
    </xdr:from>
    <xdr:to>
      <xdr:col>3</xdr:col>
      <xdr:colOff>137160</xdr:colOff>
      <xdr:row>18</xdr:row>
      <xdr:rowOff>53341</xdr:rowOff>
    </xdr:to>
    <mc:AlternateContent xmlns:mc="http://schemas.openxmlformats.org/markup-compatibility/2006" xmlns:a14="http://schemas.microsoft.com/office/drawing/2010/main">
      <mc:Choice Requires="a14">
        <xdr:graphicFrame macro="">
          <xdr:nvGraphicFramePr>
            <xdr:cNvPr id="3" name="Order Year">
              <a:extLst>
                <a:ext uri="{FF2B5EF4-FFF2-40B4-BE49-F238E27FC236}">
                  <a16:creationId xmlns:a16="http://schemas.microsoft.com/office/drawing/2014/main" id="{7FF33CCB-1C37-79FB-F32C-FF600706D834}"/>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112520" y="21793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6</xdr:row>
      <xdr:rowOff>15240</xdr:rowOff>
    </xdr:from>
    <xdr:to>
      <xdr:col>12</xdr:col>
      <xdr:colOff>7620</xdr:colOff>
      <xdr:row>21</xdr:row>
      <xdr:rowOff>160020</xdr:rowOff>
    </xdr:to>
    <xdr:graphicFrame macro="">
      <xdr:nvGraphicFramePr>
        <xdr:cNvPr id="2" name="Chart 1">
          <a:extLst>
            <a:ext uri="{FF2B5EF4-FFF2-40B4-BE49-F238E27FC236}">
              <a16:creationId xmlns:a16="http://schemas.microsoft.com/office/drawing/2014/main" id="{98AF6C0B-506A-70A1-B26A-67E0A239E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5</xdr:row>
      <xdr:rowOff>38101</xdr:rowOff>
    </xdr:from>
    <xdr:to>
      <xdr:col>16</xdr:col>
      <xdr:colOff>381000</xdr:colOff>
      <xdr:row>12</xdr:row>
      <xdr:rowOff>7620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E17C153-86D1-F5DB-7A6F-1E71F87A72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686800" y="952501"/>
              <a:ext cx="182880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350520</xdr:colOff>
      <xdr:row>6</xdr:row>
      <xdr:rowOff>45720</xdr:rowOff>
    </xdr:from>
    <xdr:to>
      <xdr:col>15</xdr:col>
      <xdr:colOff>7620</xdr:colOff>
      <xdr:row>21</xdr:row>
      <xdr:rowOff>167640</xdr:rowOff>
    </xdr:to>
    <xdr:graphicFrame macro="">
      <xdr:nvGraphicFramePr>
        <xdr:cNvPr id="2" name="Chart 1">
          <a:extLst>
            <a:ext uri="{FF2B5EF4-FFF2-40B4-BE49-F238E27FC236}">
              <a16:creationId xmlns:a16="http://schemas.microsoft.com/office/drawing/2014/main" id="{BB0EE4F4-F920-2D23-273D-30C07DB40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205740</xdr:colOff>
      <xdr:row>3</xdr:row>
      <xdr:rowOff>129541</xdr:rowOff>
    </xdr:from>
    <xdr:to>
      <xdr:col>18</xdr:col>
      <xdr:colOff>205740</xdr:colOff>
      <xdr:row>9</xdr:row>
      <xdr:rowOff>30480</xdr:rowOff>
    </xdr:to>
    <mc:AlternateContent xmlns:mc="http://schemas.openxmlformats.org/markup-compatibility/2006" xmlns:a14="http://schemas.microsoft.com/office/drawing/2010/main">
      <mc:Choice Requires="a14">
        <xdr:graphicFrame macro="">
          <xdr:nvGraphicFramePr>
            <xdr:cNvPr id="3" name="Store Location">
              <a:extLst>
                <a:ext uri="{FF2B5EF4-FFF2-40B4-BE49-F238E27FC236}">
                  <a16:creationId xmlns:a16="http://schemas.microsoft.com/office/drawing/2014/main" id="{AE0F6EEF-263F-11A2-F68F-55FBB0ADCE67}"/>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10111740" y="67818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350520</xdr:colOff>
      <xdr:row>6</xdr:row>
      <xdr:rowOff>45720</xdr:rowOff>
    </xdr:from>
    <xdr:to>
      <xdr:col>12</xdr:col>
      <xdr:colOff>0</xdr:colOff>
      <xdr:row>22</xdr:row>
      <xdr:rowOff>22860</xdr:rowOff>
    </xdr:to>
    <xdr:graphicFrame macro="">
      <xdr:nvGraphicFramePr>
        <xdr:cNvPr id="2" name="Chart 1">
          <a:extLst>
            <a:ext uri="{FF2B5EF4-FFF2-40B4-BE49-F238E27FC236}">
              <a16:creationId xmlns:a16="http://schemas.microsoft.com/office/drawing/2014/main" id="{75F40703-5ED8-F6BD-A050-FE70D79A8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434340</xdr:colOff>
      <xdr:row>4</xdr:row>
      <xdr:rowOff>175260</xdr:rowOff>
    </xdr:from>
    <xdr:to>
      <xdr:col>15</xdr:col>
      <xdr:colOff>434340</xdr:colOff>
      <xdr:row>9</xdr:row>
      <xdr:rowOff>160019</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45E52C7D-80B0-9581-3F75-FB0682CE13D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511540" y="906781"/>
              <a:ext cx="182880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426720</xdr:colOff>
      <xdr:row>3</xdr:row>
      <xdr:rowOff>71120</xdr:rowOff>
    </xdr:from>
    <xdr:to>
      <xdr:col>19</xdr:col>
      <xdr:colOff>233679</xdr:colOff>
      <xdr:row>20</xdr:row>
      <xdr:rowOff>40640</xdr:rowOff>
    </xdr:to>
    <xdr:graphicFrame macro="">
      <xdr:nvGraphicFramePr>
        <xdr:cNvPr id="3" name="Chart 2">
          <a:extLst>
            <a:ext uri="{FF2B5EF4-FFF2-40B4-BE49-F238E27FC236}">
              <a16:creationId xmlns:a16="http://schemas.microsoft.com/office/drawing/2014/main" id="{BBC06769-CBA0-4E9D-B206-F016CF92D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294640</xdr:colOff>
      <xdr:row>3</xdr:row>
      <xdr:rowOff>81280</xdr:rowOff>
    </xdr:from>
    <xdr:to>
      <xdr:col>27</xdr:col>
      <xdr:colOff>0</xdr:colOff>
      <xdr:row>20</xdr:row>
      <xdr:rowOff>40640</xdr:rowOff>
    </xdr:to>
    <xdr:graphicFrame macro="">
      <xdr:nvGraphicFramePr>
        <xdr:cNvPr id="4" name="Chart 3">
          <a:extLst>
            <a:ext uri="{FF2B5EF4-FFF2-40B4-BE49-F238E27FC236}">
              <a16:creationId xmlns:a16="http://schemas.microsoft.com/office/drawing/2014/main" id="{3F81AB6B-EBB5-4DD6-A811-FF8CF8D5F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45719</xdr:colOff>
      <xdr:row>20</xdr:row>
      <xdr:rowOff>101600</xdr:rowOff>
    </xdr:from>
    <xdr:to>
      <xdr:col>19</xdr:col>
      <xdr:colOff>233680</xdr:colOff>
      <xdr:row>36</xdr:row>
      <xdr:rowOff>130811</xdr:rowOff>
    </xdr:to>
    <xdr:graphicFrame macro="">
      <xdr:nvGraphicFramePr>
        <xdr:cNvPr id="5" name="Chart 4">
          <a:extLst>
            <a:ext uri="{FF2B5EF4-FFF2-40B4-BE49-F238E27FC236}">
              <a16:creationId xmlns:a16="http://schemas.microsoft.com/office/drawing/2014/main" id="{96B5EB7B-DD35-42E6-9010-0F6C7CD33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294640</xdr:colOff>
      <xdr:row>20</xdr:row>
      <xdr:rowOff>111759</xdr:rowOff>
    </xdr:from>
    <xdr:to>
      <xdr:col>27</xdr:col>
      <xdr:colOff>7620</xdr:colOff>
      <xdr:row>36</xdr:row>
      <xdr:rowOff>122554</xdr:rowOff>
    </xdr:to>
    <xdr:graphicFrame macro="">
      <xdr:nvGraphicFramePr>
        <xdr:cNvPr id="6" name="Chart 5">
          <a:extLst>
            <a:ext uri="{FF2B5EF4-FFF2-40B4-BE49-F238E27FC236}">
              <a16:creationId xmlns:a16="http://schemas.microsoft.com/office/drawing/2014/main" id="{4E10F406-13E2-4537-9CBA-25021562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55879</xdr:colOff>
      <xdr:row>3</xdr:row>
      <xdr:rowOff>50800</xdr:rowOff>
    </xdr:from>
    <xdr:to>
      <xdr:col>11</xdr:col>
      <xdr:colOff>365760</xdr:colOff>
      <xdr:row>20</xdr:row>
      <xdr:rowOff>40640</xdr:rowOff>
    </xdr:to>
    <xdr:graphicFrame macro="">
      <xdr:nvGraphicFramePr>
        <xdr:cNvPr id="2" name="Chart 1">
          <a:extLst>
            <a:ext uri="{FF2B5EF4-FFF2-40B4-BE49-F238E27FC236}">
              <a16:creationId xmlns:a16="http://schemas.microsoft.com/office/drawing/2014/main" id="{AA9FD9DD-8364-4F15-8C00-E59B9EB98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10160</xdr:colOff>
      <xdr:row>10</xdr:row>
      <xdr:rowOff>81280</xdr:rowOff>
    </xdr:from>
    <xdr:to>
      <xdr:col>3</xdr:col>
      <xdr:colOff>27305</xdr:colOff>
      <xdr:row>30</xdr:row>
      <xdr:rowOff>30480</xdr:rowOff>
    </xdr:to>
    <xdr:grpSp>
      <xdr:nvGrpSpPr>
        <xdr:cNvPr id="37" name="Group 36">
          <a:extLst>
            <a:ext uri="{FF2B5EF4-FFF2-40B4-BE49-F238E27FC236}">
              <a16:creationId xmlns:a16="http://schemas.microsoft.com/office/drawing/2014/main" id="{9E0CAEF1-2B6B-46F9-B2F5-92349F51A1D9}"/>
            </a:ext>
          </a:extLst>
        </xdr:cNvPr>
        <xdr:cNvGrpSpPr/>
      </xdr:nvGrpSpPr>
      <xdr:grpSpPr>
        <a:xfrm>
          <a:off x="10160" y="1910080"/>
          <a:ext cx="1906905" cy="3606800"/>
          <a:chOff x="0" y="1432560"/>
          <a:chExt cx="1906905" cy="3606800"/>
        </a:xfrm>
      </xdr:grpSpPr>
      <xdr:sp macro="" textlink="">
        <xdr:nvSpPr>
          <xdr:cNvPr id="33" name="Rectangle: Rounded Corners 32">
            <a:extLst>
              <a:ext uri="{FF2B5EF4-FFF2-40B4-BE49-F238E27FC236}">
                <a16:creationId xmlns:a16="http://schemas.microsoft.com/office/drawing/2014/main" id="{C3775DF5-6145-457D-8AD9-3AB54C134E07}"/>
              </a:ext>
            </a:extLst>
          </xdr:cNvPr>
          <xdr:cNvSpPr/>
        </xdr:nvSpPr>
        <xdr:spPr>
          <a:xfrm>
            <a:off x="76836" y="2419985"/>
            <a:ext cx="1726564" cy="634385"/>
          </a:xfrm>
          <a:prstGeom prst="roundRect">
            <a:avLst/>
          </a:prstGeom>
          <a:solidFill>
            <a:schemeClr val="bg2"/>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1" name="Rectangle: Rounded Corners 30">
            <a:extLst>
              <a:ext uri="{FF2B5EF4-FFF2-40B4-BE49-F238E27FC236}">
                <a16:creationId xmlns:a16="http://schemas.microsoft.com/office/drawing/2014/main" id="{18469E26-DD90-49FA-B5D0-AF18424CC377}"/>
              </a:ext>
            </a:extLst>
          </xdr:cNvPr>
          <xdr:cNvSpPr/>
        </xdr:nvSpPr>
        <xdr:spPr>
          <a:xfrm>
            <a:off x="67311" y="4349501"/>
            <a:ext cx="1751329" cy="639059"/>
          </a:xfrm>
          <a:prstGeom prst="roundRect">
            <a:avLst/>
          </a:prstGeom>
          <a:solidFill>
            <a:schemeClr val="bg2"/>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268FC176-0CC6-4617-A5D4-7C2AE1A1CB4C}"/>
              </a:ext>
            </a:extLst>
          </xdr:cNvPr>
          <xdr:cNvSpPr/>
        </xdr:nvSpPr>
        <xdr:spPr>
          <a:xfrm>
            <a:off x="60960" y="3380758"/>
            <a:ext cx="1778000" cy="622282"/>
          </a:xfrm>
          <a:prstGeom prst="roundRect">
            <a:avLst/>
          </a:prstGeom>
          <a:solidFill>
            <a:schemeClr val="bg2"/>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0" name="Rectangle: Rounded Corners 29">
            <a:extLst>
              <a:ext uri="{FF2B5EF4-FFF2-40B4-BE49-F238E27FC236}">
                <a16:creationId xmlns:a16="http://schemas.microsoft.com/office/drawing/2014/main" id="{89AF4958-593A-66A0-633E-CD31B811BA9E}"/>
              </a:ext>
            </a:extLst>
          </xdr:cNvPr>
          <xdr:cNvSpPr/>
        </xdr:nvSpPr>
        <xdr:spPr>
          <a:xfrm>
            <a:off x="86361" y="1462499"/>
            <a:ext cx="1726564" cy="634385"/>
          </a:xfrm>
          <a:prstGeom prst="roundRect">
            <a:avLst/>
          </a:prstGeom>
          <a:solidFill>
            <a:schemeClr val="bg2"/>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4">
        <xdr:nvSpPr>
          <xdr:cNvPr id="10" name="TextBox 9">
            <a:extLst>
              <a:ext uri="{FF2B5EF4-FFF2-40B4-BE49-F238E27FC236}">
                <a16:creationId xmlns:a16="http://schemas.microsoft.com/office/drawing/2014/main" id="{6A0C8DA6-D22C-023D-53A7-B768EB18059C}"/>
              </a:ext>
            </a:extLst>
          </xdr:cNvPr>
          <xdr:cNvSpPr txBox="1"/>
        </xdr:nvSpPr>
        <xdr:spPr>
          <a:xfrm>
            <a:off x="621244" y="1743789"/>
            <a:ext cx="773851" cy="37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7C5530-2754-41BA-A840-5CFAFCDCB87A}" type="TxLink">
              <a:rPr lang="en-US" sz="1600" b="1" i="0" u="none" strike="noStrike">
                <a:solidFill>
                  <a:schemeClr val="tx1"/>
                </a:solidFill>
                <a:latin typeface="Calibri"/>
                <a:ea typeface="Calibri"/>
                <a:cs typeface="Calibri"/>
              </a:rPr>
              <a:pPr marL="0" indent="0"/>
              <a:t>1,500</a:t>
            </a:fld>
            <a:endParaRPr lang="en-IN" sz="1600" b="1" i="0" u="none" strike="noStrike">
              <a:solidFill>
                <a:schemeClr val="tx1"/>
              </a:solidFill>
              <a:latin typeface="Calibri"/>
              <a:ea typeface="Calibri"/>
              <a:cs typeface="Calibri"/>
            </a:endParaRPr>
          </a:p>
        </xdr:txBody>
      </xdr:sp>
      <xdr:sp macro="" textlink="KPI!G4">
        <xdr:nvSpPr>
          <xdr:cNvPr id="11" name="TextBox 10">
            <a:extLst>
              <a:ext uri="{FF2B5EF4-FFF2-40B4-BE49-F238E27FC236}">
                <a16:creationId xmlns:a16="http://schemas.microsoft.com/office/drawing/2014/main" id="{B4EAC56E-79AB-42CE-93F7-F90CDADAC6EC}"/>
              </a:ext>
            </a:extLst>
          </xdr:cNvPr>
          <xdr:cNvSpPr txBox="1"/>
        </xdr:nvSpPr>
        <xdr:spPr>
          <a:xfrm>
            <a:off x="556260" y="2715122"/>
            <a:ext cx="838835" cy="444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F60B93-DA9F-48A6-A747-F58EBCE3DEF1}" type="TxLink">
              <a:rPr lang="en-US" sz="1600" b="1" i="0" u="none" strike="noStrike">
                <a:solidFill>
                  <a:schemeClr val="tx1"/>
                </a:solidFill>
                <a:latin typeface="Calibri"/>
                <a:ea typeface="Calibri"/>
                <a:cs typeface="Calibri"/>
              </a:rPr>
              <a:pPr marL="0" indent="0"/>
              <a:t>15,616</a:t>
            </a:fld>
            <a:endParaRPr lang="en-IN" sz="1600" b="1" i="0" u="none" strike="noStrike">
              <a:solidFill>
                <a:schemeClr val="tx1"/>
              </a:solidFill>
              <a:latin typeface="Calibri"/>
              <a:ea typeface="Calibri"/>
              <a:cs typeface="Calibri"/>
            </a:endParaRPr>
          </a:p>
        </xdr:txBody>
      </xdr:sp>
      <xdr:sp macro="" textlink="KPI!H4">
        <xdr:nvSpPr>
          <xdr:cNvPr id="12" name="TextBox 11">
            <a:extLst>
              <a:ext uri="{FF2B5EF4-FFF2-40B4-BE49-F238E27FC236}">
                <a16:creationId xmlns:a16="http://schemas.microsoft.com/office/drawing/2014/main" id="{A45E8BE3-D74F-46A0-B9C3-51383A4C8580}"/>
              </a:ext>
            </a:extLst>
          </xdr:cNvPr>
          <xdr:cNvSpPr txBox="1"/>
        </xdr:nvSpPr>
        <xdr:spPr>
          <a:xfrm>
            <a:off x="411268" y="3646624"/>
            <a:ext cx="1465580" cy="39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792DD4-9B60-411E-BE5A-F8E5D53D68DD}" type="TxLink">
              <a:rPr lang="en-US" sz="1600" b="1" i="0" u="none" strike="noStrike">
                <a:solidFill>
                  <a:schemeClr val="tx1"/>
                </a:solidFill>
                <a:latin typeface="Calibri"/>
                <a:ea typeface="Calibri"/>
                <a:cs typeface="Calibri"/>
              </a:rPr>
              <a:pPr marL="0" indent="0"/>
              <a:t>$4,379,992</a:t>
            </a:fld>
            <a:endParaRPr lang="en-IN" sz="1600" b="1" i="0" u="none" strike="noStrike">
              <a:solidFill>
                <a:schemeClr val="tx1"/>
              </a:solidFill>
              <a:latin typeface="Calibri"/>
              <a:ea typeface="Calibri"/>
              <a:cs typeface="Calibri"/>
            </a:endParaRPr>
          </a:p>
        </xdr:txBody>
      </xdr:sp>
      <xdr:sp macro="" textlink="KPI!I4">
        <xdr:nvSpPr>
          <xdr:cNvPr id="13" name="TextBox 12">
            <a:extLst>
              <a:ext uri="{FF2B5EF4-FFF2-40B4-BE49-F238E27FC236}">
                <a16:creationId xmlns:a16="http://schemas.microsoft.com/office/drawing/2014/main" id="{A20499BE-F5ED-4A0E-828F-97641467C0AD}"/>
              </a:ext>
            </a:extLst>
          </xdr:cNvPr>
          <xdr:cNvSpPr txBox="1"/>
        </xdr:nvSpPr>
        <xdr:spPr>
          <a:xfrm>
            <a:off x="467360" y="4633143"/>
            <a:ext cx="1439545" cy="406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ADA4FC-6F04-43D8-AD36-74E1B57B3CC7}" type="TxLink">
              <a:rPr lang="en-US" sz="1600" b="1" i="0" u="none" strike="noStrike">
                <a:solidFill>
                  <a:schemeClr val="tx1"/>
                </a:solidFill>
                <a:latin typeface="Calibri"/>
                <a:ea typeface="Calibri"/>
                <a:cs typeface="Calibri"/>
              </a:rPr>
              <a:pPr marL="0" indent="0"/>
              <a:t>$448,240</a:t>
            </a:fld>
            <a:endParaRPr lang="en-IN" sz="1600" b="1" i="0" u="none" strike="noStrike">
              <a:solidFill>
                <a:schemeClr val="tx1"/>
              </a:solidFill>
              <a:latin typeface="Calibri"/>
              <a:ea typeface="Calibri"/>
              <a:cs typeface="Calibri"/>
            </a:endParaRPr>
          </a:p>
        </xdr:txBody>
      </xdr:sp>
      <xdr:sp macro="" textlink="">
        <xdr:nvSpPr>
          <xdr:cNvPr id="14" name="TextBox 13">
            <a:extLst>
              <a:ext uri="{FF2B5EF4-FFF2-40B4-BE49-F238E27FC236}">
                <a16:creationId xmlns:a16="http://schemas.microsoft.com/office/drawing/2014/main" id="{FCC34714-D037-8D37-73D5-91710D08B2A9}"/>
              </a:ext>
            </a:extLst>
          </xdr:cNvPr>
          <xdr:cNvSpPr txBox="1"/>
        </xdr:nvSpPr>
        <xdr:spPr>
          <a:xfrm>
            <a:off x="333375" y="1432560"/>
            <a:ext cx="1297940" cy="342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chemeClr val="tx1"/>
                </a:solidFill>
                <a:latin typeface="Calibri"/>
                <a:ea typeface="Calibri"/>
                <a:cs typeface="Calibri"/>
              </a:rPr>
              <a:t>🛒</a:t>
            </a:r>
            <a:r>
              <a:rPr lang="en-IN" sz="1800" b="1" i="0" u="none" strike="noStrike">
                <a:solidFill>
                  <a:schemeClr val="tx1"/>
                </a:solidFill>
                <a:latin typeface="Calibri"/>
                <a:ea typeface="Calibri"/>
                <a:cs typeface="Calibri"/>
              </a:rPr>
              <a:t>Orders</a:t>
            </a:r>
            <a:endParaRPr lang="en-IN" sz="1600" b="1" i="0" u="none" strike="noStrike">
              <a:solidFill>
                <a:schemeClr val="tx1"/>
              </a:solidFill>
              <a:latin typeface="Calibri"/>
              <a:ea typeface="Calibri"/>
              <a:cs typeface="Calibri"/>
            </a:endParaRPr>
          </a:p>
        </xdr:txBody>
      </xdr:sp>
      <xdr:sp macro="" textlink="">
        <xdr:nvSpPr>
          <xdr:cNvPr id="15" name="TextBox 14">
            <a:extLst>
              <a:ext uri="{FF2B5EF4-FFF2-40B4-BE49-F238E27FC236}">
                <a16:creationId xmlns:a16="http://schemas.microsoft.com/office/drawing/2014/main" id="{C75511F2-3FEB-4948-A6FE-554267C0346D}"/>
              </a:ext>
            </a:extLst>
          </xdr:cNvPr>
          <xdr:cNvSpPr txBox="1"/>
        </xdr:nvSpPr>
        <xdr:spPr>
          <a:xfrm>
            <a:off x="231350" y="2393454"/>
            <a:ext cx="1431079" cy="391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chemeClr val="tx1"/>
                </a:solidFill>
                <a:latin typeface="+mn-lt"/>
                <a:ea typeface="Calibri"/>
                <a:cs typeface="Calibri"/>
              </a:rPr>
              <a:t>⚖️</a:t>
            </a:r>
            <a:r>
              <a:rPr lang="en-IN" sz="1800" b="1" i="0" u="none" strike="noStrike">
                <a:solidFill>
                  <a:schemeClr val="tx1"/>
                </a:solidFill>
                <a:latin typeface="+mn-lt"/>
                <a:ea typeface="Calibri"/>
                <a:cs typeface="Calibri"/>
              </a:rPr>
              <a:t>Quantity</a:t>
            </a:r>
            <a:endParaRPr lang="en-IN" sz="1600" b="1" i="0" u="none" strike="noStrike">
              <a:solidFill>
                <a:schemeClr val="tx1"/>
              </a:solidFill>
              <a:latin typeface="+mn-lt"/>
              <a:ea typeface="Calibri"/>
              <a:cs typeface="Calibri"/>
            </a:endParaRPr>
          </a:p>
        </xdr:txBody>
      </xdr:sp>
      <xdr:sp macro="" textlink="">
        <xdr:nvSpPr>
          <xdr:cNvPr id="16" name="TextBox 15">
            <a:extLst>
              <a:ext uri="{FF2B5EF4-FFF2-40B4-BE49-F238E27FC236}">
                <a16:creationId xmlns:a16="http://schemas.microsoft.com/office/drawing/2014/main" id="{39BB3E49-C5EC-4856-9737-114F924B3346}"/>
              </a:ext>
            </a:extLst>
          </xdr:cNvPr>
          <xdr:cNvSpPr txBox="1"/>
        </xdr:nvSpPr>
        <xdr:spPr>
          <a:xfrm>
            <a:off x="0" y="3338552"/>
            <a:ext cx="1859914" cy="373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chemeClr val="tx1"/>
                </a:solidFill>
                <a:latin typeface="+mn-lt"/>
                <a:ea typeface="Calibri"/>
                <a:cs typeface="Calibri"/>
              </a:rPr>
              <a:t>💰</a:t>
            </a:r>
            <a:r>
              <a:rPr lang="en-IN" sz="1800" b="1" i="0" u="none" strike="noStrike">
                <a:solidFill>
                  <a:schemeClr val="tx1"/>
                </a:solidFill>
                <a:latin typeface="+mn-lt"/>
                <a:ea typeface="Calibri"/>
                <a:cs typeface="Calibri"/>
              </a:rPr>
              <a:t>Total</a:t>
            </a:r>
            <a:r>
              <a:rPr lang="en-IN" sz="1600" b="1" i="0" u="none" strike="noStrike" baseline="0">
                <a:solidFill>
                  <a:schemeClr val="tx1"/>
                </a:solidFill>
                <a:latin typeface="+mn-lt"/>
                <a:ea typeface="Calibri"/>
                <a:cs typeface="Calibri"/>
              </a:rPr>
              <a:t> </a:t>
            </a:r>
            <a:r>
              <a:rPr lang="en-IN" sz="1800" b="1" i="0" u="none" strike="noStrike" baseline="0">
                <a:solidFill>
                  <a:schemeClr val="tx1"/>
                </a:solidFill>
                <a:latin typeface="+mn-lt"/>
                <a:ea typeface="Calibri"/>
                <a:cs typeface="Calibri"/>
              </a:rPr>
              <a:t>Revenue</a:t>
            </a:r>
            <a:endParaRPr lang="en-IN" sz="1600" b="1" i="0" u="none" strike="noStrike">
              <a:solidFill>
                <a:schemeClr val="tx1"/>
              </a:solidFill>
              <a:latin typeface="+mn-lt"/>
              <a:ea typeface="Calibri"/>
              <a:cs typeface="Calibri"/>
            </a:endParaRPr>
          </a:p>
        </xdr:txBody>
      </xdr:sp>
      <xdr:sp macro="" textlink="">
        <xdr:nvSpPr>
          <xdr:cNvPr id="17" name="TextBox 16">
            <a:extLst>
              <a:ext uri="{FF2B5EF4-FFF2-40B4-BE49-F238E27FC236}">
                <a16:creationId xmlns:a16="http://schemas.microsoft.com/office/drawing/2014/main" id="{C4A98FCD-7E3C-4ACE-8B59-B1752A7E4F29}"/>
              </a:ext>
            </a:extLst>
          </xdr:cNvPr>
          <xdr:cNvSpPr txBox="1"/>
        </xdr:nvSpPr>
        <xdr:spPr>
          <a:xfrm>
            <a:off x="125306" y="4307176"/>
            <a:ext cx="1622214" cy="42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i="0" u="none" strike="noStrike">
                <a:solidFill>
                  <a:schemeClr val="tx1"/>
                </a:solidFill>
                <a:latin typeface="+mn-lt"/>
                <a:ea typeface="Calibri"/>
                <a:cs typeface="Calibri"/>
              </a:rPr>
              <a:t>💸Unit</a:t>
            </a:r>
            <a:r>
              <a:rPr lang="en-IN" sz="1800" b="1" i="0" u="none" strike="noStrike" baseline="0">
                <a:solidFill>
                  <a:schemeClr val="tx1"/>
                </a:solidFill>
                <a:latin typeface="+mn-lt"/>
                <a:ea typeface="Calibri"/>
                <a:cs typeface="Calibri"/>
              </a:rPr>
              <a:t> Price</a:t>
            </a:r>
            <a:endParaRPr lang="en-IN" sz="1800" b="1" i="0" u="none" strike="noStrike">
              <a:solidFill>
                <a:schemeClr val="tx1"/>
              </a:solidFill>
              <a:latin typeface="+mn-lt"/>
              <a:ea typeface="Calibri"/>
              <a:cs typeface="Calibri"/>
            </a:endParaRPr>
          </a:p>
        </xdr:txBody>
      </xdr:sp>
    </xdr:grpSp>
    <xdr:clientData/>
  </xdr:twoCellAnchor>
  <xdr:twoCellAnchor editAs="oneCell">
    <xdr:from>
      <xdr:col>27</xdr:col>
      <xdr:colOff>55245</xdr:colOff>
      <xdr:row>16</xdr:row>
      <xdr:rowOff>71120</xdr:rowOff>
    </xdr:from>
    <xdr:to>
      <xdr:col>30</xdr:col>
      <xdr:colOff>568961</xdr:colOff>
      <xdr:row>24</xdr:row>
      <xdr:rowOff>28576</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CA219437-6412-459B-BC41-184D52ECD4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575405" y="2997200"/>
              <a:ext cx="2342516" cy="1420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40641</xdr:colOff>
      <xdr:row>3</xdr:row>
      <xdr:rowOff>85301</xdr:rowOff>
    </xdr:from>
    <xdr:to>
      <xdr:col>30</xdr:col>
      <xdr:colOff>608965</xdr:colOff>
      <xdr:row>7</xdr:row>
      <xdr:rowOff>1905</xdr:rowOff>
    </xdr:to>
    <mc:AlternateContent xmlns:mc="http://schemas.openxmlformats.org/markup-compatibility/2006">
      <mc:Choice xmlns:a14="http://schemas.microsoft.com/office/drawing/2010/main" Requires="a14">
        <xdr:graphicFrame macro="">
          <xdr:nvGraphicFramePr>
            <xdr:cNvPr id="25" name="Order Year 1">
              <a:extLst>
                <a:ext uri="{FF2B5EF4-FFF2-40B4-BE49-F238E27FC236}">
                  <a16:creationId xmlns:a16="http://schemas.microsoft.com/office/drawing/2014/main" id="{EF35F7FC-46C3-472D-A262-F49BE2052EF7}"/>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6560801" y="633941"/>
              <a:ext cx="2397124" cy="648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80856</xdr:colOff>
      <xdr:row>24</xdr:row>
      <xdr:rowOff>81280</xdr:rowOff>
    </xdr:from>
    <xdr:to>
      <xdr:col>30</xdr:col>
      <xdr:colOff>568959</xdr:colOff>
      <xdr:row>36</xdr:row>
      <xdr:rowOff>111760</xdr:rowOff>
    </xdr:to>
    <mc:AlternateContent xmlns:mc="http://schemas.openxmlformats.org/markup-compatibility/2006">
      <mc:Choice xmlns:a14="http://schemas.microsoft.com/office/drawing/2010/main" Requires="a14">
        <xdr:graphicFrame macro="">
          <xdr:nvGraphicFramePr>
            <xdr:cNvPr id="26" name="Product 1">
              <a:extLst>
                <a:ext uri="{FF2B5EF4-FFF2-40B4-BE49-F238E27FC236}">
                  <a16:creationId xmlns:a16="http://schemas.microsoft.com/office/drawing/2014/main" id="{9C9E4239-8482-4FA2-94E4-BB061382C25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601016" y="4470400"/>
              <a:ext cx="2316903"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60960</xdr:colOff>
      <xdr:row>11</xdr:row>
      <xdr:rowOff>40640</xdr:rowOff>
    </xdr:from>
    <xdr:to>
      <xdr:col>30</xdr:col>
      <xdr:colOff>588645</xdr:colOff>
      <xdr:row>16</xdr:row>
      <xdr:rowOff>19050</xdr:rowOff>
    </xdr:to>
    <mc:AlternateContent xmlns:mc="http://schemas.openxmlformats.org/markup-compatibility/2006">
      <mc:Choice xmlns:a14="http://schemas.microsoft.com/office/drawing/2010/main" Requires="a14">
        <xdr:graphicFrame macro="">
          <xdr:nvGraphicFramePr>
            <xdr:cNvPr id="27" name="Store Location 1">
              <a:extLst>
                <a:ext uri="{FF2B5EF4-FFF2-40B4-BE49-F238E27FC236}">
                  <a16:creationId xmlns:a16="http://schemas.microsoft.com/office/drawing/2014/main" id="{5866C2E8-F871-4070-B8B4-AFC329FCB496}"/>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dr:sp macro="" textlink="">
          <xdr:nvSpPr>
            <xdr:cNvPr id="0" name=""/>
            <xdr:cNvSpPr>
              <a:spLocks noTextEdit="1"/>
            </xdr:cNvSpPr>
          </xdr:nvSpPr>
          <xdr:spPr>
            <a:xfrm>
              <a:off x="16581120" y="2052320"/>
              <a:ext cx="2356485" cy="892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55879</xdr:colOff>
      <xdr:row>7</xdr:row>
      <xdr:rowOff>81279</xdr:rowOff>
    </xdr:from>
    <xdr:to>
      <xdr:col>31</xdr:col>
      <xdr:colOff>0</xdr:colOff>
      <xdr:row>10</xdr:row>
      <xdr:rowOff>162560</xdr:rowOff>
    </xdr:to>
    <mc:AlternateContent xmlns:mc="http://schemas.openxmlformats.org/markup-compatibility/2006">
      <mc:Choice xmlns:a14="http://schemas.microsoft.com/office/drawing/2010/main" Requires="a14">
        <xdr:graphicFrame macro="">
          <xdr:nvGraphicFramePr>
            <xdr:cNvPr id="28" name="Customer Type 1">
              <a:extLst>
                <a:ext uri="{FF2B5EF4-FFF2-40B4-BE49-F238E27FC236}">
                  <a16:creationId xmlns:a16="http://schemas.microsoft.com/office/drawing/2014/main" id="{D3566037-985B-43ED-8C72-9748B3A1C5E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6576039" y="1361439"/>
              <a:ext cx="2382521" cy="629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7</xdr:row>
      <xdr:rowOff>15875</xdr:rowOff>
    </xdr:from>
    <xdr:to>
      <xdr:col>2</xdr:col>
      <xdr:colOff>447675</xdr:colOff>
      <xdr:row>9</xdr:row>
      <xdr:rowOff>53975</xdr:rowOff>
    </xdr:to>
    <xdr:sp macro="" textlink="">
      <xdr:nvSpPr>
        <xdr:cNvPr id="29" name="TextBox 28">
          <a:extLst>
            <a:ext uri="{FF2B5EF4-FFF2-40B4-BE49-F238E27FC236}">
              <a16:creationId xmlns:a16="http://schemas.microsoft.com/office/drawing/2014/main" id="{4A9A6810-0BA9-BFC6-FA4E-94D78292D924}"/>
            </a:ext>
          </a:extLst>
        </xdr:cNvPr>
        <xdr:cNvSpPr txBox="1"/>
      </xdr:nvSpPr>
      <xdr:spPr>
        <a:xfrm>
          <a:off x="123825" y="1296035"/>
          <a:ext cx="158369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u="dbl">
              <a:solidFill>
                <a:schemeClr val="bg1"/>
              </a:solidFill>
              <a:latin typeface="Aptos Narrow" panose="020B0004020202020204" pitchFamily="34" charset="0"/>
            </a:rPr>
            <a:t>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awant" refreshedDate="46075.793914004629" createdVersion="8" refreshedVersion="8" minRefreshableVersion="3" recordCount="1500" xr:uid="{8B92AFB1-7AD7-458D-8ADE-0931B607C2D6}">
  <cacheSource type="worksheet">
    <worksheetSource ref="A1:AA1501" sheet="Data"/>
  </cacheSource>
  <cacheFields count="27">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 Location" numFmtId="0">
      <sharedItems count="4">
        <s v="Store B"/>
        <s v="Store A"/>
        <s v="Store C"/>
        <s v="Store D"/>
      </sharedItems>
    </cacheField>
    <cacheField name="Customer 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 Price" numFmtId="0">
      <sharedItems containsSemiMixedTypes="0" containsString="0" containsNumber="1" minValue="6.9699999999999989" maxValue="11077"/>
    </cacheField>
    <cacheField name="Payment Method" numFmtId="0">
      <sharedItems count="5">
        <s v="Online"/>
        <s v="Gift Card"/>
        <s v="Credit Card"/>
        <s v="Debit Card"/>
        <s v="Cash"/>
      </sharedItems>
    </cacheField>
    <cacheField name="Promotion" numFmtId="0">
      <sharedItems/>
    </cacheField>
    <cacheField name="Returned" numFmtId="0">
      <sharedItems containsSemiMixedTypes="0" containsString="0" containsNumber="1" containsInteger="1" minValue="0" maxValue="1"/>
    </cacheField>
    <cacheField name="Order ID" numFmtId="0">
      <sharedItems count="1500">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 Name" numFmtId="0">
      <sharedItems/>
    </cacheField>
    <cacheField name="Shipping Cost" numFmtId="0">
      <sharedItems containsSemiMixedTypes="0" containsString="0" containsNumber="1" minValue="5.01" maxValue="49.98"/>
    </cacheField>
    <cacheField name="Average Order Value" numFmtId="0">
      <sharedItems containsSemiMixedTypes="0" containsString="0" containsNumber="1" minValue="5.0235000000000003" maxValue="596.97"/>
    </cacheField>
    <cacheField name="Profit Estimate" numFmtId="0">
      <sharedItems containsSemiMixedTypes="0" containsString="0" containsNumber="1" minValue="-36.097999999999999" maxValue="11043.79"/>
    </cacheField>
    <cacheField name="Order Date" numFmtId="164">
      <sharedItems containsSemiMixedTypes="0" containsNonDate="0" containsDate="1" containsString="0" minDate="2023-01-01T00:00:00" maxDate="2025-07-01T00:00:00"/>
    </cacheField>
    <cacheField name="Delivery Date" numFmtId="164">
      <sharedItems containsSemiMixedTypes="0" containsNonDate="0" containsDate="1" containsString="0" minDate="2023-01-08T00:00:00" maxDate="2025-07-11T00:00:00"/>
    </cacheField>
    <cacheField name="Region Manager" numFmtId="0">
      <sharedItems/>
    </cacheField>
    <cacheField name="Order Day" numFmtId="0">
      <sharedItems containsSemiMixedTypes="0" containsString="0" containsNumber="1" containsInteger="1" minValue="1" maxValue="31"/>
    </cacheField>
    <cacheField name="Order Month" numFmtId="0">
      <sharedItems containsSemiMixedTypes="0" containsString="0" containsNumber="1" containsInteger="1" minValue="1" maxValue="12"/>
    </cacheField>
    <cacheField name="Order Month Name" numFmtId="0">
      <sharedItems count="12">
        <s v="Feb"/>
        <s v="Dec"/>
        <s v="May"/>
        <s v="Jun"/>
        <s v="Jan"/>
        <s v="Oct"/>
        <s v="Mar"/>
        <s v="Apr"/>
        <s v="Jul"/>
        <s v="Nov"/>
        <s v="Aug"/>
        <s v="Sep"/>
      </sharedItems>
    </cacheField>
    <cacheField name="Order Year" numFmtId="0">
      <sharedItems containsSemiMixedTypes="0" containsString="0" containsNumber="1" containsInteger="1" minValue="2023" maxValue="2025" count="3">
        <n v="2023"/>
        <n v="2024"/>
        <n v="2025"/>
      </sharedItems>
    </cacheField>
    <cacheField name="Order Quarter" numFmtId="0">
      <sharedItems containsSemiMixedTypes="0" containsString="0" containsNumber="1" containsInteger="1" minValue="1" maxValue="4" count="4">
        <n v="1"/>
        <n v="4"/>
        <n v="2"/>
        <n v="3"/>
      </sharedItems>
    </cacheField>
    <cacheField name="Order Week" numFmtId="0">
      <sharedItems containsSemiMixedTypes="0" containsString="0" containsNumber="1" containsInteger="1" minValue="1" maxValue="52"/>
    </cacheField>
  </cacheFields>
  <extLst>
    <ext xmlns:x14="http://schemas.microsoft.com/office/spreadsheetml/2009/9/main" uri="{725AE2AE-9491-48be-B2B4-4EB974FC3084}">
      <x14:pivotCacheDefinition pivotCacheId="160402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n v="0"/>
    <x v="0"/>
    <n v="2290.4"/>
    <x v="0"/>
    <s v="FREESHIP"/>
    <n v="0"/>
    <x v="0"/>
    <s v="Pooja Mehta"/>
    <n v="43.34"/>
    <n v="163.6"/>
    <n v="2247.06"/>
    <d v="2023-02-23T00:00:00"/>
    <d v="2023-02-27T00:00:00"/>
    <s v="Eric"/>
    <n v="23"/>
    <n v="2"/>
    <x v="0"/>
    <x v="0"/>
    <x v="0"/>
    <n v="8"/>
  </r>
  <r>
    <d v="2024-12-19T00:00:00"/>
    <x v="1"/>
    <x v="1"/>
    <n v="1"/>
    <n v="544.01"/>
    <x v="1"/>
    <x v="1"/>
    <n v="0"/>
    <x v="1"/>
    <n v="544.01"/>
    <x v="1"/>
    <s v="SAVE10"/>
    <n v="0"/>
    <x v="1"/>
    <s v="Sanya Banerjee"/>
    <n v="5.3"/>
    <n v="544.01"/>
    <n v="538.71"/>
    <d v="2024-12-19T00:00:00"/>
    <d v="2024-12-28T00:00:00"/>
    <s v="Sophie"/>
    <n v="19"/>
    <n v="12"/>
    <x v="1"/>
    <x v="1"/>
    <x v="1"/>
    <n v="51"/>
  </r>
  <r>
    <d v="2023-05-10T00:00:00"/>
    <x v="2"/>
    <x v="2"/>
    <n v="14"/>
    <n v="346.18"/>
    <x v="0"/>
    <x v="0"/>
    <n v="0.1"/>
    <x v="1"/>
    <n v="4361.8680000000004"/>
    <x v="0"/>
    <s v="WINTER15"/>
    <n v="0"/>
    <x v="2"/>
    <s v="Devansh Shah"/>
    <n v="20.46"/>
    <n v="311.56200000000001"/>
    <n v="4341.4080000000004"/>
    <d v="2023-05-10T00:00:00"/>
    <d v="2023-05-19T00:00:00"/>
    <s v="Ryan"/>
    <n v="10"/>
    <n v="5"/>
    <x v="2"/>
    <x v="0"/>
    <x v="2"/>
    <n v="19"/>
  </r>
  <r>
    <d v="2025-02-26T00:00:00"/>
    <x v="3"/>
    <x v="3"/>
    <n v="18"/>
    <n v="384.82"/>
    <x v="1"/>
    <x v="0"/>
    <n v="0.15"/>
    <x v="2"/>
    <n v="5887.7460000000001"/>
    <x v="1"/>
    <s v="FREESHIP"/>
    <n v="0"/>
    <x v="3"/>
    <s v="Kavya Hussain"/>
    <n v="27.95"/>
    <n v="327.09699999999998"/>
    <n v="5859.7960000000003"/>
    <d v="2025-02-26T00:00:00"/>
    <d v="2025-03-02T00:00:00"/>
    <s v="Cameron"/>
    <n v="26"/>
    <n v="2"/>
    <x v="0"/>
    <x v="2"/>
    <x v="0"/>
    <n v="9"/>
  </r>
  <r>
    <d v="2023-06-24T00:00:00"/>
    <x v="0"/>
    <x v="2"/>
    <n v="18"/>
    <n v="237.76"/>
    <x v="2"/>
    <x v="1"/>
    <n v="0"/>
    <x v="3"/>
    <n v="4279.68"/>
    <x v="0"/>
    <s v="SAVE10"/>
    <n v="0"/>
    <x v="4"/>
    <s v="Ananya Fernandes"/>
    <n v="5.73"/>
    <n v="237.76000000000002"/>
    <n v="4273.9500000000007"/>
    <d v="2023-06-24T00:00:00"/>
    <d v="2023-06-27T00:00:00"/>
    <s v="Eric"/>
    <n v="24"/>
    <n v="6"/>
    <x v="3"/>
    <x v="0"/>
    <x v="2"/>
    <n v="25"/>
  </r>
  <r>
    <d v="2024-02-20T00:00:00"/>
    <x v="3"/>
    <x v="4"/>
    <n v="2"/>
    <n v="385.09"/>
    <x v="3"/>
    <x v="0"/>
    <n v="0.15"/>
    <x v="4"/>
    <n v="654.65299999999991"/>
    <x v="2"/>
    <s v="nan"/>
    <n v="0"/>
    <x v="5"/>
    <s v="Sai Mehta"/>
    <n v="11.92"/>
    <n v="327.32649999999995"/>
    <n v="642.73299999999995"/>
    <d v="2024-02-20T00:00:00"/>
    <d v="2024-03-01T00:00:00"/>
    <s v="Cameron"/>
    <n v="20"/>
    <n v="2"/>
    <x v="0"/>
    <x v="1"/>
    <x v="0"/>
    <n v="8"/>
  </r>
  <r>
    <d v="2023-01-11T00:00:00"/>
    <x v="1"/>
    <x v="3"/>
    <n v="7"/>
    <n v="17.5"/>
    <x v="2"/>
    <x v="1"/>
    <n v="0.1"/>
    <x v="1"/>
    <n v="110.25"/>
    <x v="3"/>
    <s v="WINTER15"/>
    <n v="0"/>
    <x v="6"/>
    <s v="Ananya Khanna"/>
    <n v="5.0199999999999996"/>
    <n v="15.75"/>
    <n v="105.23"/>
    <d v="2023-01-11T00:00:00"/>
    <d v="2023-01-14T00:00:00"/>
    <s v="Sophie"/>
    <n v="11"/>
    <n v="1"/>
    <x v="4"/>
    <x v="0"/>
    <x v="0"/>
    <n v="2"/>
  </r>
  <r>
    <d v="2023-01-09T00:00:00"/>
    <x v="3"/>
    <x v="3"/>
    <n v="3"/>
    <n v="330.22"/>
    <x v="2"/>
    <x v="0"/>
    <n v="0.15"/>
    <x v="3"/>
    <n v="842.06100000000004"/>
    <x v="4"/>
    <s v="nan"/>
    <n v="0"/>
    <x v="7"/>
    <s v="Nikhil Pathan"/>
    <n v="48.01"/>
    <n v="280.68700000000001"/>
    <n v="794.05100000000004"/>
    <d v="2023-01-09T00:00:00"/>
    <d v="2023-01-11T00:00:00"/>
    <s v="Cameron"/>
    <n v="9"/>
    <n v="1"/>
    <x v="4"/>
    <x v="0"/>
    <x v="0"/>
    <n v="2"/>
  </r>
  <r>
    <d v="2024-10-16T00:00:00"/>
    <x v="1"/>
    <x v="3"/>
    <n v="3"/>
    <n v="432.04"/>
    <x v="3"/>
    <x v="0"/>
    <n v="0.05"/>
    <x v="5"/>
    <n v="1231.3140000000001"/>
    <x v="3"/>
    <s v="FREESHIP"/>
    <n v="1"/>
    <x v="8"/>
    <s v="Sana Mehta"/>
    <n v="42.11"/>
    <n v="410.43800000000005"/>
    <n v="1189.2040000000002"/>
    <d v="2024-10-16T00:00:00"/>
    <d v="2024-10-18T00:00:00"/>
    <s v="Sophie"/>
    <n v="16"/>
    <n v="10"/>
    <x v="5"/>
    <x v="1"/>
    <x v="1"/>
    <n v="42"/>
  </r>
  <r>
    <d v="2025-03-05T00:00:00"/>
    <x v="4"/>
    <x v="2"/>
    <n v="5"/>
    <n v="323.27999999999997"/>
    <x v="3"/>
    <x v="1"/>
    <n v="0.1"/>
    <x v="2"/>
    <n v="1454.76"/>
    <x v="1"/>
    <s v="SAVE10"/>
    <n v="0"/>
    <x v="9"/>
    <s v="Noor Das"/>
    <n v="41.1"/>
    <n v="290.952"/>
    <n v="1413.66"/>
    <d v="2025-03-05T00:00:00"/>
    <d v="2025-03-13T00:00:00"/>
    <s v="Wendy"/>
    <n v="5"/>
    <n v="3"/>
    <x v="6"/>
    <x v="2"/>
    <x v="0"/>
    <n v="10"/>
  </r>
  <r>
    <d v="2024-04-10T00:00:00"/>
    <x v="2"/>
    <x v="2"/>
    <n v="15"/>
    <n v="523.29"/>
    <x v="0"/>
    <x v="0"/>
    <n v="0.15"/>
    <x v="0"/>
    <n v="6671.9474999999993"/>
    <x v="3"/>
    <s v="nan"/>
    <n v="0"/>
    <x v="10"/>
    <s v="Mohit Pai"/>
    <n v="12.14"/>
    <n v="444.79649999999998"/>
    <n v="6659.807499999999"/>
    <d v="2024-04-10T00:00:00"/>
    <d v="2024-04-17T00:00:00"/>
    <s v="Ryan"/>
    <n v="10"/>
    <n v="4"/>
    <x v="7"/>
    <x v="1"/>
    <x v="2"/>
    <n v="15"/>
  </r>
  <r>
    <d v="2024-07-12T00:00:00"/>
    <x v="0"/>
    <x v="1"/>
    <n v="19"/>
    <n v="207.35"/>
    <x v="3"/>
    <x v="1"/>
    <n v="0.1"/>
    <x v="0"/>
    <n v="3545.6849999999999"/>
    <x v="1"/>
    <s v="nan"/>
    <n v="1"/>
    <x v="11"/>
    <s v="Devansh George"/>
    <n v="44.89"/>
    <n v="186.61500000000001"/>
    <n v="3500.7950000000001"/>
    <d v="2024-07-12T00:00:00"/>
    <d v="2024-07-18T00:00:00"/>
    <s v="Eric"/>
    <n v="12"/>
    <n v="7"/>
    <x v="8"/>
    <x v="1"/>
    <x v="3"/>
    <n v="28"/>
  </r>
  <r>
    <d v="2023-07-21T00:00:00"/>
    <x v="3"/>
    <x v="1"/>
    <n v="1"/>
    <n v="120.53"/>
    <x v="0"/>
    <x v="1"/>
    <n v="0.05"/>
    <x v="4"/>
    <n v="114.5035"/>
    <x v="4"/>
    <s v="WINTER15"/>
    <n v="0"/>
    <x v="12"/>
    <s v="Zoya Sen"/>
    <n v="20.350000000000001"/>
    <n v="114.5035"/>
    <n v="94.153500000000008"/>
    <d v="2023-07-21T00:00:00"/>
    <d v="2023-07-31T00:00:00"/>
    <s v="Cameron"/>
    <n v="21"/>
    <n v="7"/>
    <x v="8"/>
    <x v="0"/>
    <x v="3"/>
    <n v="29"/>
  </r>
  <r>
    <d v="2025-01-18T00:00:00"/>
    <x v="4"/>
    <x v="5"/>
    <n v="1"/>
    <n v="157.83000000000001"/>
    <x v="1"/>
    <x v="0"/>
    <n v="0.15"/>
    <x v="3"/>
    <n v="134.15549999999999"/>
    <x v="3"/>
    <s v="nan"/>
    <n v="0"/>
    <x v="13"/>
    <s v="Aarav Sinha"/>
    <n v="42.82"/>
    <n v="134.15549999999999"/>
    <n v="91.335499999999996"/>
    <d v="2025-01-18T00:00:00"/>
    <d v="2025-01-22T00:00:00"/>
    <s v="Wendy"/>
    <n v="18"/>
    <n v="1"/>
    <x v="4"/>
    <x v="2"/>
    <x v="0"/>
    <n v="3"/>
  </r>
  <r>
    <d v="2024-12-08T00:00:00"/>
    <x v="2"/>
    <x v="2"/>
    <n v="15"/>
    <n v="220.3"/>
    <x v="0"/>
    <x v="1"/>
    <n v="0.15"/>
    <x v="4"/>
    <n v="2808.8249999999998"/>
    <x v="3"/>
    <s v="nan"/>
    <n v="0"/>
    <x v="14"/>
    <s v="Raina Bhargava"/>
    <n v="39.659999999999997"/>
    <n v="187.255"/>
    <n v="2769.165"/>
    <d v="2024-12-08T00:00:00"/>
    <d v="2024-12-15T00:00:00"/>
    <s v="Ryan"/>
    <n v="8"/>
    <n v="12"/>
    <x v="1"/>
    <x v="1"/>
    <x v="1"/>
    <n v="49"/>
  </r>
  <r>
    <d v="2025-05-11T00:00:00"/>
    <x v="4"/>
    <x v="3"/>
    <n v="17"/>
    <n v="162.96"/>
    <x v="1"/>
    <x v="0"/>
    <n v="0.05"/>
    <x v="0"/>
    <n v="2631.8040000000001"/>
    <x v="1"/>
    <s v="FREESHIP"/>
    <n v="0"/>
    <x v="15"/>
    <s v="Sanya Kaur"/>
    <n v="8.11"/>
    <n v="154.81200000000001"/>
    <n v="2623.694"/>
    <d v="2025-05-11T00:00:00"/>
    <d v="2025-05-17T00:00:00"/>
    <s v="Wendy"/>
    <n v="11"/>
    <n v="5"/>
    <x v="2"/>
    <x v="2"/>
    <x v="2"/>
    <n v="19"/>
  </r>
  <r>
    <d v="2023-02-26T00:00:00"/>
    <x v="4"/>
    <x v="0"/>
    <n v="19"/>
    <n v="236.11"/>
    <x v="3"/>
    <x v="0"/>
    <n v="0"/>
    <x v="5"/>
    <n v="4486.09"/>
    <x v="0"/>
    <s v="WINTER15"/>
    <n v="0"/>
    <x v="16"/>
    <s v="Tanishq Bhargava"/>
    <n v="34.11"/>
    <n v="236.11"/>
    <n v="4451.9800000000005"/>
    <d v="2023-02-26T00:00:00"/>
    <d v="2023-03-04T00:00:00"/>
    <s v="Wendy"/>
    <n v="26"/>
    <n v="2"/>
    <x v="0"/>
    <x v="0"/>
    <x v="0"/>
    <n v="8"/>
  </r>
  <r>
    <d v="2024-05-28T00:00:00"/>
    <x v="3"/>
    <x v="2"/>
    <n v="11"/>
    <n v="573.14"/>
    <x v="3"/>
    <x v="1"/>
    <n v="0.05"/>
    <x v="4"/>
    <n v="5989.3130000000001"/>
    <x v="4"/>
    <s v="SAVE10"/>
    <n v="0"/>
    <x v="17"/>
    <s v="Kavya Iyer"/>
    <n v="34.71"/>
    <n v="544.48300000000006"/>
    <n v="5954.6030000000001"/>
    <d v="2024-05-28T00:00:00"/>
    <d v="2024-06-01T00:00:00"/>
    <s v="Cameron"/>
    <n v="28"/>
    <n v="5"/>
    <x v="2"/>
    <x v="1"/>
    <x v="2"/>
    <n v="22"/>
  </r>
  <r>
    <d v="2023-11-30T00:00:00"/>
    <x v="0"/>
    <x v="1"/>
    <n v="20"/>
    <n v="519.04"/>
    <x v="0"/>
    <x v="1"/>
    <n v="0.15"/>
    <x v="3"/>
    <n v="8823.6799999999985"/>
    <x v="1"/>
    <s v="FREESHIP"/>
    <n v="0"/>
    <x v="18"/>
    <s v="Laksh Reddy"/>
    <n v="19.43"/>
    <n v="441.18399999999991"/>
    <n v="8804.2499999999982"/>
    <d v="2023-11-30T00:00:00"/>
    <d v="2023-12-08T00:00:00"/>
    <s v="Eric"/>
    <n v="30"/>
    <n v="11"/>
    <x v="9"/>
    <x v="0"/>
    <x v="1"/>
    <n v="48"/>
  </r>
  <r>
    <d v="2023-06-22T00:00:00"/>
    <x v="4"/>
    <x v="2"/>
    <n v="14"/>
    <n v="30.83"/>
    <x v="0"/>
    <x v="1"/>
    <n v="0"/>
    <x v="3"/>
    <n v="431.62"/>
    <x v="0"/>
    <s v="WINTER15"/>
    <n v="1"/>
    <x v="19"/>
    <s v="Om Chaudhary"/>
    <n v="7.1"/>
    <n v="30.830000000000002"/>
    <n v="424.52"/>
    <d v="2023-06-22T00:00:00"/>
    <d v="2023-07-02T00:00:00"/>
    <s v="Wendy"/>
    <n v="22"/>
    <n v="6"/>
    <x v="3"/>
    <x v="0"/>
    <x v="2"/>
    <n v="25"/>
  </r>
  <r>
    <d v="2025-06-05T00:00:00"/>
    <x v="4"/>
    <x v="1"/>
    <n v="10"/>
    <n v="319.05"/>
    <x v="3"/>
    <x v="0"/>
    <n v="0"/>
    <x v="4"/>
    <n v="3190.5"/>
    <x v="0"/>
    <s v="nan"/>
    <n v="0"/>
    <x v="20"/>
    <s v="Sana Ghosh"/>
    <n v="28.43"/>
    <n v="319.05"/>
    <n v="3162.07"/>
    <d v="2025-06-05T00:00:00"/>
    <d v="2025-06-08T00:00:00"/>
    <s v="Wendy"/>
    <n v="5"/>
    <n v="6"/>
    <x v="3"/>
    <x v="2"/>
    <x v="2"/>
    <n v="23"/>
  </r>
  <r>
    <d v="2023-03-03T00:00:00"/>
    <x v="3"/>
    <x v="3"/>
    <n v="14"/>
    <n v="312.79000000000002"/>
    <x v="1"/>
    <x v="1"/>
    <n v="0.05"/>
    <x v="5"/>
    <n v="4160.107"/>
    <x v="0"/>
    <s v="nan"/>
    <n v="1"/>
    <x v="21"/>
    <s v="Rohan Joseph"/>
    <n v="46.83"/>
    <n v="297.15050000000002"/>
    <n v="4113.277"/>
    <d v="2023-03-03T00:00:00"/>
    <d v="2023-03-08T00:00:00"/>
    <s v="Cameron"/>
    <n v="3"/>
    <n v="3"/>
    <x v="6"/>
    <x v="0"/>
    <x v="0"/>
    <n v="9"/>
  </r>
  <r>
    <d v="2024-02-18T00:00:00"/>
    <x v="2"/>
    <x v="0"/>
    <n v="14"/>
    <n v="395.45"/>
    <x v="2"/>
    <x v="1"/>
    <n v="0"/>
    <x v="3"/>
    <n v="5536.3"/>
    <x v="4"/>
    <s v="FREESHIP"/>
    <n v="1"/>
    <x v="22"/>
    <s v="Kunal Jain"/>
    <n v="36.450000000000003"/>
    <n v="395.45"/>
    <n v="5499.85"/>
    <d v="2024-02-18T00:00:00"/>
    <d v="2024-02-22T00:00:00"/>
    <s v="Ryan"/>
    <n v="18"/>
    <n v="2"/>
    <x v="0"/>
    <x v="1"/>
    <x v="0"/>
    <n v="7"/>
  </r>
  <r>
    <d v="2023-08-06T00:00:00"/>
    <x v="3"/>
    <x v="0"/>
    <n v="12"/>
    <n v="472.72"/>
    <x v="3"/>
    <x v="1"/>
    <n v="0.15"/>
    <x v="4"/>
    <n v="4821.7440000000006"/>
    <x v="2"/>
    <s v="nan"/>
    <n v="0"/>
    <x v="23"/>
    <s v="Laksh Desai"/>
    <n v="27.97"/>
    <n v="401.81200000000007"/>
    <n v="4793.7740000000003"/>
    <d v="2023-08-06T00:00:00"/>
    <d v="2023-08-14T00:00:00"/>
    <s v="Cameron"/>
    <n v="6"/>
    <n v="8"/>
    <x v="10"/>
    <x v="0"/>
    <x v="3"/>
    <n v="31"/>
  </r>
  <r>
    <d v="2024-05-23T00:00:00"/>
    <x v="2"/>
    <x v="2"/>
    <n v="5"/>
    <n v="288.01"/>
    <x v="1"/>
    <x v="0"/>
    <n v="0"/>
    <x v="0"/>
    <n v="1440.05"/>
    <x v="2"/>
    <s v="FREESHIP"/>
    <n v="0"/>
    <x v="24"/>
    <s v="Fatima Tripathi"/>
    <n v="46.69"/>
    <n v="288.01"/>
    <n v="1393.36"/>
    <d v="2024-05-23T00:00:00"/>
    <d v="2024-05-30T00:00:00"/>
    <s v="Ryan"/>
    <n v="23"/>
    <n v="5"/>
    <x v="2"/>
    <x v="1"/>
    <x v="2"/>
    <n v="21"/>
  </r>
  <r>
    <d v="2023-10-23T00:00:00"/>
    <x v="0"/>
    <x v="1"/>
    <n v="13"/>
    <n v="562.29"/>
    <x v="3"/>
    <x v="1"/>
    <n v="0"/>
    <x v="4"/>
    <n v="7309.77"/>
    <x v="1"/>
    <s v="SAVE10"/>
    <n v="0"/>
    <x v="25"/>
    <s v="Rukhsar Thakur"/>
    <n v="38.130000000000003"/>
    <n v="562.29000000000008"/>
    <n v="7271.64"/>
    <d v="2023-10-23T00:00:00"/>
    <d v="2023-10-28T00:00:00"/>
    <s v="Eric"/>
    <n v="23"/>
    <n v="10"/>
    <x v="5"/>
    <x v="0"/>
    <x v="1"/>
    <n v="43"/>
  </r>
  <r>
    <d v="2025-06-16T00:00:00"/>
    <x v="4"/>
    <x v="1"/>
    <n v="1"/>
    <n v="101.73"/>
    <x v="3"/>
    <x v="1"/>
    <n v="0"/>
    <x v="2"/>
    <n v="101.73"/>
    <x v="3"/>
    <s v="WINTER15"/>
    <n v="0"/>
    <x v="26"/>
    <s v="Sara Pillai"/>
    <n v="11.59"/>
    <n v="101.73"/>
    <n v="90.14"/>
    <d v="2025-06-16T00:00:00"/>
    <d v="2025-06-25T00:00:00"/>
    <s v="Wendy"/>
    <n v="16"/>
    <n v="6"/>
    <x v="3"/>
    <x v="2"/>
    <x v="2"/>
    <n v="25"/>
  </r>
  <r>
    <d v="2023-03-03T00:00:00"/>
    <x v="2"/>
    <x v="1"/>
    <n v="4"/>
    <n v="279.49"/>
    <x v="0"/>
    <x v="1"/>
    <n v="0"/>
    <x v="4"/>
    <n v="1117.96"/>
    <x v="2"/>
    <s v="FREESHIP"/>
    <n v="0"/>
    <x v="27"/>
    <s v="Neel Gupta"/>
    <n v="24.78"/>
    <n v="279.49"/>
    <n v="1093.18"/>
    <d v="2023-03-03T00:00:00"/>
    <d v="2023-03-08T00:00:00"/>
    <s v="Ryan"/>
    <n v="3"/>
    <n v="3"/>
    <x v="6"/>
    <x v="0"/>
    <x v="0"/>
    <n v="9"/>
  </r>
  <r>
    <d v="2024-11-18T00:00:00"/>
    <x v="1"/>
    <x v="0"/>
    <n v="1"/>
    <n v="178.55"/>
    <x v="1"/>
    <x v="1"/>
    <n v="0.15"/>
    <x v="3"/>
    <n v="151.76750000000001"/>
    <x v="3"/>
    <s v="SAVE10"/>
    <n v="1"/>
    <x v="28"/>
    <s v="Nikhil Tripathi"/>
    <n v="7.61"/>
    <n v="151.76750000000001"/>
    <n v="144.1575"/>
    <d v="2024-11-18T00:00:00"/>
    <d v="2024-11-21T00:00:00"/>
    <s v="Sophie"/>
    <n v="18"/>
    <n v="11"/>
    <x v="9"/>
    <x v="1"/>
    <x v="1"/>
    <n v="47"/>
  </r>
  <r>
    <d v="2023-05-09T00:00:00"/>
    <x v="3"/>
    <x v="5"/>
    <n v="1"/>
    <n v="472.07"/>
    <x v="1"/>
    <x v="0"/>
    <n v="0.1"/>
    <x v="3"/>
    <n v="424.863"/>
    <x v="0"/>
    <s v="FREESHIP"/>
    <n v="0"/>
    <x v="29"/>
    <s v="Priya Mishra"/>
    <n v="33.17"/>
    <n v="424.863"/>
    <n v="391.69299999999998"/>
    <d v="2023-05-09T00:00:00"/>
    <d v="2023-05-17T00:00:00"/>
    <s v="Cameron"/>
    <n v="9"/>
    <n v="5"/>
    <x v="2"/>
    <x v="0"/>
    <x v="2"/>
    <n v="19"/>
  </r>
  <r>
    <d v="2024-12-07T00:00:00"/>
    <x v="2"/>
    <x v="5"/>
    <n v="12"/>
    <n v="306.29000000000002"/>
    <x v="3"/>
    <x v="1"/>
    <n v="0"/>
    <x v="2"/>
    <n v="3675.48"/>
    <x v="3"/>
    <s v="SAVE10"/>
    <n v="0"/>
    <x v="30"/>
    <s v="Sneha Dubey"/>
    <n v="37.380000000000003"/>
    <n v="306.29000000000002"/>
    <n v="3638.1"/>
    <d v="2024-12-07T00:00:00"/>
    <d v="2024-12-14T00:00:00"/>
    <s v="Ryan"/>
    <n v="7"/>
    <n v="12"/>
    <x v="1"/>
    <x v="1"/>
    <x v="1"/>
    <n v="49"/>
  </r>
  <r>
    <d v="2024-02-13T00:00:00"/>
    <x v="2"/>
    <x v="1"/>
    <n v="7"/>
    <n v="434.77"/>
    <x v="2"/>
    <x v="1"/>
    <n v="0.15"/>
    <x v="2"/>
    <n v="2586.8815"/>
    <x v="0"/>
    <s v="SAVE10"/>
    <n v="0"/>
    <x v="31"/>
    <s v="Sanya Joseph"/>
    <n v="12.35"/>
    <n v="369.55450000000002"/>
    <n v="2574.5315000000001"/>
    <d v="2024-02-13T00:00:00"/>
    <d v="2024-02-15T00:00:00"/>
    <s v="Ryan"/>
    <n v="13"/>
    <n v="2"/>
    <x v="0"/>
    <x v="1"/>
    <x v="0"/>
    <n v="7"/>
  </r>
  <r>
    <d v="2025-03-09T00:00:00"/>
    <x v="1"/>
    <x v="2"/>
    <n v="6"/>
    <n v="64.98"/>
    <x v="2"/>
    <x v="1"/>
    <n v="0"/>
    <x v="3"/>
    <n v="389.88"/>
    <x v="3"/>
    <s v="WINTER15"/>
    <n v="0"/>
    <x v="32"/>
    <s v="Parth Sinha"/>
    <n v="21.25"/>
    <n v="64.98"/>
    <n v="368.63"/>
    <d v="2025-03-09T00:00:00"/>
    <d v="2025-03-15T00:00:00"/>
    <s v="Sophie"/>
    <n v="9"/>
    <n v="3"/>
    <x v="6"/>
    <x v="2"/>
    <x v="0"/>
    <n v="10"/>
  </r>
  <r>
    <d v="2023-04-05T00:00:00"/>
    <x v="3"/>
    <x v="2"/>
    <n v="17"/>
    <n v="476.49"/>
    <x v="3"/>
    <x v="1"/>
    <n v="0"/>
    <x v="1"/>
    <n v="8100.33"/>
    <x v="1"/>
    <s v="nan"/>
    <n v="0"/>
    <x v="33"/>
    <s v="Ved Solanki"/>
    <n v="17.91"/>
    <n v="476.49"/>
    <n v="8082.42"/>
    <d v="2023-04-05T00:00:00"/>
    <d v="2023-04-11T00:00:00"/>
    <s v="Cameron"/>
    <n v="5"/>
    <n v="4"/>
    <x v="7"/>
    <x v="0"/>
    <x v="2"/>
    <n v="14"/>
  </r>
  <r>
    <d v="2025-05-08T00:00:00"/>
    <x v="2"/>
    <x v="4"/>
    <n v="4"/>
    <n v="559.72"/>
    <x v="3"/>
    <x v="1"/>
    <n v="0.15"/>
    <x v="4"/>
    <n v="1903.048"/>
    <x v="0"/>
    <s v="SAVE10"/>
    <n v="0"/>
    <x v="34"/>
    <s v="Varun Dutta"/>
    <n v="41.91"/>
    <n v="475.762"/>
    <n v="1861.1379999999999"/>
    <d v="2025-05-08T00:00:00"/>
    <d v="2025-05-12T00:00:00"/>
    <s v="Ryan"/>
    <n v="8"/>
    <n v="5"/>
    <x v="2"/>
    <x v="2"/>
    <x v="2"/>
    <n v="19"/>
  </r>
  <r>
    <d v="2023-09-03T00:00:00"/>
    <x v="2"/>
    <x v="5"/>
    <n v="14"/>
    <n v="82.14"/>
    <x v="2"/>
    <x v="1"/>
    <n v="0"/>
    <x v="1"/>
    <n v="1149.96"/>
    <x v="2"/>
    <s v="nan"/>
    <n v="0"/>
    <x v="35"/>
    <s v="Yash Vora"/>
    <n v="12.57"/>
    <n v="82.14"/>
    <n v="1137.3900000000001"/>
    <d v="2023-09-03T00:00:00"/>
    <d v="2023-09-11T00:00:00"/>
    <s v="Ryan"/>
    <n v="3"/>
    <n v="9"/>
    <x v="11"/>
    <x v="0"/>
    <x v="3"/>
    <n v="35"/>
  </r>
  <r>
    <d v="2025-03-21T00:00:00"/>
    <x v="3"/>
    <x v="3"/>
    <n v="9"/>
    <n v="343.21"/>
    <x v="1"/>
    <x v="1"/>
    <n v="0.05"/>
    <x v="3"/>
    <n v="2934.4454999999998"/>
    <x v="3"/>
    <s v="FREESHIP"/>
    <n v="0"/>
    <x v="36"/>
    <s v="Kunal Banerjee"/>
    <n v="40.29"/>
    <n v="326.04949999999997"/>
    <n v="2894.1554999999998"/>
    <d v="2025-03-21T00:00:00"/>
    <d v="2025-03-28T00:00:00"/>
    <s v="Cameron"/>
    <n v="21"/>
    <n v="3"/>
    <x v="6"/>
    <x v="2"/>
    <x v="0"/>
    <n v="12"/>
  </r>
  <r>
    <d v="2025-06-20T00:00:00"/>
    <x v="1"/>
    <x v="3"/>
    <n v="7"/>
    <n v="301.01"/>
    <x v="0"/>
    <x v="1"/>
    <n v="0.15"/>
    <x v="4"/>
    <n v="1791.0094999999999"/>
    <x v="4"/>
    <s v="SAVE10"/>
    <n v="1"/>
    <x v="37"/>
    <s v="Aman Mathew"/>
    <n v="34.97"/>
    <n v="255.85849999999999"/>
    <n v="1756.0394999999999"/>
    <d v="2025-06-20T00:00:00"/>
    <d v="2025-06-30T00:00:00"/>
    <s v="Sophie"/>
    <n v="20"/>
    <n v="6"/>
    <x v="3"/>
    <x v="2"/>
    <x v="2"/>
    <n v="25"/>
  </r>
  <r>
    <d v="2024-02-15T00:00:00"/>
    <x v="3"/>
    <x v="6"/>
    <n v="14"/>
    <n v="428.13"/>
    <x v="2"/>
    <x v="1"/>
    <n v="0.1"/>
    <x v="5"/>
    <n v="5394.4380000000001"/>
    <x v="4"/>
    <s v="nan"/>
    <n v="1"/>
    <x v="38"/>
    <s v="Laksh Dutta"/>
    <n v="24.77"/>
    <n v="385.31700000000001"/>
    <n v="5369.6679999999997"/>
    <d v="2024-02-15T00:00:00"/>
    <d v="2024-02-25T00:00:00"/>
    <s v="Cameron"/>
    <n v="15"/>
    <n v="2"/>
    <x v="0"/>
    <x v="1"/>
    <x v="0"/>
    <n v="7"/>
  </r>
  <r>
    <d v="2023-06-09T00:00:00"/>
    <x v="3"/>
    <x v="0"/>
    <n v="2"/>
    <n v="503.28"/>
    <x v="3"/>
    <x v="1"/>
    <n v="0.15"/>
    <x v="1"/>
    <n v="855.57599999999991"/>
    <x v="1"/>
    <s v="nan"/>
    <n v="0"/>
    <x v="39"/>
    <s v="Noor Agarwal"/>
    <n v="34.79"/>
    <n v="427.78799999999995"/>
    <n v="820.78599999999994"/>
    <d v="2023-06-09T00:00:00"/>
    <d v="2023-06-17T00:00:00"/>
    <s v="Cameron"/>
    <n v="9"/>
    <n v="6"/>
    <x v="3"/>
    <x v="0"/>
    <x v="2"/>
    <n v="23"/>
  </r>
  <r>
    <d v="2023-08-10T00:00:00"/>
    <x v="1"/>
    <x v="6"/>
    <n v="5"/>
    <n v="470.32"/>
    <x v="1"/>
    <x v="1"/>
    <n v="0.1"/>
    <x v="0"/>
    <n v="2116.44"/>
    <x v="3"/>
    <s v="SAVE10"/>
    <n v="0"/>
    <x v="40"/>
    <s v="Ishaan Nair"/>
    <n v="17.77"/>
    <n v="423.28800000000001"/>
    <n v="2098.67"/>
    <d v="2023-08-10T00:00:00"/>
    <d v="2023-08-14T00:00:00"/>
    <s v="Sophie"/>
    <n v="10"/>
    <n v="8"/>
    <x v="10"/>
    <x v="0"/>
    <x v="3"/>
    <n v="32"/>
  </r>
  <r>
    <d v="2024-06-16T00:00:00"/>
    <x v="3"/>
    <x v="6"/>
    <n v="20"/>
    <n v="65.17"/>
    <x v="2"/>
    <x v="0"/>
    <n v="0.05"/>
    <x v="0"/>
    <n v="1238.23"/>
    <x v="1"/>
    <s v="FREESHIP"/>
    <n v="0"/>
    <x v="41"/>
    <s v="Nikhil Verma"/>
    <n v="21.72"/>
    <n v="61.911500000000004"/>
    <n v="1216.51"/>
    <d v="2024-06-16T00:00:00"/>
    <d v="2024-06-25T00:00:00"/>
    <s v="Cameron"/>
    <n v="16"/>
    <n v="6"/>
    <x v="3"/>
    <x v="1"/>
    <x v="2"/>
    <n v="24"/>
  </r>
  <r>
    <d v="2023-07-23T00:00:00"/>
    <x v="1"/>
    <x v="0"/>
    <n v="12"/>
    <n v="36.17"/>
    <x v="1"/>
    <x v="1"/>
    <n v="0"/>
    <x v="0"/>
    <n v="434.04"/>
    <x v="0"/>
    <s v="WINTER15"/>
    <n v="0"/>
    <x v="42"/>
    <s v="Kabir Hegde"/>
    <n v="34.85"/>
    <n v="36.17"/>
    <n v="399.19"/>
    <d v="2023-07-23T00:00:00"/>
    <d v="2023-07-26T00:00:00"/>
    <s v="Sophie"/>
    <n v="23"/>
    <n v="7"/>
    <x v="8"/>
    <x v="0"/>
    <x v="3"/>
    <n v="29"/>
  </r>
  <r>
    <d v="2023-05-20T00:00:00"/>
    <x v="3"/>
    <x v="6"/>
    <n v="4"/>
    <n v="459.31"/>
    <x v="3"/>
    <x v="0"/>
    <n v="0.15"/>
    <x v="3"/>
    <n v="1561.654"/>
    <x v="1"/>
    <s v="WINTER15"/>
    <n v="1"/>
    <x v="43"/>
    <s v="Neha Joshi"/>
    <n v="27.39"/>
    <n v="390.4135"/>
    <n v="1534.2639999999999"/>
    <d v="2023-05-20T00:00:00"/>
    <d v="2023-05-27T00:00:00"/>
    <s v="Cameron"/>
    <n v="20"/>
    <n v="5"/>
    <x v="2"/>
    <x v="0"/>
    <x v="2"/>
    <n v="20"/>
  </r>
  <r>
    <d v="2023-06-30T00:00:00"/>
    <x v="1"/>
    <x v="0"/>
    <n v="2"/>
    <n v="416.06"/>
    <x v="3"/>
    <x v="1"/>
    <n v="0.05"/>
    <x v="0"/>
    <n v="790.51400000000001"/>
    <x v="3"/>
    <s v="SAVE10"/>
    <n v="0"/>
    <x v="44"/>
    <s v="Tanishq Chopra"/>
    <n v="11.62"/>
    <n v="395.25700000000001"/>
    <n v="778.89400000000001"/>
    <d v="2023-06-30T00:00:00"/>
    <d v="2023-07-04T00:00:00"/>
    <s v="Sophie"/>
    <n v="30"/>
    <n v="6"/>
    <x v="3"/>
    <x v="0"/>
    <x v="2"/>
    <n v="26"/>
  </r>
  <r>
    <d v="2024-06-04T00:00:00"/>
    <x v="1"/>
    <x v="5"/>
    <n v="16"/>
    <n v="302.58"/>
    <x v="3"/>
    <x v="1"/>
    <n v="0"/>
    <x v="1"/>
    <n v="4841.28"/>
    <x v="0"/>
    <s v="WINTER15"/>
    <n v="1"/>
    <x v="45"/>
    <s v="Tanishq Shaikh"/>
    <n v="20.76"/>
    <n v="302.58"/>
    <n v="4820.5199999999995"/>
    <d v="2024-06-04T00:00:00"/>
    <d v="2024-06-14T00:00:00"/>
    <s v="Sophie"/>
    <n v="4"/>
    <n v="6"/>
    <x v="3"/>
    <x v="1"/>
    <x v="2"/>
    <n v="23"/>
  </r>
  <r>
    <d v="2025-02-03T00:00:00"/>
    <x v="4"/>
    <x v="3"/>
    <n v="11"/>
    <n v="33.130000000000003"/>
    <x v="1"/>
    <x v="1"/>
    <n v="0.15"/>
    <x v="2"/>
    <n v="309.76549999999997"/>
    <x v="0"/>
    <s v="FREESHIP"/>
    <n v="0"/>
    <x v="46"/>
    <s v="Zara Joseph"/>
    <n v="24.95"/>
    <n v="28.160499999999999"/>
    <n v="284.81549999999999"/>
    <d v="2025-02-03T00:00:00"/>
    <d v="2025-02-05T00:00:00"/>
    <s v="Wendy"/>
    <n v="3"/>
    <n v="2"/>
    <x v="0"/>
    <x v="2"/>
    <x v="0"/>
    <n v="6"/>
  </r>
  <r>
    <d v="2024-01-09T00:00:00"/>
    <x v="0"/>
    <x v="5"/>
    <n v="8"/>
    <n v="582.52"/>
    <x v="3"/>
    <x v="1"/>
    <n v="0.15"/>
    <x v="2"/>
    <n v="3961.136"/>
    <x v="1"/>
    <s v="WINTER15"/>
    <n v="0"/>
    <x v="47"/>
    <s v="Riya Ghosh"/>
    <n v="6.47"/>
    <n v="495.142"/>
    <n v="3954.6660000000002"/>
    <d v="2024-01-09T00:00:00"/>
    <d v="2024-01-13T00:00:00"/>
    <s v="Eric"/>
    <n v="9"/>
    <n v="1"/>
    <x v="4"/>
    <x v="1"/>
    <x v="0"/>
    <n v="2"/>
  </r>
  <r>
    <d v="2024-03-14T00:00:00"/>
    <x v="2"/>
    <x v="2"/>
    <n v="5"/>
    <n v="165.15"/>
    <x v="1"/>
    <x v="1"/>
    <n v="0.1"/>
    <x v="0"/>
    <n v="743.17500000000007"/>
    <x v="1"/>
    <s v="nan"/>
    <n v="0"/>
    <x v="48"/>
    <s v="Meera Banerjee"/>
    <n v="20.57"/>
    <n v="148.63500000000002"/>
    <n v="722.60500000000002"/>
    <d v="2024-03-14T00:00:00"/>
    <d v="2024-03-16T00:00:00"/>
    <s v="Ryan"/>
    <n v="14"/>
    <n v="3"/>
    <x v="6"/>
    <x v="1"/>
    <x v="0"/>
    <n v="11"/>
  </r>
  <r>
    <d v="2024-09-06T00:00:00"/>
    <x v="4"/>
    <x v="4"/>
    <n v="14"/>
    <n v="242.82"/>
    <x v="3"/>
    <x v="0"/>
    <n v="0.15"/>
    <x v="1"/>
    <n v="2889.558"/>
    <x v="4"/>
    <s v="WINTER15"/>
    <n v="1"/>
    <x v="49"/>
    <s v="Noor Malik"/>
    <n v="20.71"/>
    <n v="206.39699999999999"/>
    <n v="2868.848"/>
    <d v="2024-09-06T00:00:00"/>
    <d v="2024-09-13T00:00:00"/>
    <s v="Wendy"/>
    <n v="6"/>
    <n v="9"/>
    <x v="11"/>
    <x v="1"/>
    <x v="3"/>
    <n v="36"/>
  </r>
  <r>
    <d v="2023-03-17T00:00:00"/>
    <x v="0"/>
    <x v="4"/>
    <n v="13"/>
    <n v="65.989999999999995"/>
    <x v="1"/>
    <x v="0"/>
    <n v="0.1"/>
    <x v="2"/>
    <n v="772.08299999999997"/>
    <x v="4"/>
    <s v="WINTER15"/>
    <n v="0"/>
    <x v="50"/>
    <s v="Tanvi Fernandes"/>
    <n v="12.87"/>
    <n v="59.390999999999998"/>
    <n v="759.21299999999997"/>
    <d v="2023-03-17T00:00:00"/>
    <d v="2023-03-20T00:00:00"/>
    <s v="Eric"/>
    <n v="17"/>
    <n v="3"/>
    <x v="6"/>
    <x v="0"/>
    <x v="0"/>
    <n v="11"/>
  </r>
  <r>
    <d v="2025-01-17T00:00:00"/>
    <x v="4"/>
    <x v="3"/>
    <n v="2"/>
    <n v="251.69"/>
    <x v="2"/>
    <x v="0"/>
    <n v="0"/>
    <x v="1"/>
    <n v="503.38"/>
    <x v="3"/>
    <s v="FREESHIP"/>
    <n v="0"/>
    <x v="51"/>
    <s v="Hina Hegde"/>
    <n v="42.49"/>
    <n v="251.69"/>
    <n v="460.89"/>
    <d v="2025-01-17T00:00:00"/>
    <d v="2025-01-24T00:00:00"/>
    <s v="Wendy"/>
    <n v="17"/>
    <n v="1"/>
    <x v="4"/>
    <x v="2"/>
    <x v="0"/>
    <n v="3"/>
  </r>
  <r>
    <d v="2024-09-12T00:00:00"/>
    <x v="1"/>
    <x v="0"/>
    <n v="1"/>
    <n v="269.41000000000003"/>
    <x v="0"/>
    <x v="0"/>
    <n v="0.1"/>
    <x v="0"/>
    <n v="242.46899999999999"/>
    <x v="4"/>
    <s v="WINTER15"/>
    <n v="1"/>
    <x v="52"/>
    <s v="Parth Agarwal"/>
    <n v="19.22"/>
    <n v="242.46899999999999"/>
    <n v="223.249"/>
    <d v="2024-09-12T00:00:00"/>
    <d v="2024-09-18T00:00:00"/>
    <s v="Sophie"/>
    <n v="12"/>
    <n v="9"/>
    <x v="11"/>
    <x v="1"/>
    <x v="3"/>
    <n v="37"/>
  </r>
  <r>
    <d v="2024-01-05T00:00:00"/>
    <x v="1"/>
    <x v="4"/>
    <n v="2"/>
    <n v="371.3"/>
    <x v="0"/>
    <x v="0"/>
    <n v="0.05"/>
    <x v="5"/>
    <n v="705.47"/>
    <x v="2"/>
    <s v="SAVE10"/>
    <n v="0"/>
    <x v="53"/>
    <s v="Meera Syed"/>
    <n v="36.51"/>
    <n v="352.73500000000001"/>
    <n v="668.96"/>
    <d v="2024-01-05T00:00:00"/>
    <d v="2024-01-15T00:00:00"/>
    <s v="Sophie"/>
    <n v="5"/>
    <n v="1"/>
    <x v="4"/>
    <x v="1"/>
    <x v="0"/>
    <n v="1"/>
  </r>
  <r>
    <d v="2024-04-19T00:00:00"/>
    <x v="4"/>
    <x v="5"/>
    <n v="11"/>
    <n v="288.24"/>
    <x v="1"/>
    <x v="0"/>
    <n v="0.15"/>
    <x v="4"/>
    <n v="2695.0439999999999"/>
    <x v="0"/>
    <s v="nan"/>
    <n v="0"/>
    <x v="54"/>
    <s v="Pranav Iyer"/>
    <n v="37.39"/>
    <n v="245.00399999999999"/>
    <n v="2657.654"/>
    <d v="2024-04-19T00:00:00"/>
    <d v="2024-04-25T00:00:00"/>
    <s v="Wendy"/>
    <n v="19"/>
    <n v="4"/>
    <x v="7"/>
    <x v="1"/>
    <x v="2"/>
    <n v="16"/>
  </r>
  <r>
    <d v="2025-06-11T00:00:00"/>
    <x v="3"/>
    <x v="5"/>
    <n v="11"/>
    <n v="232.75"/>
    <x v="3"/>
    <x v="0"/>
    <n v="0.05"/>
    <x v="0"/>
    <n v="2432.2375000000002"/>
    <x v="2"/>
    <s v="SAVE10"/>
    <n v="0"/>
    <x v="55"/>
    <s v="Karan Bhatia"/>
    <n v="36.33"/>
    <n v="221.11250000000001"/>
    <n v="2395.9075000000003"/>
    <d v="2025-06-11T00:00:00"/>
    <d v="2025-06-21T00:00:00"/>
    <s v="Cameron"/>
    <n v="11"/>
    <n v="6"/>
    <x v="3"/>
    <x v="2"/>
    <x v="2"/>
    <n v="24"/>
  </r>
  <r>
    <d v="2025-03-06T00:00:00"/>
    <x v="0"/>
    <x v="1"/>
    <n v="17"/>
    <n v="146.28"/>
    <x v="0"/>
    <x v="1"/>
    <n v="0.15"/>
    <x v="3"/>
    <n v="2113.7460000000001"/>
    <x v="4"/>
    <s v="SAVE10"/>
    <n v="0"/>
    <x v="56"/>
    <s v="Simran Sinha"/>
    <n v="7.84"/>
    <n v="124.33800000000001"/>
    <n v="2105.9059999999999"/>
    <d v="2025-03-06T00:00:00"/>
    <d v="2025-03-15T00:00:00"/>
    <s v="Eric"/>
    <n v="6"/>
    <n v="3"/>
    <x v="6"/>
    <x v="2"/>
    <x v="0"/>
    <n v="10"/>
  </r>
  <r>
    <d v="2023-05-24T00:00:00"/>
    <x v="0"/>
    <x v="3"/>
    <n v="5"/>
    <n v="100.38"/>
    <x v="2"/>
    <x v="1"/>
    <n v="0.1"/>
    <x v="0"/>
    <n v="451.71"/>
    <x v="1"/>
    <s v="WINTER15"/>
    <n v="1"/>
    <x v="57"/>
    <s v="Raina Joshi"/>
    <n v="18.350000000000001"/>
    <n v="90.341999999999999"/>
    <n v="433.35999999999996"/>
    <d v="2023-05-24T00:00:00"/>
    <d v="2023-05-26T00:00:00"/>
    <s v="Eric"/>
    <n v="24"/>
    <n v="5"/>
    <x v="2"/>
    <x v="0"/>
    <x v="2"/>
    <n v="21"/>
  </r>
  <r>
    <d v="2023-01-27T00:00:00"/>
    <x v="1"/>
    <x v="1"/>
    <n v="11"/>
    <n v="375.48"/>
    <x v="0"/>
    <x v="1"/>
    <n v="0.05"/>
    <x v="5"/>
    <n v="3923.766000000001"/>
    <x v="3"/>
    <s v="WINTER15"/>
    <n v="0"/>
    <x v="58"/>
    <s v="Atharv Dubey"/>
    <n v="15.95"/>
    <n v="356.70600000000007"/>
    <n v="3907.8160000000012"/>
    <d v="2023-01-27T00:00:00"/>
    <d v="2023-02-03T00:00:00"/>
    <s v="Sophie"/>
    <n v="27"/>
    <n v="1"/>
    <x v="4"/>
    <x v="0"/>
    <x v="0"/>
    <n v="4"/>
  </r>
  <r>
    <d v="2024-03-21T00:00:00"/>
    <x v="1"/>
    <x v="0"/>
    <n v="18"/>
    <n v="316.89"/>
    <x v="0"/>
    <x v="0"/>
    <n v="0.05"/>
    <x v="5"/>
    <n v="5418.8190000000004"/>
    <x v="4"/>
    <s v="FREESHIP"/>
    <n v="0"/>
    <x v="59"/>
    <s v="Aaliyah Mathew"/>
    <n v="15.69"/>
    <n v="301.0455"/>
    <n v="5403.1290000000008"/>
    <d v="2024-03-21T00:00:00"/>
    <d v="2024-03-27T00:00:00"/>
    <s v="Sophie"/>
    <n v="21"/>
    <n v="3"/>
    <x v="6"/>
    <x v="1"/>
    <x v="0"/>
    <n v="12"/>
  </r>
  <r>
    <d v="2025-01-25T00:00:00"/>
    <x v="4"/>
    <x v="0"/>
    <n v="20"/>
    <n v="295.06"/>
    <x v="3"/>
    <x v="1"/>
    <n v="0.15"/>
    <x v="2"/>
    <n v="5016.0200000000004"/>
    <x v="0"/>
    <s v="SAVE10"/>
    <n v="1"/>
    <x v="60"/>
    <s v="Ashwin Mukherjee"/>
    <n v="13.66"/>
    <n v="250.80100000000002"/>
    <n v="5002.3600000000006"/>
    <d v="2025-01-25T00:00:00"/>
    <d v="2025-01-31T00:00:00"/>
    <s v="Wendy"/>
    <n v="25"/>
    <n v="1"/>
    <x v="4"/>
    <x v="2"/>
    <x v="0"/>
    <n v="4"/>
  </r>
  <r>
    <d v="2023-06-12T00:00:00"/>
    <x v="3"/>
    <x v="1"/>
    <n v="8"/>
    <n v="301.68"/>
    <x v="3"/>
    <x v="1"/>
    <n v="0"/>
    <x v="0"/>
    <n v="2413.44"/>
    <x v="4"/>
    <s v="SAVE10"/>
    <n v="0"/>
    <x v="61"/>
    <s v="Fatima Patel"/>
    <n v="36.54"/>
    <n v="301.68"/>
    <n v="2376.9"/>
    <d v="2023-06-12T00:00:00"/>
    <d v="2023-06-21T00:00:00"/>
    <s v="Cameron"/>
    <n v="12"/>
    <n v="6"/>
    <x v="3"/>
    <x v="0"/>
    <x v="2"/>
    <n v="24"/>
  </r>
  <r>
    <d v="2025-03-22T00:00:00"/>
    <x v="3"/>
    <x v="3"/>
    <n v="3"/>
    <n v="475.39"/>
    <x v="0"/>
    <x v="1"/>
    <n v="0.1"/>
    <x v="1"/>
    <n v="1283.5530000000001"/>
    <x v="1"/>
    <s v="nan"/>
    <n v="0"/>
    <x v="62"/>
    <s v="Pooja Malik"/>
    <n v="15.62"/>
    <n v="427.85100000000006"/>
    <n v="1267.9330000000002"/>
    <d v="2025-03-22T00:00:00"/>
    <d v="2025-03-26T00:00:00"/>
    <s v="Cameron"/>
    <n v="22"/>
    <n v="3"/>
    <x v="6"/>
    <x v="2"/>
    <x v="0"/>
    <n v="12"/>
  </r>
  <r>
    <d v="2024-02-24T00:00:00"/>
    <x v="3"/>
    <x v="2"/>
    <n v="16"/>
    <n v="47.25"/>
    <x v="3"/>
    <x v="1"/>
    <n v="0.15"/>
    <x v="5"/>
    <n v="642.6"/>
    <x v="3"/>
    <s v="FREESHIP"/>
    <n v="0"/>
    <x v="63"/>
    <s v="Neha Bhargava"/>
    <n v="29.5"/>
    <n v="40.162500000000001"/>
    <n v="613.1"/>
    <d v="2024-02-24T00:00:00"/>
    <d v="2024-02-27T00:00:00"/>
    <s v="Cameron"/>
    <n v="24"/>
    <n v="2"/>
    <x v="0"/>
    <x v="1"/>
    <x v="0"/>
    <n v="8"/>
  </r>
  <r>
    <d v="2023-12-09T00:00:00"/>
    <x v="1"/>
    <x v="3"/>
    <n v="15"/>
    <n v="511.17"/>
    <x v="0"/>
    <x v="0"/>
    <n v="0"/>
    <x v="2"/>
    <n v="7667.55"/>
    <x v="0"/>
    <s v="FREESHIP"/>
    <n v="0"/>
    <x v="64"/>
    <s v="Pooja Tripathi"/>
    <n v="21.77"/>
    <n v="511.17"/>
    <n v="7645.78"/>
    <d v="2023-12-09T00:00:00"/>
    <d v="2023-12-12T00:00:00"/>
    <s v="Sophie"/>
    <n v="9"/>
    <n v="12"/>
    <x v="1"/>
    <x v="0"/>
    <x v="1"/>
    <n v="49"/>
  </r>
  <r>
    <d v="2023-10-01T00:00:00"/>
    <x v="3"/>
    <x v="4"/>
    <n v="3"/>
    <n v="66.58"/>
    <x v="0"/>
    <x v="1"/>
    <n v="0.1"/>
    <x v="2"/>
    <n v="179.76599999999999"/>
    <x v="3"/>
    <s v="FREESHIP"/>
    <n v="0"/>
    <x v="65"/>
    <s v="Ira Sinha"/>
    <n v="22.43"/>
    <n v="59.921999999999997"/>
    <n v="157.33599999999998"/>
    <d v="2023-10-01T00:00:00"/>
    <d v="2023-10-05T00:00:00"/>
    <s v="Cameron"/>
    <n v="1"/>
    <n v="10"/>
    <x v="5"/>
    <x v="0"/>
    <x v="1"/>
    <n v="39"/>
  </r>
  <r>
    <d v="2023-07-31T00:00:00"/>
    <x v="4"/>
    <x v="5"/>
    <n v="5"/>
    <n v="490.52"/>
    <x v="3"/>
    <x v="0"/>
    <n v="0.05"/>
    <x v="2"/>
    <n v="2329.9699999999998"/>
    <x v="0"/>
    <s v="nan"/>
    <n v="0"/>
    <x v="66"/>
    <s v="Bhavna Sharma"/>
    <n v="12.24"/>
    <n v="465.99399999999997"/>
    <n v="2317.73"/>
    <d v="2023-07-31T00:00:00"/>
    <d v="2023-08-07T00:00:00"/>
    <s v="Wendy"/>
    <n v="31"/>
    <n v="7"/>
    <x v="8"/>
    <x v="0"/>
    <x v="3"/>
    <n v="31"/>
  </r>
  <r>
    <d v="2024-12-24T00:00:00"/>
    <x v="1"/>
    <x v="3"/>
    <n v="8"/>
    <n v="405.96"/>
    <x v="1"/>
    <x v="0"/>
    <n v="0.05"/>
    <x v="3"/>
    <n v="3085.2959999999998"/>
    <x v="2"/>
    <s v="WINTER15"/>
    <n v="0"/>
    <x v="67"/>
    <s v="Tanvi Pathan"/>
    <n v="41.27"/>
    <n v="385.66199999999998"/>
    <n v="3044.0259999999998"/>
    <d v="2024-12-24T00:00:00"/>
    <d v="2024-12-31T00:00:00"/>
    <s v="Sophie"/>
    <n v="24"/>
    <n v="12"/>
    <x v="1"/>
    <x v="1"/>
    <x v="1"/>
    <n v="52"/>
  </r>
  <r>
    <d v="2024-11-15T00:00:00"/>
    <x v="2"/>
    <x v="1"/>
    <n v="1"/>
    <n v="159.41"/>
    <x v="0"/>
    <x v="1"/>
    <n v="0.1"/>
    <x v="5"/>
    <n v="143.46899999999999"/>
    <x v="2"/>
    <s v="FREESHIP"/>
    <n v="0"/>
    <x v="68"/>
    <s v="Raj Pathan"/>
    <n v="35.14"/>
    <n v="143.46899999999999"/>
    <n v="108.32899999999999"/>
    <d v="2024-11-15T00:00:00"/>
    <d v="2024-11-19T00:00:00"/>
    <s v="Ryan"/>
    <n v="15"/>
    <n v="11"/>
    <x v="9"/>
    <x v="1"/>
    <x v="1"/>
    <n v="46"/>
  </r>
  <r>
    <d v="2025-03-13T00:00:00"/>
    <x v="4"/>
    <x v="4"/>
    <n v="16"/>
    <n v="38.49"/>
    <x v="2"/>
    <x v="1"/>
    <n v="0.15"/>
    <x v="3"/>
    <n v="523.46400000000006"/>
    <x v="3"/>
    <s v="SAVE10"/>
    <n v="0"/>
    <x v="69"/>
    <s v="Kavya Tiwari"/>
    <n v="8.3800000000000008"/>
    <n v="32.716500000000003"/>
    <n v="515.08400000000006"/>
    <d v="2025-03-13T00:00:00"/>
    <d v="2025-03-22T00:00:00"/>
    <s v="Wendy"/>
    <n v="13"/>
    <n v="3"/>
    <x v="6"/>
    <x v="2"/>
    <x v="0"/>
    <n v="11"/>
  </r>
  <r>
    <d v="2024-03-03T00:00:00"/>
    <x v="0"/>
    <x v="5"/>
    <n v="15"/>
    <n v="328.36"/>
    <x v="3"/>
    <x v="1"/>
    <n v="0.15"/>
    <x v="1"/>
    <n v="4186.59"/>
    <x v="1"/>
    <s v="WINTER15"/>
    <n v="0"/>
    <x v="70"/>
    <s v="Siddharth Das"/>
    <n v="15.76"/>
    <n v="279.10599999999999"/>
    <n v="4170.83"/>
    <d v="2024-03-03T00:00:00"/>
    <d v="2024-03-12T00:00:00"/>
    <s v="Eric"/>
    <n v="3"/>
    <n v="3"/>
    <x v="6"/>
    <x v="1"/>
    <x v="0"/>
    <n v="9"/>
  </r>
  <r>
    <d v="2023-02-11T00:00:00"/>
    <x v="3"/>
    <x v="5"/>
    <n v="20"/>
    <n v="548.01"/>
    <x v="1"/>
    <x v="0"/>
    <n v="0.1"/>
    <x v="0"/>
    <n v="9864.18"/>
    <x v="2"/>
    <s v="WINTER15"/>
    <n v="1"/>
    <x v="71"/>
    <s v="Simran Rawat"/>
    <n v="5.89"/>
    <n v="493.209"/>
    <n v="9858.2900000000009"/>
    <d v="2023-02-11T00:00:00"/>
    <d v="2023-02-14T00:00:00"/>
    <s v="Cameron"/>
    <n v="11"/>
    <n v="2"/>
    <x v="0"/>
    <x v="0"/>
    <x v="0"/>
    <n v="6"/>
  </r>
  <r>
    <d v="2023-10-26T00:00:00"/>
    <x v="1"/>
    <x v="2"/>
    <n v="13"/>
    <n v="484.45"/>
    <x v="0"/>
    <x v="0"/>
    <n v="0.05"/>
    <x v="3"/>
    <n v="5982.9575000000004"/>
    <x v="1"/>
    <s v="WINTER15"/>
    <n v="1"/>
    <x v="72"/>
    <s v="Aman Hussain"/>
    <n v="6.57"/>
    <n v="460.22750000000002"/>
    <n v="5976.3875000000007"/>
    <d v="2023-10-26T00:00:00"/>
    <d v="2023-11-05T00:00:00"/>
    <s v="Sophie"/>
    <n v="26"/>
    <n v="10"/>
    <x v="5"/>
    <x v="0"/>
    <x v="1"/>
    <n v="43"/>
  </r>
  <r>
    <d v="2023-10-21T00:00:00"/>
    <x v="1"/>
    <x v="4"/>
    <n v="13"/>
    <n v="195.84"/>
    <x v="1"/>
    <x v="0"/>
    <n v="0.05"/>
    <x v="1"/>
    <n v="2418.6239999999998"/>
    <x v="2"/>
    <s v="nan"/>
    <n v="0"/>
    <x v="73"/>
    <s v="Ashwin Sharma"/>
    <n v="33.520000000000003"/>
    <n v="186.04799999999997"/>
    <n v="2385.1039999999998"/>
    <d v="2023-10-21T00:00:00"/>
    <d v="2023-10-28T00:00:00"/>
    <s v="Sophie"/>
    <n v="21"/>
    <n v="10"/>
    <x v="5"/>
    <x v="0"/>
    <x v="1"/>
    <n v="42"/>
  </r>
  <r>
    <d v="2024-01-14T00:00:00"/>
    <x v="3"/>
    <x v="5"/>
    <n v="19"/>
    <n v="29.94"/>
    <x v="3"/>
    <x v="1"/>
    <n v="0.15"/>
    <x v="4"/>
    <n v="483.53100000000001"/>
    <x v="3"/>
    <s v="FREESHIP"/>
    <n v="0"/>
    <x v="74"/>
    <s v="Aaliyah Saxena"/>
    <n v="33.590000000000003"/>
    <n v="25.449000000000002"/>
    <n v="449.94100000000003"/>
    <d v="2024-01-14T00:00:00"/>
    <d v="2024-01-20T00:00:00"/>
    <s v="Cameron"/>
    <n v="14"/>
    <n v="1"/>
    <x v="4"/>
    <x v="1"/>
    <x v="0"/>
    <n v="2"/>
  </r>
  <r>
    <d v="2023-07-27T00:00:00"/>
    <x v="3"/>
    <x v="2"/>
    <n v="10"/>
    <n v="553.91"/>
    <x v="3"/>
    <x v="0"/>
    <n v="0.1"/>
    <x v="0"/>
    <n v="4985.1899999999996"/>
    <x v="0"/>
    <s v="nan"/>
    <n v="0"/>
    <x v="75"/>
    <s v="Gaurav Singh"/>
    <n v="31.3"/>
    <n v="498.51899999999995"/>
    <n v="4953.8899999999994"/>
    <d v="2023-07-27T00:00:00"/>
    <d v="2023-07-31T00:00:00"/>
    <s v="Cameron"/>
    <n v="27"/>
    <n v="7"/>
    <x v="8"/>
    <x v="0"/>
    <x v="3"/>
    <n v="30"/>
  </r>
  <r>
    <d v="2024-10-23T00:00:00"/>
    <x v="1"/>
    <x v="1"/>
    <n v="14"/>
    <n v="445.52"/>
    <x v="0"/>
    <x v="1"/>
    <n v="0.1"/>
    <x v="5"/>
    <n v="5613.5519999999997"/>
    <x v="0"/>
    <s v="SAVE10"/>
    <n v="0"/>
    <x v="76"/>
    <s v="Pooja Thakur"/>
    <n v="14.41"/>
    <n v="400.96799999999996"/>
    <n v="5599.1419999999998"/>
    <d v="2024-10-23T00:00:00"/>
    <d v="2024-10-25T00:00:00"/>
    <s v="Sophie"/>
    <n v="23"/>
    <n v="10"/>
    <x v="5"/>
    <x v="1"/>
    <x v="1"/>
    <n v="43"/>
  </r>
  <r>
    <d v="2023-09-26T00:00:00"/>
    <x v="1"/>
    <x v="3"/>
    <n v="5"/>
    <n v="551.58000000000004"/>
    <x v="0"/>
    <x v="1"/>
    <n v="0.15"/>
    <x v="1"/>
    <n v="2344.2150000000001"/>
    <x v="0"/>
    <s v="WINTER15"/>
    <n v="1"/>
    <x v="77"/>
    <s v="Manya Bose"/>
    <n v="7.87"/>
    <n v="468.84300000000002"/>
    <n v="2336.3450000000003"/>
    <d v="2023-09-26T00:00:00"/>
    <d v="2023-10-01T00:00:00"/>
    <s v="Sophie"/>
    <n v="26"/>
    <n v="9"/>
    <x v="11"/>
    <x v="0"/>
    <x v="3"/>
    <n v="39"/>
  </r>
  <r>
    <d v="2023-12-16T00:00:00"/>
    <x v="0"/>
    <x v="1"/>
    <n v="13"/>
    <n v="241.4"/>
    <x v="3"/>
    <x v="1"/>
    <n v="0"/>
    <x v="3"/>
    <n v="3138.2"/>
    <x v="1"/>
    <s v="SAVE10"/>
    <n v="0"/>
    <x v="78"/>
    <s v="Rahul Bose"/>
    <n v="49.05"/>
    <n v="241.39999999999998"/>
    <n v="3089.1499999999996"/>
    <d v="2023-12-16T00:00:00"/>
    <d v="2023-12-20T00:00:00"/>
    <s v="Eric"/>
    <n v="16"/>
    <n v="12"/>
    <x v="1"/>
    <x v="0"/>
    <x v="1"/>
    <n v="50"/>
  </r>
  <r>
    <d v="2024-01-02T00:00:00"/>
    <x v="3"/>
    <x v="6"/>
    <n v="19"/>
    <n v="351.93"/>
    <x v="1"/>
    <x v="0"/>
    <n v="0"/>
    <x v="1"/>
    <n v="6686.67"/>
    <x v="2"/>
    <s v="nan"/>
    <n v="0"/>
    <x v="79"/>
    <s v="Alina Desai"/>
    <n v="39.979999999999997"/>
    <n v="351.93"/>
    <n v="6646.6900000000005"/>
    <d v="2024-01-02T00:00:00"/>
    <d v="2024-01-05T00:00:00"/>
    <s v="Cameron"/>
    <n v="2"/>
    <n v="1"/>
    <x v="4"/>
    <x v="1"/>
    <x v="0"/>
    <n v="1"/>
  </r>
  <r>
    <d v="2024-02-16T00:00:00"/>
    <x v="2"/>
    <x v="1"/>
    <n v="4"/>
    <n v="83.75"/>
    <x v="1"/>
    <x v="1"/>
    <n v="0.05"/>
    <x v="1"/>
    <n v="318.25"/>
    <x v="3"/>
    <s v="SAVE10"/>
    <n v="1"/>
    <x v="80"/>
    <s v="Priya Khan"/>
    <n v="38.82"/>
    <n v="79.5625"/>
    <n v="279.43"/>
    <d v="2024-02-16T00:00:00"/>
    <d v="2024-02-25T00:00:00"/>
    <s v="Ryan"/>
    <n v="16"/>
    <n v="2"/>
    <x v="0"/>
    <x v="1"/>
    <x v="0"/>
    <n v="7"/>
  </r>
  <r>
    <d v="2024-05-03T00:00:00"/>
    <x v="0"/>
    <x v="4"/>
    <n v="5"/>
    <n v="416.95"/>
    <x v="1"/>
    <x v="0"/>
    <n v="0.15"/>
    <x v="2"/>
    <n v="1772.0374999999999"/>
    <x v="0"/>
    <s v="nan"/>
    <n v="1"/>
    <x v="81"/>
    <s v="Neel Malik"/>
    <n v="24.03"/>
    <n v="354.40749999999997"/>
    <n v="1748.0074999999999"/>
    <d v="2024-05-03T00:00:00"/>
    <d v="2024-05-12T00:00:00"/>
    <s v="Eric"/>
    <n v="3"/>
    <n v="5"/>
    <x v="2"/>
    <x v="1"/>
    <x v="2"/>
    <n v="18"/>
  </r>
  <r>
    <d v="2023-05-27T00:00:00"/>
    <x v="4"/>
    <x v="4"/>
    <n v="18"/>
    <n v="142.43"/>
    <x v="2"/>
    <x v="1"/>
    <n v="0.05"/>
    <x v="5"/>
    <n v="2435.5529999999999"/>
    <x v="2"/>
    <s v="SAVE10"/>
    <n v="1"/>
    <x v="82"/>
    <s v="Nisha Kulkarni"/>
    <n v="12.38"/>
    <n v="135.30849999999998"/>
    <n v="2423.1729999999998"/>
    <d v="2023-05-27T00:00:00"/>
    <d v="2023-06-02T00:00:00"/>
    <s v="Wendy"/>
    <n v="27"/>
    <n v="5"/>
    <x v="2"/>
    <x v="0"/>
    <x v="2"/>
    <n v="21"/>
  </r>
  <r>
    <d v="2023-01-05T00:00:00"/>
    <x v="0"/>
    <x v="2"/>
    <n v="12"/>
    <n v="582.52"/>
    <x v="1"/>
    <x v="0"/>
    <n v="0"/>
    <x v="5"/>
    <n v="6990.24"/>
    <x v="2"/>
    <s v="FREESHIP"/>
    <n v="0"/>
    <x v="83"/>
    <s v="Akash Vora"/>
    <n v="41.16"/>
    <n v="582.52"/>
    <n v="6949.08"/>
    <d v="2023-01-05T00:00:00"/>
    <d v="2023-01-11T00:00:00"/>
    <s v="Eric"/>
    <n v="5"/>
    <n v="1"/>
    <x v="4"/>
    <x v="0"/>
    <x v="0"/>
    <n v="1"/>
  </r>
  <r>
    <d v="2025-05-21T00:00:00"/>
    <x v="0"/>
    <x v="3"/>
    <n v="20"/>
    <n v="129.56"/>
    <x v="1"/>
    <x v="1"/>
    <n v="0.15"/>
    <x v="4"/>
    <n v="2202.52"/>
    <x v="0"/>
    <s v="WINTER15"/>
    <n v="0"/>
    <x v="84"/>
    <s v="Tanvi Mirza"/>
    <n v="40.21"/>
    <n v="110.126"/>
    <n v="2162.31"/>
    <d v="2025-05-21T00:00:00"/>
    <d v="2025-05-23T00:00:00"/>
    <s v="Eric"/>
    <n v="21"/>
    <n v="5"/>
    <x v="2"/>
    <x v="2"/>
    <x v="2"/>
    <n v="21"/>
  </r>
  <r>
    <d v="2023-07-21T00:00:00"/>
    <x v="3"/>
    <x v="5"/>
    <n v="17"/>
    <n v="431.82"/>
    <x v="0"/>
    <x v="1"/>
    <n v="0"/>
    <x v="0"/>
    <n v="7340.94"/>
    <x v="1"/>
    <s v="FREESHIP"/>
    <n v="1"/>
    <x v="85"/>
    <s v="Sana Fernandes"/>
    <n v="37.75"/>
    <n v="431.82"/>
    <n v="7303.19"/>
    <d v="2023-07-21T00:00:00"/>
    <d v="2023-07-25T00:00:00"/>
    <s v="Cameron"/>
    <n v="21"/>
    <n v="7"/>
    <x v="8"/>
    <x v="0"/>
    <x v="3"/>
    <n v="29"/>
  </r>
  <r>
    <d v="2025-05-25T00:00:00"/>
    <x v="0"/>
    <x v="0"/>
    <n v="15"/>
    <n v="15.85"/>
    <x v="2"/>
    <x v="1"/>
    <n v="0"/>
    <x v="5"/>
    <n v="237.75"/>
    <x v="3"/>
    <s v="WINTER15"/>
    <n v="0"/>
    <x v="86"/>
    <s v="Tanishq Hussain"/>
    <n v="23.49"/>
    <n v="15.85"/>
    <n v="214.26"/>
    <d v="2025-05-25T00:00:00"/>
    <d v="2025-06-03T00:00:00"/>
    <s v="Eric"/>
    <n v="25"/>
    <n v="5"/>
    <x v="2"/>
    <x v="2"/>
    <x v="2"/>
    <n v="21"/>
  </r>
  <r>
    <d v="2024-11-16T00:00:00"/>
    <x v="1"/>
    <x v="5"/>
    <n v="20"/>
    <n v="548.34"/>
    <x v="0"/>
    <x v="1"/>
    <n v="0.1"/>
    <x v="5"/>
    <n v="9870.1200000000008"/>
    <x v="1"/>
    <s v="WINTER15"/>
    <n v="0"/>
    <x v="87"/>
    <s v="Suresh Pandey"/>
    <n v="33.47"/>
    <n v="493.50600000000003"/>
    <n v="9836.6500000000015"/>
    <d v="2024-11-16T00:00:00"/>
    <d v="2024-11-22T00:00:00"/>
    <s v="Sophie"/>
    <n v="16"/>
    <n v="11"/>
    <x v="9"/>
    <x v="1"/>
    <x v="1"/>
    <n v="46"/>
  </r>
  <r>
    <d v="2023-11-19T00:00:00"/>
    <x v="2"/>
    <x v="0"/>
    <n v="16"/>
    <n v="525.83000000000004"/>
    <x v="2"/>
    <x v="0"/>
    <n v="0.05"/>
    <x v="2"/>
    <n v="7992.616"/>
    <x v="0"/>
    <s v="nan"/>
    <n v="0"/>
    <x v="88"/>
    <s v="Myra Rawat"/>
    <n v="36.47"/>
    <n v="499.5385"/>
    <n v="7956.1459999999997"/>
    <d v="2023-11-19T00:00:00"/>
    <d v="2023-11-25T00:00:00"/>
    <s v="Ryan"/>
    <n v="19"/>
    <n v="11"/>
    <x v="9"/>
    <x v="0"/>
    <x v="1"/>
    <n v="46"/>
  </r>
  <r>
    <d v="2025-01-12T00:00:00"/>
    <x v="3"/>
    <x v="0"/>
    <n v="15"/>
    <n v="411.38"/>
    <x v="1"/>
    <x v="0"/>
    <n v="0.05"/>
    <x v="5"/>
    <n v="5862.165"/>
    <x v="0"/>
    <s v="SAVE10"/>
    <n v="0"/>
    <x v="89"/>
    <s v="Trisha Farooqui"/>
    <n v="48.51"/>
    <n v="390.81099999999998"/>
    <n v="5813.6549999999997"/>
    <d v="2025-01-12T00:00:00"/>
    <d v="2025-01-21T00:00:00"/>
    <s v="Cameron"/>
    <n v="12"/>
    <n v="1"/>
    <x v="4"/>
    <x v="2"/>
    <x v="0"/>
    <n v="2"/>
  </r>
  <r>
    <d v="2023-03-29T00:00:00"/>
    <x v="2"/>
    <x v="4"/>
    <n v="19"/>
    <n v="559.95000000000005"/>
    <x v="1"/>
    <x v="0"/>
    <n v="0.1"/>
    <x v="3"/>
    <n v="9575.1450000000004"/>
    <x v="2"/>
    <s v="WINTER15"/>
    <n v="0"/>
    <x v="90"/>
    <s v="Mitali Jain"/>
    <n v="18.3"/>
    <n v="503.95500000000004"/>
    <n v="9556.8450000000012"/>
    <d v="2023-03-29T00:00:00"/>
    <d v="2023-04-03T00:00:00"/>
    <s v="Ryan"/>
    <n v="29"/>
    <n v="3"/>
    <x v="6"/>
    <x v="0"/>
    <x v="0"/>
    <n v="13"/>
  </r>
  <r>
    <d v="2025-03-01T00:00:00"/>
    <x v="2"/>
    <x v="2"/>
    <n v="8"/>
    <n v="179.9"/>
    <x v="2"/>
    <x v="1"/>
    <n v="0.05"/>
    <x v="3"/>
    <n v="1367.24"/>
    <x v="0"/>
    <s v="SAVE10"/>
    <n v="0"/>
    <x v="91"/>
    <s v="Diya Agarwal"/>
    <n v="14.8"/>
    <n v="170.905"/>
    <n v="1352.44"/>
    <d v="2025-03-01T00:00:00"/>
    <d v="2025-03-05T00:00:00"/>
    <s v="Ryan"/>
    <n v="1"/>
    <n v="3"/>
    <x v="6"/>
    <x v="2"/>
    <x v="0"/>
    <n v="9"/>
  </r>
  <r>
    <d v="2023-10-18T00:00:00"/>
    <x v="2"/>
    <x v="3"/>
    <n v="12"/>
    <n v="494.15"/>
    <x v="0"/>
    <x v="0"/>
    <n v="0.15"/>
    <x v="4"/>
    <n v="5040.329999999999"/>
    <x v="0"/>
    <s v="SAVE10"/>
    <n v="1"/>
    <x v="92"/>
    <s v="Neel Bhargava"/>
    <n v="18.05"/>
    <n v="420.02749999999992"/>
    <n v="5022.2799999999988"/>
    <d v="2023-10-18T00:00:00"/>
    <d v="2023-10-20T00:00:00"/>
    <s v="Ryan"/>
    <n v="18"/>
    <n v="10"/>
    <x v="5"/>
    <x v="0"/>
    <x v="1"/>
    <n v="42"/>
  </r>
  <r>
    <d v="2025-04-13T00:00:00"/>
    <x v="0"/>
    <x v="2"/>
    <n v="10"/>
    <n v="462.99"/>
    <x v="2"/>
    <x v="0"/>
    <n v="0"/>
    <x v="5"/>
    <n v="4629.8999999999996"/>
    <x v="2"/>
    <s v="WINTER15"/>
    <n v="0"/>
    <x v="93"/>
    <s v="Aditya Mishra"/>
    <n v="5.01"/>
    <n v="462.98999999999995"/>
    <n v="4624.8899999999994"/>
    <d v="2025-04-13T00:00:00"/>
    <d v="2025-04-15T00:00:00"/>
    <s v="Eric"/>
    <n v="13"/>
    <n v="4"/>
    <x v="7"/>
    <x v="2"/>
    <x v="2"/>
    <n v="15"/>
  </r>
  <r>
    <d v="2025-05-13T00:00:00"/>
    <x v="3"/>
    <x v="0"/>
    <n v="7"/>
    <n v="460.24"/>
    <x v="1"/>
    <x v="1"/>
    <n v="0.05"/>
    <x v="1"/>
    <n v="3060.596"/>
    <x v="4"/>
    <s v="SAVE10"/>
    <n v="1"/>
    <x v="94"/>
    <s v="Zoya Agarwal"/>
    <n v="11.54"/>
    <n v="437.22800000000001"/>
    <n v="3049.056"/>
    <d v="2025-05-13T00:00:00"/>
    <d v="2025-05-23T00:00:00"/>
    <s v="Cameron"/>
    <n v="13"/>
    <n v="5"/>
    <x v="2"/>
    <x v="2"/>
    <x v="2"/>
    <n v="20"/>
  </r>
  <r>
    <d v="2024-04-21T00:00:00"/>
    <x v="4"/>
    <x v="6"/>
    <n v="17"/>
    <n v="309.52"/>
    <x v="0"/>
    <x v="0"/>
    <n v="0.05"/>
    <x v="0"/>
    <n v="4998.7479999999996"/>
    <x v="0"/>
    <s v="FREESHIP"/>
    <n v="0"/>
    <x v="95"/>
    <s v="Aarav Malhotra"/>
    <n v="6.11"/>
    <n v="294.04399999999998"/>
    <n v="4992.6379999999999"/>
    <d v="2024-04-21T00:00:00"/>
    <d v="2024-04-27T00:00:00"/>
    <s v="Wendy"/>
    <n v="21"/>
    <n v="4"/>
    <x v="7"/>
    <x v="1"/>
    <x v="2"/>
    <n v="16"/>
  </r>
  <r>
    <d v="2025-01-31T00:00:00"/>
    <x v="3"/>
    <x v="4"/>
    <n v="1"/>
    <n v="323.83"/>
    <x v="0"/>
    <x v="0"/>
    <n v="0.05"/>
    <x v="0"/>
    <n v="307.63850000000002"/>
    <x v="2"/>
    <s v="WINTER15"/>
    <n v="0"/>
    <x v="96"/>
    <s v="Rahul Mishra"/>
    <n v="27.48"/>
    <n v="307.63850000000002"/>
    <n v="280.1585"/>
    <d v="2025-01-31T00:00:00"/>
    <d v="2025-02-08T00:00:00"/>
    <s v="Cameron"/>
    <n v="31"/>
    <n v="1"/>
    <x v="4"/>
    <x v="2"/>
    <x v="0"/>
    <n v="5"/>
  </r>
  <r>
    <d v="2025-03-14T00:00:00"/>
    <x v="3"/>
    <x v="3"/>
    <n v="10"/>
    <n v="503.07"/>
    <x v="2"/>
    <x v="1"/>
    <n v="0"/>
    <x v="5"/>
    <n v="5030.7"/>
    <x v="2"/>
    <s v="FREESHIP"/>
    <n v="0"/>
    <x v="97"/>
    <s v="Neel Verma"/>
    <n v="44.61"/>
    <n v="503.07"/>
    <n v="4986.09"/>
    <d v="2025-03-14T00:00:00"/>
    <d v="2025-03-19T00:00:00"/>
    <s v="Cameron"/>
    <n v="14"/>
    <n v="3"/>
    <x v="6"/>
    <x v="2"/>
    <x v="0"/>
    <n v="11"/>
  </r>
  <r>
    <d v="2024-05-26T00:00:00"/>
    <x v="4"/>
    <x v="0"/>
    <n v="20"/>
    <n v="491.68"/>
    <x v="3"/>
    <x v="0"/>
    <n v="0.15"/>
    <x v="1"/>
    <n v="8358.56"/>
    <x v="0"/>
    <s v="SAVE10"/>
    <n v="1"/>
    <x v="98"/>
    <s v="Aryan Malhotra"/>
    <n v="43.46"/>
    <n v="417.928"/>
    <n v="8315.1"/>
    <d v="2024-05-26T00:00:00"/>
    <d v="2024-05-29T00:00:00"/>
    <s v="Wendy"/>
    <n v="26"/>
    <n v="5"/>
    <x v="2"/>
    <x v="1"/>
    <x v="2"/>
    <n v="21"/>
  </r>
  <r>
    <d v="2023-07-22T00:00:00"/>
    <x v="2"/>
    <x v="1"/>
    <n v="17"/>
    <n v="468.45"/>
    <x v="1"/>
    <x v="1"/>
    <n v="0.05"/>
    <x v="3"/>
    <n v="7565.4674999999997"/>
    <x v="2"/>
    <s v="FREESHIP"/>
    <n v="0"/>
    <x v="99"/>
    <s v="Vikram Bose"/>
    <n v="17.88"/>
    <n v="445.02749999999997"/>
    <n v="7547.5874999999996"/>
    <d v="2023-07-22T00:00:00"/>
    <d v="2023-07-26T00:00:00"/>
    <s v="Ryan"/>
    <n v="22"/>
    <n v="7"/>
    <x v="8"/>
    <x v="0"/>
    <x v="3"/>
    <n v="29"/>
  </r>
  <r>
    <d v="2024-03-21T00:00:00"/>
    <x v="2"/>
    <x v="0"/>
    <n v="11"/>
    <n v="401.76"/>
    <x v="3"/>
    <x v="1"/>
    <n v="0.15"/>
    <x v="2"/>
    <n v="3756.4560000000001"/>
    <x v="1"/>
    <s v="SAVE10"/>
    <n v="0"/>
    <x v="100"/>
    <s v="Sanya Khan"/>
    <n v="48.03"/>
    <n v="341.49600000000004"/>
    <n v="3708.4259999999999"/>
    <d v="2024-03-21T00:00:00"/>
    <d v="2024-03-30T00:00:00"/>
    <s v="Ryan"/>
    <n v="21"/>
    <n v="3"/>
    <x v="6"/>
    <x v="1"/>
    <x v="0"/>
    <n v="12"/>
  </r>
  <r>
    <d v="2023-04-05T00:00:00"/>
    <x v="4"/>
    <x v="6"/>
    <n v="3"/>
    <n v="221"/>
    <x v="0"/>
    <x v="0"/>
    <n v="0"/>
    <x v="2"/>
    <n v="663"/>
    <x v="4"/>
    <s v="FREESHIP"/>
    <n v="0"/>
    <x v="101"/>
    <s v="Sara Ansari"/>
    <n v="32.31"/>
    <n v="221"/>
    <n v="630.69000000000005"/>
    <d v="2023-04-05T00:00:00"/>
    <d v="2023-04-08T00:00:00"/>
    <s v="Wendy"/>
    <n v="5"/>
    <n v="4"/>
    <x v="7"/>
    <x v="0"/>
    <x v="2"/>
    <n v="14"/>
  </r>
  <r>
    <d v="2024-08-26T00:00:00"/>
    <x v="0"/>
    <x v="4"/>
    <n v="6"/>
    <n v="188.45"/>
    <x v="2"/>
    <x v="0"/>
    <n v="0.05"/>
    <x v="1"/>
    <n v="1074.165"/>
    <x v="1"/>
    <s v="nan"/>
    <n v="0"/>
    <x v="102"/>
    <s v="Diya Ansari"/>
    <n v="6.77"/>
    <n v="179.0275"/>
    <n v="1067.395"/>
    <d v="2024-08-26T00:00:00"/>
    <d v="2024-09-01T00:00:00"/>
    <s v="Eric"/>
    <n v="26"/>
    <n v="8"/>
    <x v="10"/>
    <x v="1"/>
    <x v="3"/>
    <n v="35"/>
  </r>
  <r>
    <d v="2024-07-07T00:00:00"/>
    <x v="2"/>
    <x v="2"/>
    <n v="3"/>
    <n v="566.20000000000005"/>
    <x v="3"/>
    <x v="1"/>
    <n v="0"/>
    <x v="5"/>
    <n v="1698.6"/>
    <x v="1"/>
    <s v="FREESHIP"/>
    <n v="1"/>
    <x v="103"/>
    <s v="Kiara Pillai"/>
    <n v="28.97"/>
    <n v="566.19999999999993"/>
    <n v="1669.6299999999999"/>
    <d v="2024-07-07T00:00:00"/>
    <d v="2024-07-17T00:00:00"/>
    <s v="Ryan"/>
    <n v="7"/>
    <n v="7"/>
    <x v="8"/>
    <x v="1"/>
    <x v="3"/>
    <n v="27"/>
  </r>
  <r>
    <d v="2023-09-29T00:00:00"/>
    <x v="0"/>
    <x v="4"/>
    <n v="14"/>
    <n v="167.09"/>
    <x v="3"/>
    <x v="1"/>
    <n v="0.05"/>
    <x v="1"/>
    <n v="2222.297"/>
    <x v="1"/>
    <s v="SAVE10"/>
    <n v="1"/>
    <x v="104"/>
    <s v="Sneha Reddy"/>
    <n v="47.05"/>
    <n v="158.7355"/>
    <n v="2175.2469999999998"/>
    <d v="2023-09-29T00:00:00"/>
    <d v="2023-10-08T00:00:00"/>
    <s v="Eric"/>
    <n v="29"/>
    <n v="9"/>
    <x v="11"/>
    <x v="0"/>
    <x v="3"/>
    <n v="39"/>
  </r>
  <r>
    <d v="2023-10-04T00:00:00"/>
    <x v="4"/>
    <x v="4"/>
    <n v="16"/>
    <n v="36.159999999999997"/>
    <x v="2"/>
    <x v="0"/>
    <n v="0.1"/>
    <x v="3"/>
    <n v="520.70399999999995"/>
    <x v="3"/>
    <s v="FREESHIP"/>
    <n v="0"/>
    <x v="105"/>
    <s v="Ira Solanki"/>
    <n v="26.64"/>
    <n v="32.543999999999997"/>
    <n v="494.06399999999996"/>
    <d v="2023-10-04T00:00:00"/>
    <d v="2023-10-11T00:00:00"/>
    <s v="Wendy"/>
    <n v="4"/>
    <n v="10"/>
    <x v="5"/>
    <x v="0"/>
    <x v="1"/>
    <n v="40"/>
  </r>
  <r>
    <d v="2025-06-09T00:00:00"/>
    <x v="3"/>
    <x v="6"/>
    <n v="2"/>
    <n v="73.94"/>
    <x v="0"/>
    <x v="0"/>
    <n v="0.05"/>
    <x v="3"/>
    <n v="140.48599999999999"/>
    <x v="3"/>
    <s v="SAVE10"/>
    <n v="0"/>
    <x v="106"/>
    <s v="Raina Shetty"/>
    <n v="28.05"/>
    <n v="70.242999999999995"/>
    <n v="112.43599999999999"/>
    <d v="2025-06-09T00:00:00"/>
    <d v="2025-06-16T00:00:00"/>
    <s v="Cameron"/>
    <n v="9"/>
    <n v="6"/>
    <x v="3"/>
    <x v="2"/>
    <x v="2"/>
    <n v="24"/>
  </r>
  <r>
    <d v="2025-06-12T00:00:00"/>
    <x v="0"/>
    <x v="6"/>
    <n v="16"/>
    <n v="459.49"/>
    <x v="1"/>
    <x v="0"/>
    <n v="0.1"/>
    <x v="0"/>
    <n v="6616.6559999999999"/>
    <x v="0"/>
    <s v="SAVE10"/>
    <n v="0"/>
    <x v="107"/>
    <s v="Charu Kapoor"/>
    <n v="26.99"/>
    <n v="413.541"/>
    <n v="6589.6660000000002"/>
    <d v="2025-06-12T00:00:00"/>
    <d v="2025-06-14T00:00:00"/>
    <s v="Eric"/>
    <n v="12"/>
    <n v="6"/>
    <x v="3"/>
    <x v="2"/>
    <x v="2"/>
    <n v="24"/>
  </r>
  <r>
    <d v="2024-06-29T00:00:00"/>
    <x v="0"/>
    <x v="3"/>
    <n v="3"/>
    <n v="168.05"/>
    <x v="1"/>
    <x v="1"/>
    <n v="0"/>
    <x v="3"/>
    <n v="504.15"/>
    <x v="4"/>
    <s v="nan"/>
    <n v="1"/>
    <x v="108"/>
    <s v="Sneha Nair"/>
    <n v="21.08"/>
    <n v="168.04999999999998"/>
    <n v="483.07"/>
    <d v="2024-06-29T00:00:00"/>
    <d v="2024-07-06T00:00:00"/>
    <s v="Eric"/>
    <n v="29"/>
    <n v="6"/>
    <x v="3"/>
    <x v="1"/>
    <x v="2"/>
    <n v="26"/>
  </r>
  <r>
    <d v="2024-03-23T00:00:00"/>
    <x v="2"/>
    <x v="6"/>
    <n v="14"/>
    <n v="37.54"/>
    <x v="0"/>
    <x v="1"/>
    <n v="0.15"/>
    <x v="1"/>
    <n v="446.72599999999989"/>
    <x v="2"/>
    <s v="nan"/>
    <n v="1"/>
    <x v="109"/>
    <s v="Myra Bhargava"/>
    <n v="49.6"/>
    <n v="31.908999999999992"/>
    <n v="397.12599999999986"/>
    <d v="2024-03-23T00:00:00"/>
    <d v="2024-04-02T00:00:00"/>
    <s v="Ryan"/>
    <n v="23"/>
    <n v="3"/>
    <x v="6"/>
    <x v="1"/>
    <x v="0"/>
    <n v="12"/>
  </r>
  <r>
    <d v="2024-07-14T00:00:00"/>
    <x v="1"/>
    <x v="5"/>
    <n v="4"/>
    <n v="151.16"/>
    <x v="0"/>
    <x v="0"/>
    <n v="0"/>
    <x v="1"/>
    <n v="604.64"/>
    <x v="1"/>
    <s v="SAVE10"/>
    <n v="1"/>
    <x v="110"/>
    <s v="Kavya Banerjee"/>
    <n v="41.4"/>
    <n v="151.16"/>
    <n v="563.24"/>
    <d v="2024-07-14T00:00:00"/>
    <d v="2024-07-21T00:00:00"/>
    <s v="Sophie"/>
    <n v="14"/>
    <n v="7"/>
    <x v="8"/>
    <x v="1"/>
    <x v="3"/>
    <n v="28"/>
  </r>
  <r>
    <d v="2024-03-15T00:00:00"/>
    <x v="1"/>
    <x v="5"/>
    <n v="17"/>
    <n v="78.58"/>
    <x v="1"/>
    <x v="0"/>
    <n v="0.1"/>
    <x v="5"/>
    <n v="1202.2739999999999"/>
    <x v="1"/>
    <s v="WINTER15"/>
    <n v="0"/>
    <x v="111"/>
    <s v="Manish Pillai"/>
    <n v="8.02"/>
    <n v="70.721999999999994"/>
    <n v="1194.2539999999999"/>
    <d v="2024-03-15T00:00:00"/>
    <d v="2024-03-25T00:00:00"/>
    <s v="Sophie"/>
    <n v="15"/>
    <n v="3"/>
    <x v="6"/>
    <x v="1"/>
    <x v="0"/>
    <n v="11"/>
  </r>
  <r>
    <d v="2025-04-19T00:00:00"/>
    <x v="3"/>
    <x v="3"/>
    <n v="15"/>
    <n v="37.33"/>
    <x v="0"/>
    <x v="1"/>
    <n v="0.05"/>
    <x v="3"/>
    <n v="531.95249999999987"/>
    <x v="4"/>
    <s v="nan"/>
    <n v="1"/>
    <x v="112"/>
    <s v="Kunal George"/>
    <n v="43.69"/>
    <n v="35.463499999999989"/>
    <n v="488.26249999999987"/>
    <d v="2025-04-19T00:00:00"/>
    <d v="2025-04-24T00:00:00"/>
    <s v="Cameron"/>
    <n v="19"/>
    <n v="4"/>
    <x v="7"/>
    <x v="2"/>
    <x v="2"/>
    <n v="16"/>
  </r>
  <r>
    <d v="2024-02-15T00:00:00"/>
    <x v="4"/>
    <x v="5"/>
    <n v="18"/>
    <n v="537.02"/>
    <x v="1"/>
    <x v="0"/>
    <n v="0.15"/>
    <x v="3"/>
    <n v="8216.4060000000009"/>
    <x v="3"/>
    <s v="SAVE10"/>
    <n v="0"/>
    <x v="113"/>
    <s v="Meera Fernandes"/>
    <n v="23.94"/>
    <n v="456.46700000000004"/>
    <n v="8192.4660000000003"/>
    <d v="2024-02-15T00:00:00"/>
    <d v="2024-02-20T00:00:00"/>
    <s v="Wendy"/>
    <n v="15"/>
    <n v="2"/>
    <x v="0"/>
    <x v="1"/>
    <x v="0"/>
    <n v="7"/>
  </r>
  <r>
    <d v="2024-01-25T00:00:00"/>
    <x v="0"/>
    <x v="2"/>
    <n v="5"/>
    <n v="215.6"/>
    <x v="2"/>
    <x v="0"/>
    <n v="0"/>
    <x v="2"/>
    <n v="1078"/>
    <x v="0"/>
    <s v="WINTER15"/>
    <n v="0"/>
    <x v="114"/>
    <s v="Deepak Sen"/>
    <n v="28.36"/>
    <n v="215.6"/>
    <n v="1049.6400000000001"/>
    <d v="2024-01-25T00:00:00"/>
    <d v="2024-02-04T00:00:00"/>
    <s v="Eric"/>
    <n v="25"/>
    <n v="1"/>
    <x v="4"/>
    <x v="1"/>
    <x v="0"/>
    <n v="4"/>
  </r>
  <r>
    <d v="2025-04-15T00:00:00"/>
    <x v="3"/>
    <x v="0"/>
    <n v="18"/>
    <n v="209.5"/>
    <x v="3"/>
    <x v="0"/>
    <n v="0"/>
    <x v="3"/>
    <n v="3771"/>
    <x v="2"/>
    <s v="FREESHIP"/>
    <n v="0"/>
    <x v="115"/>
    <s v="Charu Banerjee"/>
    <n v="38.229999999999997"/>
    <n v="209.5"/>
    <n v="3732.77"/>
    <d v="2025-04-15T00:00:00"/>
    <d v="2025-04-23T00:00:00"/>
    <s v="Cameron"/>
    <n v="15"/>
    <n v="4"/>
    <x v="7"/>
    <x v="2"/>
    <x v="2"/>
    <n v="16"/>
  </r>
  <r>
    <d v="2025-04-15T00:00:00"/>
    <x v="3"/>
    <x v="3"/>
    <n v="8"/>
    <n v="348.98"/>
    <x v="1"/>
    <x v="1"/>
    <n v="0.1"/>
    <x v="2"/>
    <n v="2512.6559999999999"/>
    <x v="0"/>
    <s v="FREESHIP"/>
    <n v="0"/>
    <x v="116"/>
    <s v="Yash Thomas"/>
    <n v="19.170000000000002"/>
    <n v="314.08199999999999"/>
    <n v="2493.4859999999999"/>
    <d v="2025-04-15T00:00:00"/>
    <d v="2025-04-20T00:00:00"/>
    <s v="Cameron"/>
    <n v="15"/>
    <n v="4"/>
    <x v="7"/>
    <x v="2"/>
    <x v="2"/>
    <n v="16"/>
  </r>
  <r>
    <d v="2024-08-11T00:00:00"/>
    <x v="4"/>
    <x v="6"/>
    <n v="2"/>
    <n v="289.14"/>
    <x v="2"/>
    <x v="1"/>
    <n v="0.05"/>
    <x v="4"/>
    <n v="549.36599999999999"/>
    <x v="0"/>
    <s v="SAVE10"/>
    <n v="0"/>
    <x v="117"/>
    <s v="Fatima Reddy"/>
    <n v="5.13"/>
    <n v="274.68299999999999"/>
    <n v="544.23599999999999"/>
    <d v="2024-08-11T00:00:00"/>
    <d v="2024-08-13T00:00:00"/>
    <s v="Wendy"/>
    <n v="11"/>
    <n v="8"/>
    <x v="10"/>
    <x v="1"/>
    <x v="3"/>
    <n v="32"/>
  </r>
  <r>
    <d v="2023-12-01T00:00:00"/>
    <x v="1"/>
    <x v="2"/>
    <n v="5"/>
    <n v="396.93"/>
    <x v="0"/>
    <x v="0"/>
    <n v="0"/>
    <x v="4"/>
    <n v="1984.65"/>
    <x v="2"/>
    <s v="FREESHIP"/>
    <n v="0"/>
    <x v="118"/>
    <s v="Karan Hussain"/>
    <n v="48.63"/>
    <n v="396.93"/>
    <n v="1936.02"/>
    <d v="2023-12-01T00:00:00"/>
    <d v="2023-12-08T00:00:00"/>
    <s v="Sophie"/>
    <n v="1"/>
    <n v="12"/>
    <x v="1"/>
    <x v="0"/>
    <x v="1"/>
    <n v="48"/>
  </r>
  <r>
    <d v="2023-08-06T00:00:00"/>
    <x v="3"/>
    <x v="0"/>
    <n v="10"/>
    <n v="508.57"/>
    <x v="3"/>
    <x v="1"/>
    <n v="0.05"/>
    <x v="5"/>
    <n v="4831.415"/>
    <x v="0"/>
    <s v="SAVE10"/>
    <n v="0"/>
    <x v="119"/>
    <s v="Vivaan Iyer"/>
    <n v="9.35"/>
    <n v="483.14150000000001"/>
    <n v="4822.0649999999996"/>
    <d v="2023-08-06T00:00:00"/>
    <d v="2023-08-11T00:00:00"/>
    <s v="Cameron"/>
    <n v="6"/>
    <n v="8"/>
    <x v="10"/>
    <x v="0"/>
    <x v="3"/>
    <n v="31"/>
  </r>
  <r>
    <d v="2024-01-24T00:00:00"/>
    <x v="3"/>
    <x v="0"/>
    <n v="11"/>
    <n v="259.61"/>
    <x v="2"/>
    <x v="0"/>
    <n v="0.1"/>
    <x v="3"/>
    <n v="2570.1390000000001"/>
    <x v="4"/>
    <s v="FREESHIP"/>
    <n v="0"/>
    <x v="120"/>
    <s v="Aisha Vora"/>
    <n v="13.73"/>
    <n v="233.649"/>
    <n v="2556.4090000000001"/>
    <d v="2024-01-24T00:00:00"/>
    <d v="2024-01-31T00:00:00"/>
    <s v="Cameron"/>
    <n v="24"/>
    <n v="1"/>
    <x v="4"/>
    <x v="1"/>
    <x v="0"/>
    <n v="4"/>
  </r>
  <r>
    <d v="2024-03-07T00:00:00"/>
    <x v="3"/>
    <x v="3"/>
    <n v="9"/>
    <n v="313.29000000000002"/>
    <x v="3"/>
    <x v="1"/>
    <n v="0"/>
    <x v="3"/>
    <n v="2819.61"/>
    <x v="0"/>
    <s v="FREESHIP"/>
    <n v="0"/>
    <x v="121"/>
    <s v="Kiara Khan"/>
    <n v="14.04"/>
    <n v="313.29000000000002"/>
    <n v="2805.57"/>
    <d v="2024-03-07T00:00:00"/>
    <d v="2024-03-13T00:00:00"/>
    <s v="Cameron"/>
    <n v="7"/>
    <n v="3"/>
    <x v="6"/>
    <x v="1"/>
    <x v="0"/>
    <n v="10"/>
  </r>
  <r>
    <d v="2024-01-22T00:00:00"/>
    <x v="1"/>
    <x v="5"/>
    <n v="5"/>
    <n v="106.57"/>
    <x v="2"/>
    <x v="0"/>
    <n v="0.1"/>
    <x v="3"/>
    <n v="479.56499999999988"/>
    <x v="3"/>
    <s v="SAVE10"/>
    <n v="1"/>
    <x v="122"/>
    <s v="Abhishek Khanna"/>
    <n v="25.24"/>
    <n v="95.912999999999982"/>
    <n v="454.32499999999987"/>
    <d v="2024-01-22T00:00:00"/>
    <d v="2024-01-28T00:00:00"/>
    <s v="Sophie"/>
    <n v="22"/>
    <n v="1"/>
    <x v="4"/>
    <x v="1"/>
    <x v="0"/>
    <n v="4"/>
  </r>
  <r>
    <d v="2023-02-23T00:00:00"/>
    <x v="0"/>
    <x v="6"/>
    <n v="1"/>
    <n v="109"/>
    <x v="0"/>
    <x v="1"/>
    <n v="0.15"/>
    <x v="2"/>
    <n v="92.649999999999991"/>
    <x v="4"/>
    <s v="WINTER15"/>
    <n v="1"/>
    <x v="123"/>
    <s v="Myra Nair"/>
    <n v="8.0299999999999994"/>
    <n v="92.649999999999991"/>
    <n v="84.61999999999999"/>
    <d v="2023-02-23T00:00:00"/>
    <d v="2023-02-27T00:00:00"/>
    <s v="Eric"/>
    <n v="23"/>
    <n v="2"/>
    <x v="0"/>
    <x v="0"/>
    <x v="0"/>
    <n v="8"/>
  </r>
  <r>
    <d v="2023-06-14T00:00:00"/>
    <x v="2"/>
    <x v="5"/>
    <n v="8"/>
    <n v="323.8"/>
    <x v="0"/>
    <x v="1"/>
    <n v="0"/>
    <x v="4"/>
    <n v="2590.4"/>
    <x v="4"/>
    <s v="SAVE10"/>
    <n v="1"/>
    <x v="124"/>
    <s v="Harsh Dubey"/>
    <n v="35.229999999999997"/>
    <n v="323.8"/>
    <n v="2555.17"/>
    <d v="2023-06-14T00:00:00"/>
    <d v="2023-06-22T00:00:00"/>
    <s v="Ryan"/>
    <n v="14"/>
    <n v="6"/>
    <x v="3"/>
    <x v="0"/>
    <x v="2"/>
    <n v="24"/>
  </r>
  <r>
    <d v="2025-05-13T00:00:00"/>
    <x v="2"/>
    <x v="0"/>
    <n v="16"/>
    <n v="384.32"/>
    <x v="1"/>
    <x v="1"/>
    <n v="0.05"/>
    <x v="2"/>
    <n v="5841.6639999999998"/>
    <x v="4"/>
    <s v="FREESHIP"/>
    <n v="0"/>
    <x v="125"/>
    <s v="Aarav Srivastava"/>
    <n v="21.5"/>
    <n v="365.10399999999998"/>
    <n v="5820.1639999999998"/>
    <d v="2025-05-13T00:00:00"/>
    <d v="2025-05-15T00:00:00"/>
    <s v="Ryan"/>
    <n v="13"/>
    <n v="5"/>
    <x v="2"/>
    <x v="2"/>
    <x v="2"/>
    <n v="20"/>
  </r>
  <r>
    <d v="2024-07-30T00:00:00"/>
    <x v="3"/>
    <x v="6"/>
    <n v="16"/>
    <n v="163.86"/>
    <x v="2"/>
    <x v="1"/>
    <n v="0.15"/>
    <x v="4"/>
    <n v="2228.4960000000001"/>
    <x v="1"/>
    <s v="FREESHIP"/>
    <n v="0"/>
    <x v="126"/>
    <s v="Tanvi Joseph"/>
    <n v="37.950000000000003"/>
    <n v="139.28100000000001"/>
    <n v="2190.5460000000003"/>
    <d v="2024-07-30T00:00:00"/>
    <d v="2024-08-06T00:00:00"/>
    <s v="Cameron"/>
    <n v="30"/>
    <n v="7"/>
    <x v="8"/>
    <x v="1"/>
    <x v="3"/>
    <n v="31"/>
  </r>
  <r>
    <d v="2024-07-18T00:00:00"/>
    <x v="0"/>
    <x v="5"/>
    <n v="5"/>
    <n v="23.41"/>
    <x v="0"/>
    <x v="0"/>
    <n v="0"/>
    <x v="2"/>
    <n v="117.05"/>
    <x v="2"/>
    <s v="WINTER15"/>
    <n v="0"/>
    <x v="127"/>
    <s v="Ritika Fernandes"/>
    <n v="26.44"/>
    <n v="23.41"/>
    <n v="90.61"/>
    <d v="2024-07-18T00:00:00"/>
    <d v="2024-07-27T00:00:00"/>
    <s v="Eric"/>
    <n v="18"/>
    <n v="7"/>
    <x v="8"/>
    <x v="1"/>
    <x v="3"/>
    <n v="29"/>
  </r>
  <r>
    <d v="2024-08-26T00:00:00"/>
    <x v="0"/>
    <x v="6"/>
    <n v="20"/>
    <n v="488.9"/>
    <x v="2"/>
    <x v="0"/>
    <n v="0.15"/>
    <x v="0"/>
    <n v="8311.2999999999993"/>
    <x v="1"/>
    <s v="FREESHIP"/>
    <n v="0"/>
    <x v="128"/>
    <s v="Noor Khan"/>
    <n v="21.77"/>
    <n v="415.56499999999994"/>
    <n v="8289.5299999999988"/>
    <d v="2024-08-26T00:00:00"/>
    <d v="2024-09-01T00:00:00"/>
    <s v="Eric"/>
    <n v="26"/>
    <n v="8"/>
    <x v="10"/>
    <x v="1"/>
    <x v="3"/>
    <n v="35"/>
  </r>
  <r>
    <d v="2025-06-08T00:00:00"/>
    <x v="4"/>
    <x v="5"/>
    <n v="7"/>
    <n v="452.56"/>
    <x v="1"/>
    <x v="0"/>
    <n v="0.05"/>
    <x v="2"/>
    <n v="3009.5239999999999"/>
    <x v="1"/>
    <s v="FREESHIP"/>
    <n v="0"/>
    <x v="129"/>
    <s v="Simran Pillai"/>
    <n v="46.97"/>
    <n v="429.93199999999996"/>
    <n v="2962.5540000000001"/>
    <d v="2025-06-08T00:00:00"/>
    <d v="2025-06-15T00:00:00"/>
    <s v="Wendy"/>
    <n v="8"/>
    <n v="6"/>
    <x v="3"/>
    <x v="2"/>
    <x v="2"/>
    <n v="23"/>
  </r>
  <r>
    <d v="2025-05-16T00:00:00"/>
    <x v="2"/>
    <x v="2"/>
    <n v="11"/>
    <n v="465.24"/>
    <x v="1"/>
    <x v="0"/>
    <n v="0"/>
    <x v="3"/>
    <n v="5117.6400000000003"/>
    <x v="3"/>
    <s v="nan"/>
    <n v="1"/>
    <x v="130"/>
    <s v="Aditi Khanna"/>
    <n v="17.59"/>
    <n v="465.24"/>
    <n v="5100.05"/>
    <d v="2025-05-16T00:00:00"/>
    <d v="2025-05-23T00:00:00"/>
    <s v="Ryan"/>
    <n v="16"/>
    <n v="5"/>
    <x v="2"/>
    <x v="2"/>
    <x v="2"/>
    <n v="20"/>
  </r>
  <r>
    <d v="2024-07-18T00:00:00"/>
    <x v="0"/>
    <x v="1"/>
    <n v="14"/>
    <n v="442.65"/>
    <x v="0"/>
    <x v="1"/>
    <n v="0"/>
    <x v="0"/>
    <n v="6197.0999999999995"/>
    <x v="1"/>
    <s v="SAVE10"/>
    <n v="0"/>
    <x v="131"/>
    <s v="Rahul Hussain"/>
    <n v="28.76"/>
    <n v="442.65"/>
    <n v="6168.3399999999992"/>
    <d v="2024-07-18T00:00:00"/>
    <d v="2024-07-24T00:00:00"/>
    <s v="Eric"/>
    <n v="18"/>
    <n v="7"/>
    <x v="8"/>
    <x v="1"/>
    <x v="3"/>
    <n v="29"/>
  </r>
  <r>
    <d v="2023-09-17T00:00:00"/>
    <x v="4"/>
    <x v="0"/>
    <n v="12"/>
    <n v="469.44"/>
    <x v="0"/>
    <x v="0"/>
    <n v="0"/>
    <x v="5"/>
    <n v="5633.28"/>
    <x v="0"/>
    <s v="FREESHIP"/>
    <n v="0"/>
    <x v="132"/>
    <s v="Rahul Chopra"/>
    <n v="33.299999999999997"/>
    <n v="469.44"/>
    <n v="5599.98"/>
    <d v="2023-09-17T00:00:00"/>
    <d v="2023-09-26T00:00:00"/>
    <s v="Wendy"/>
    <n v="17"/>
    <n v="9"/>
    <x v="11"/>
    <x v="0"/>
    <x v="3"/>
    <n v="37"/>
  </r>
  <r>
    <d v="2023-03-13T00:00:00"/>
    <x v="0"/>
    <x v="4"/>
    <n v="14"/>
    <n v="248.77"/>
    <x v="2"/>
    <x v="0"/>
    <n v="0.05"/>
    <x v="5"/>
    <n v="3308.6410000000001"/>
    <x v="3"/>
    <s v="FREESHIP"/>
    <n v="1"/>
    <x v="133"/>
    <s v="Rahul Kapoor"/>
    <n v="21.76"/>
    <n v="236.33150000000001"/>
    <n v="3286.8809999999999"/>
    <d v="2023-03-13T00:00:00"/>
    <d v="2023-03-19T00:00:00"/>
    <s v="Eric"/>
    <n v="13"/>
    <n v="3"/>
    <x v="6"/>
    <x v="0"/>
    <x v="0"/>
    <n v="11"/>
  </r>
  <r>
    <d v="2023-03-29T00:00:00"/>
    <x v="1"/>
    <x v="3"/>
    <n v="4"/>
    <n v="565.29"/>
    <x v="3"/>
    <x v="0"/>
    <n v="0.05"/>
    <x v="1"/>
    <n v="2148.1019999999999"/>
    <x v="4"/>
    <s v="nan"/>
    <n v="0"/>
    <x v="134"/>
    <s v="Hina Qureshi"/>
    <n v="27.04"/>
    <n v="537.02549999999997"/>
    <n v="2121.0619999999999"/>
    <d v="2023-03-29T00:00:00"/>
    <d v="2023-04-03T00:00:00"/>
    <s v="Sophie"/>
    <n v="29"/>
    <n v="3"/>
    <x v="6"/>
    <x v="0"/>
    <x v="0"/>
    <n v="13"/>
  </r>
  <r>
    <d v="2023-07-14T00:00:00"/>
    <x v="3"/>
    <x v="2"/>
    <n v="12"/>
    <n v="244.8"/>
    <x v="0"/>
    <x v="0"/>
    <n v="0.05"/>
    <x v="2"/>
    <n v="2790.72"/>
    <x v="0"/>
    <s v="FREESHIP"/>
    <n v="0"/>
    <x v="135"/>
    <s v="Siddharth Mirza"/>
    <n v="44.75"/>
    <n v="232.55999999999997"/>
    <n v="2745.97"/>
    <d v="2023-07-14T00:00:00"/>
    <d v="2023-07-23T00:00:00"/>
    <s v="Cameron"/>
    <n v="14"/>
    <n v="7"/>
    <x v="8"/>
    <x v="0"/>
    <x v="3"/>
    <n v="28"/>
  </r>
  <r>
    <d v="2024-03-22T00:00:00"/>
    <x v="4"/>
    <x v="0"/>
    <n v="13"/>
    <n v="290.93"/>
    <x v="2"/>
    <x v="1"/>
    <n v="0.05"/>
    <x v="4"/>
    <n v="3592.9854999999998"/>
    <x v="2"/>
    <s v="FREESHIP"/>
    <n v="0"/>
    <x v="136"/>
    <s v="Aman Nair"/>
    <n v="26.09"/>
    <n v="276.38349999999997"/>
    <n v="3566.8954999999996"/>
    <d v="2024-03-22T00:00:00"/>
    <d v="2024-03-31T00:00:00"/>
    <s v="Wendy"/>
    <n v="22"/>
    <n v="3"/>
    <x v="6"/>
    <x v="1"/>
    <x v="0"/>
    <n v="12"/>
  </r>
  <r>
    <d v="2024-05-14T00:00:00"/>
    <x v="3"/>
    <x v="0"/>
    <n v="11"/>
    <n v="229.49"/>
    <x v="2"/>
    <x v="1"/>
    <n v="0.1"/>
    <x v="5"/>
    <n v="2271.951"/>
    <x v="4"/>
    <s v="nan"/>
    <n v="0"/>
    <x v="137"/>
    <s v="Vikram Desai"/>
    <n v="35.39"/>
    <n v="206.541"/>
    <n v="2236.5610000000001"/>
    <d v="2024-05-14T00:00:00"/>
    <d v="2024-05-17T00:00:00"/>
    <s v="Cameron"/>
    <n v="14"/>
    <n v="5"/>
    <x v="2"/>
    <x v="1"/>
    <x v="2"/>
    <n v="20"/>
  </r>
  <r>
    <d v="2023-05-30T00:00:00"/>
    <x v="3"/>
    <x v="4"/>
    <n v="2"/>
    <n v="427.36"/>
    <x v="1"/>
    <x v="0"/>
    <n v="0.05"/>
    <x v="4"/>
    <n v="811.98400000000004"/>
    <x v="0"/>
    <s v="SAVE10"/>
    <n v="0"/>
    <x v="138"/>
    <s v="Deepak Joshi"/>
    <n v="19.420000000000002"/>
    <n v="405.99200000000002"/>
    <n v="792.56400000000008"/>
    <d v="2023-05-30T00:00:00"/>
    <d v="2023-06-02T00:00:00"/>
    <s v="Cameron"/>
    <n v="30"/>
    <n v="5"/>
    <x v="2"/>
    <x v="0"/>
    <x v="2"/>
    <n v="22"/>
  </r>
  <r>
    <d v="2023-03-19T00:00:00"/>
    <x v="2"/>
    <x v="1"/>
    <n v="2"/>
    <n v="443.51"/>
    <x v="2"/>
    <x v="0"/>
    <n v="0.05"/>
    <x v="1"/>
    <n v="842.66899999999998"/>
    <x v="4"/>
    <s v="nan"/>
    <n v="0"/>
    <x v="139"/>
    <s v="Aaliyah Joshi"/>
    <n v="13.65"/>
    <n v="421.33449999999999"/>
    <n v="829.01900000000001"/>
    <d v="2023-03-19T00:00:00"/>
    <d v="2023-03-22T00:00:00"/>
    <s v="Ryan"/>
    <n v="19"/>
    <n v="3"/>
    <x v="6"/>
    <x v="0"/>
    <x v="0"/>
    <n v="11"/>
  </r>
  <r>
    <d v="2023-08-09T00:00:00"/>
    <x v="3"/>
    <x v="2"/>
    <n v="13"/>
    <n v="280.63"/>
    <x v="0"/>
    <x v="0"/>
    <n v="0.15"/>
    <x v="1"/>
    <n v="3100.9614999999999"/>
    <x v="2"/>
    <s v="SAVE10"/>
    <n v="0"/>
    <x v="140"/>
    <s v="Aisha Hegde"/>
    <n v="10.14"/>
    <n v="238.53549999999998"/>
    <n v="3090.8215"/>
    <d v="2023-08-09T00:00:00"/>
    <d v="2023-08-14T00:00:00"/>
    <s v="Cameron"/>
    <n v="9"/>
    <n v="8"/>
    <x v="10"/>
    <x v="0"/>
    <x v="3"/>
    <n v="32"/>
  </r>
  <r>
    <d v="2024-10-13T00:00:00"/>
    <x v="2"/>
    <x v="3"/>
    <n v="13"/>
    <n v="416.66"/>
    <x v="0"/>
    <x v="0"/>
    <n v="0.15"/>
    <x v="5"/>
    <n v="4604.0929999999998"/>
    <x v="2"/>
    <s v="WINTER15"/>
    <n v="0"/>
    <x v="141"/>
    <s v="Isha Banerjee"/>
    <n v="21.74"/>
    <n v="354.161"/>
    <n v="4582.3530000000001"/>
    <d v="2024-10-13T00:00:00"/>
    <d v="2024-10-20T00:00:00"/>
    <s v="Ryan"/>
    <n v="13"/>
    <n v="10"/>
    <x v="5"/>
    <x v="1"/>
    <x v="1"/>
    <n v="41"/>
  </r>
  <r>
    <d v="2025-02-17T00:00:00"/>
    <x v="0"/>
    <x v="3"/>
    <n v="11"/>
    <n v="589.48"/>
    <x v="0"/>
    <x v="1"/>
    <n v="0"/>
    <x v="1"/>
    <n v="6484.2800000000007"/>
    <x v="0"/>
    <s v="WINTER15"/>
    <n v="0"/>
    <x v="142"/>
    <s v="Hina Gupta"/>
    <n v="49.93"/>
    <n v="589.48"/>
    <n v="6434.35"/>
    <d v="2025-02-17T00:00:00"/>
    <d v="2025-02-25T00:00:00"/>
    <s v="Eric"/>
    <n v="17"/>
    <n v="2"/>
    <x v="0"/>
    <x v="2"/>
    <x v="0"/>
    <n v="8"/>
  </r>
  <r>
    <d v="2025-06-11T00:00:00"/>
    <x v="2"/>
    <x v="1"/>
    <n v="18"/>
    <n v="152.84"/>
    <x v="2"/>
    <x v="1"/>
    <n v="0.15"/>
    <x v="4"/>
    <n v="2338.4520000000002"/>
    <x v="3"/>
    <s v="FREESHIP"/>
    <n v="1"/>
    <x v="143"/>
    <s v="Rukhsar Desai"/>
    <n v="20.3"/>
    <n v="129.91400000000002"/>
    <n v="2318.152"/>
    <d v="2025-06-11T00:00:00"/>
    <d v="2025-06-20T00:00:00"/>
    <s v="Ryan"/>
    <n v="11"/>
    <n v="6"/>
    <x v="3"/>
    <x v="2"/>
    <x v="2"/>
    <n v="24"/>
  </r>
  <r>
    <d v="2024-04-29T00:00:00"/>
    <x v="3"/>
    <x v="5"/>
    <n v="4"/>
    <n v="163.66"/>
    <x v="0"/>
    <x v="1"/>
    <n v="0"/>
    <x v="5"/>
    <n v="654.64"/>
    <x v="1"/>
    <s v="WINTER15"/>
    <n v="1"/>
    <x v="144"/>
    <s v="Avni Farooqui"/>
    <n v="31.8"/>
    <n v="163.66"/>
    <n v="622.84"/>
    <d v="2024-04-29T00:00:00"/>
    <d v="2024-05-01T00:00:00"/>
    <s v="Cameron"/>
    <n v="29"/>
    <n v="4"/>
    <x v="7"/>
    <x v="1"/>
    <x v="2"/>
    <n v="18"/>
  </r>
  <r>
    <d v="2023-03-18T00:00:00"/>
    <x v="4"/>
    <x v="0"/>
    <n v="19"/>
    <n v="484.25"/>
    <x v="2"/>
    <x v="0"/>
    <n v="0.15"/>
    <x v="5"/>
    <n v="7820.6374999999998"/>
    <x v="3"/>
    <s v="FREESHIP"/>
    <n v="1"/>
    <x v="145"/>
    <s v="Kabir Ghosh"/>
    <n v="29.51"/>
    <n v="411.61250000000001"/>
    <n v="7791.1274999999996"/>
    <d v="2023-03-18T00:00:00"/>
    <d v="2023-03-20T00:00:00"/>
    <s v="Wendy"/>
    <n v="18"/>
    <n v="3"/>
    <x v="6"/>
    <x v="0"/>
    <x v="0"/>
    <n v="11"/>
  </r>
  <r>
    <d v="2024-12-21T00:00:00"/>
    <x v="2"/>
    <x v="3"/>
    <n v="9"/>
    <n v="380.4"/>
    <x v="0"/>
    <x v="1"/>
    <n v="0.1"/>
    <x v="3"/>
    <n v="3081.24"/>
    <x v="2"/>
    <s v="nan"/>
    <n v="0"/>
    <x v="146"/>
    <s v="Varun Chopra"/>
    <n v="31"/>
    <n v="342.35999999999996"/>
    <n v="3050.24"/>
    <d v="2024-12-21T00:00:00"/>
    <d v="2024-12-27T00:00:00"/>
    <s v="Ryan"/>
    <n v="21"/>
    <n v="12"/>
    <x v="1"/>
    <x v="1"/>
    <x v="1"/>
    <n v="51"/>
  </r>
  <r>
    <d v="2023-04-23T00:00:00"/>
    <x v="4"/>
    <x v="3"/>
    <n v="17"/>
    <n v="332.38"/>
    <x v="1"/>
    <x v="1"/>
    <n v="0.1"/>
    <x v="2"/>
    <n v="5085.4139999999998"/>
    <x v="2"/>
    <s v="SAVE10"/>
    <n v="1"/>
    <x v="147"/>
    <s v="Aisha Ghosh"/>
    <n v="33.81"/>
    <n v="299.142"/>
    <n v="5051.6039999999994"/>
    <d v="2023-04-23T00:00:00"/>
    <d v="2023-05-02T00:00:00"/>
    <s v="Wendy"/>
    <n v="23"/>
    <n v="4"/>
    <x v="7"/>
    <x v="0"/>
    <x v="2"/>
    <n v="16"/>
  </r>
  <r>
    <d v="2025-05-11T00:00:00"/>
    <x v="3"/>
    <x v="3"/>
    <n v="15"/>
    <n v="210.94"/>
    <x v="2"/>
    <x v="0"/>
    <n v="0.05"/>
    <x v="2"/>
    <n v="3005.895"/>
    <x v="0"/>
    <s v="SAVE10"/>
    <n v="0"/>
    <x v="148"/>
    <s v="Zara Kulkarni"/>
    <n v="10.91"/>
    <n v="200.393"/>
    <n v="2994.9850000000001"/>
    <d v="2025-05-11T00:00:00"/>
    <d v="2025-05-21T00:00:00"/>
    <s v="Cameron"/>
    <n v="11"/>
    <n v="5"/>
    <x v="2"/>
    <x v="2"/>
    <x v="2"/>
    <n v="19"/>
  </r>
  <r>
    <d v="2024-03-03T00:00:00"/>
    <x v="1"/>
    <x v="1"/>
    <n v="9"/>
    <n v="382.8"/>
    <x v="3"/>
    <x v="0"/>
    <n v="0"/>
    <x v="0"/>
    <n v="3445.2"/>
    <x v="4"/>
    <s v="nan"/>
    <n v="0"/>
    <x v="149"/>
    <s v="Palak Joseph"/>
    <n v="47.94"/>
    <n v="382.79999999999995"/>
    <n v="3397.2599999999998"/>
    <d v="2024-03-03T00:00:00"/>
    <d v="2024-03-05T00:00:00"/>
    <s v="Sophie"/>
    <n v="3"/>
    <n v="3"/>
    <x v="6"/>
    <x v="1"/>
    <x v="0"/>
    <n v="9"/>
  </r>
  <r>
    <d v="2025-01-20T00:00:00"/>
    <x v="2"/>
    <x v="4"/>
    <n v="3"/>
    <n v="386.29"/>
    <x v="2"/>
    <x v="1"/>
    <n v="0.15"/>
    <x v="3"/>
    <n v="985.03950000000009"/>
    <x v="2"/>
    <s v="FREESHIP"/>
    <n v="0"/>
    <x v="150"/>
    <s v="Kabir Malhotra"/>
    <n v="32.450000000000003"/>
    <n v="328.34650000000005"/>
    <n v="952.58950000000004"/>
    <d v="2025-01-20T00:00:00"/>
    <d v="2025-01-30T00:00:00"/>
    <s v="Ryan"/>
    <n v="20"/>
    <n v="1"/>
    <x v="4"/>
    <x v="2"/>
    <x v="0"/>
    <n v="4"/>
  </r>
  <r>
    <d v="2025-03-22T00:00:00"/>
    <x v="2"/>
    <x v="5"/>
    <n v="5"/>
    <n v="225.99"/>
    <x v="2"/>
    <x v="1"/>
    <n v="0"/>
    <x v="0"/>
    <n v="1129.95"/>
    <x v="0"/>
    <s v="SAVE10"/>
    <n v="1"/>
    <x v="151"/>
    <s v="Vivaan Joseph"/>
    <n v="10.88"/>
    <n v="225.99"/>
    <n v="1119.07"/>
    <d v="2025-03-22T00:00:00"/>
    <d v="2025-03-30T00:00:00"/>
    <s v="Ryan"/>
    <n v="22"/>
    <n v="3"/>
    <x v="6"/>
    <x v="2"/>
    <x v="0"/>
    <n v="12"/>
  </r>
  <r>
    <d v="2025-03-28T00:00:00"/>
    <x v="1"/>
    <x v="6"/>
    <n v="20"/>
    <n v="312.56"/>
    <x v="3"/>
    <x v="1"/>
    <n v="0.15"/>
    <x v="2"/>
    <n v="5313.52"/>
    <x v="1"/>
    <s v="WINTER15"/>
    <n v="0"/>
    <x v="152"/>
    <s v="Rukhsar Reddy"/>
    <n v="47.39"/>
    <n v="265.67600000000004"/>
    <n v="5266.13"/>
    <d v="2025-03-28T00:00:00"/>
    <d v="2025-03-30T00:00:00"/>
    <s v="Sophie"/>
    <n v="28"/>
    <n v="3"/>
    <x v="6"/>
    <x v="2"/>
    <x v="0"/>
    <n v="13"/>
  </r>
  <r>
    <d v="2025-02-17T00:00:00"/>
    <x v="2"/>
    <x v="1"/>
    <n v="13"/>
    <n v="433.77"/>
    <x v="2"/>
    <x v="0"/>
    <n v="0.05"/>
    <x v="2"/>
    <n v="5357.0595000000003"/>
    <x v="4"/>
    <s v="FREESHIP"/>
    <n v="0"/>
    <x v="153"/>
    <s v="Yash Malik"/>
    <n v="17.61"/>
    <n v="412.08150000000001"/>
    <n v="5339.4495000000006"/>
    <d v="2025-02-17T00:00:00"/>
    <d v="2025-02-21T00:00:00"/>
    <s v="Ryan"/>
    <n v="17"/>
    <n v="2"/>
    <x v="0"/>
    <x v="2"/>
    <x v="0"/>
    <n v="8"/>
  </r>
  <r>
    <d v="2024-11-08T00:00:00"/>
    <x v="1"/>
    <x v="5"/>
    <n v="20"/>
    <n v="159.33000000000001"/>
    <x v="1"/>
    <x v="0"/>
    <n v="0"/>
    <x v="0"/>
    <n v="3186.6"/>
    <x v="0"/>
    <s v="FREESHIP"/>
    <n v="0"/>
    <x v="154"/>
    <s v="Tanishq Pathan"/>
    <n v="26.32"/>
    <n v="159.32999999999998"/>
    <n v="3160.2799999999997"/>
    <d v="2024-11-08T00:00:00"/>
    <d v="2024-11-11T00:00:00"/>
    <s v="Sophie"/>
    <n v="8"/>
    <n v="11"/>
    <x v="9"/>
    <x v="1"/>
    <x v="1"/>
    <n v="45"/>
  </r>
  <r>
    <d v="2024-03-17T00:00:00"/>
    <x v="1"/>
    <x v="1"/>
    <n v="18"/>
    <n v="32.229999999999997"/>
    <x v="0"/>
    <x v="1"/>
    <n v="0.05"/>
    <x v="5"/>
    <n v="551.13299999999992"/>
    <x v="2"/>
    <s v="FREESHIP"/>
    <n v="0"/>
    <x v="155"/>
    <s v="Tanvi Kulkarni"/>
    <n v="6.04"/>
    <n v="30.618499999999997"/>
    <n v="545.09299999999996"/>
    <d v="2024-03-17T00:00:00"/>
    <d v="2024-03-21T00:00:00"/>
    <s v="Sophie"/>
    <n v="17"/>
    <n v="3"/>
    <x v="6"/>
    <x v="1"/>
    <x v="0"/>
    <n v="11"/>
  </r>
  <r>
    <d v="2023-08-29T00:00:00"/>
    <x v="1"/>
    <x v="4"/>
    <n v="3"/>
    <n v="527.77"/>
    <x v="2"/>
    <x v="1"/>
    <n v="0.1"/>
    <x v="5"/>
    <n v="1424.979"/>
    <x v="4"/>
    <s v="FREESHIP"/>
    <n v="0"/>
    <x v="156"/>
    <s v="Krish Joshi"/>
    <n v="48.66"/>
    <n v="474.99299999999999"/>
    <n v="1376.319"/>
    <d v="2023-08-29T00:00:00"/>
    <d v="2023-09-01T00:00:00"/>
    <s v="Sophie"/>
    <n v="29"/>
    <n v="8"/>
    <x v="10"/>
    <x v="0"/>
    <x v="3"/>
    <n v="35"/>
  </r>
  <r>
    <d v="2023-06-22T00:00:00"/>
    <x v="1"/>
    <x v="3"/>
    <n v="14"/>
    <n v="291.08999999999997"/>
    <x v="1"/>
    <x v="1"/>
    <n v="0"/>
    <x v="3"/>
    <n v="4075.26"/>
    <x v="4"/>
    <s v="nan"/>
    <n v="0"/>
    <x v="157"/>
    <s v="Diya Rawat"/>
    <n v="39.979999999999997"/>
    <n v="291.09000000000003"/>
    <n v="4035.28"/>
    <d v="2023-06-22T00:00:00"/>
    <d v="2023-06-30T00:00:00"/>
    <s v="Sophie"/>
    <n v="22"/>
    <n v="6"/>
    <x v="3"/>
    <x v="0"/>
    <x v="2"/>
    <n v="25"/>
  </r>
  <r>
    <d v="2024-02-24T00:00:00"/>
    <x v="1"/>
    <x v="1"/>
    <n v="8"/>
    <n v="350.12"/>
    <x v="2"/>
    <x v="1"/>
    <n v="0"/>
    <x v="1"/>
    <n v="2800.96"/>
    <x v="1"/>
    <s v="FREESHIP"/>
    <n v="1"/>
    <x v="158"/>
    <s v="Ritika Sinha"/>
    <n v="31.65"/>
    <n v="350.12"/>
    <n v="2769.31"/>
    <d v="2024-02-24T00:00:00"/>
    <d v="2024-03-01T00:00:00"/>
    <s v="Sophie"/>
    <n v="24"/>
    <n v="2"/>
    <x v="0"/>
    <x v="1"/>
    <x v="0"/>
    <n v="8"/>
  </r>
  <r>
    <d v="2024-04-10T00:00:00"/>
    <x v="2"/>
    <x v="1"/>
    <n v="10"/>
    <n v="195.26"/>
    <x v="3"/>
    <x v="1"/>
    <n v="0.05"/>
    <x v="1"/>
    <n v="1854.97"/>
    <x v="2"/>
    <s v="WINTER15"/>
    <n v="0"/>
    <x v="159"/>
    <s v="Trisha Hussain"/>
    <n v="46.91"/>
    <n v="185.49700000000001"/>
    <n v="1808.06"/>
    <d v="2024-04-10T00:00:00"/>
    <d v="2024-04-15T00:00:00"/>
    <s v="Ryan"/>
    <n v="10"/>
    <n v="4"/>
    <x v="7"/>
    <x v="1"/>
    <x v="2"/>
    <n v="15"/>
  </r>
  <r>
    <d v="2023-05-14T00:00:00"/>
    <x v="1"/>
    <x v="4"/>
    <n v="13"/>
    <n v="291.10000000000002"/>
    <x v="1"/>
    <x v="0"/>
    <n v="0"/>
    <x v="1"/>
    <n v="3784.3"/>
    <x v="0"/>
    <s v="FREESHIP"/>
    <n v="0"/>
    <x v="160"/>
    <s v="Palak Mirza"/>
    <n v="7.66"/>
    <n v="291.10000000000002"/>
    <n v="3776.6400000000003"/>
    <d v="2023-05-14T00:00:00"/>
    <d v="2023-05-19T00:00:00"/>
    <s v="Sophie"/>
    <n v="14"/>
    <n v="5"/>
    <x v="2"/>
    <x v="0"/>
    <x v="2"/>
    <n v="19"/>
  </r>
  <r>
    <d v="2023-03-11T00:00:00"/>
    <x v="1"/>
    <x v="4"/>
    <n v="6"/>
    <n v="93.92"/>
    <x v="0"/>
    <x v="0"/>
    <n v="0.15"/>
    <x v="0"/>
    <n v="478.99200000000002"/>
    <x v="2"/>
    <s v="FREESHIP"/>
    <n v="0"/>
    <x v="161"/>
    <s v="Vivaan Tiwari"/>
    <n v="11"/>
    <n v="79.832000000000008"/>
    <n v="467.99200000000002"/>
    <d v="2023-03-11T00:00:00"/>
    <d v="2023-03-18T00:00:00"/>
    <s v="Sophie"/>
    <n v="11"/>
    <n v="3"/>
    <x v="6"/>
    <x v="0"/>
    <x v="0"/>
    <n v="10"/>
  </r>
  <r>
    <d v="2024-08-24T00:00:00"/>
    <x v="3"/>
    <x v="6"/>
    <n v="5"/>
    <n v="15.92"/>
    <x v="3"/>
    <x v="1"/>
    <n v="0"/>
    <x v="0"/>
    <n v="79.599999999999994"/>
    <x v="2"/>
    <s v="nan"/>
    <n v="1"/>
    <x v="162"/>
    <s v="Kavya Shah"/>
    <n v="8.66"/>
    <n v="15.919999999999998"/>
    <n v="70.94"/>
    <d v="2024-08-24T00:00:00"/>
    <d v="2024-08-26T00:00:00"/>
    <s v="Cameron"/>
    <n v="24"/>
    <n v="8"/>
    <x v="10"/>
    <x v="1"/>
    <x v="3"/>
    <n v="34"/>
  </r>
  <r>
    <d v="2024-02-23T00:00:00"/>
    <x v="1"/>
    <x v="4"/>
    <n v="16"/>
    <n v="120.22"/>
    <x v="3"/>
    <x v="1"/>
    <n v="0.15"/>
    <x v="5"/>
    <n v="1634.992"/>
    <x v="4"/>
    <s v="SAVE10"/>
    <n v="0"/>
    <x v="163"/>
    <s v="Tanvi Bhatia"/>
    <n v="8.42"/>
    <n v="102.187"/>
    <n v="1626.5719999999999"/>
    <d v="2024-02-23T00:00:00"/>
    <d v="2024-03-01T00:00:00"/>
    <s v="Sophie"/>
    <n v="23"/>
    <n v="2"/>
    <x v="0"/>
    <x v="1"/>
    <x v="0"/>
    <n v="8"/>
  </r>
  <r>
    <d v="2024-01-30T00:00:00"/>
    <x v="2"/>
    <x v="4"/>
    <n v="11"/>
    <n v="118.8"/>
    <x v="1"/>
    <x v="1"/>
    <n v="0.05"/>
    <x v="0"/>
    <n v="1241.46"/>
    <x v="0"/>
    <s v="SAVE10"/>
    <n v="0"/>
    <x v="164"/>
    <s v="Kavya Kaur"/>
    <n v="39.32"/>
    <n v="112.86"/>
    <n v="1202.1400000000001"/>
    <d v="2024-01-30T00:00:00"/>
    <d v="2024-02-06T00:00:00"/>
    <s v="Ryan"/>
    <n v="30"/>
    <n v="1"/>
    <x v="4"/>
    <x v="1"/>
    <x v="0"/>
    <n v="5"/>
  </r>
  <r>
    <d v="2024-01-23T00:00:00"/>
    <x v="0"/>
    <x v="5"/>
    <n v="10"/>
    <n v="92.45"/>
    <x v="2"/>
    <x v="0"/>
    <n v="0.1"/>
    <x v="2"/>
    <n v="832.05000000000007"/>
    <x v="4"/>
    <s v="WINTER15"/>
    <n v="1"/>
    <x v="165"/>
    <s v="Neha Roy"/>
    <n v="42.61"/>
    <n v="83.205000000000013"/>
    <n v="789.44"/>
    <d v="2024-01-23T00:00:00"/>
    <d v="2024-01-29T00:00:00"/>
    <s v="Eric"/>
    <n v="23"/>
    <n v="1"/>
    <x v="4"/>
    <x v="1"/>
    <x v="0"/>
    <n v="4"/>
  </r>
  <r>
    <d v="2023-01-05T00:00:00"/>
    <x v="2"/>
    <x v="0"/>
    <n v="19"/>
    <n v="463.51"/>
    <x v="0"/>
    <x v="1"/>
    <n v="0"/>
    <x v="5"/>
    <n v="8806.69"/>
    <x v="4"/>
    <s v="FREESHIP"/>
    <n v="0"/>
    <x v="166"/>
    <s v="Sana Arora"/>
    <n v="49.38"/>
    <n v="463.51000000000005"/>
    <n v="8757.3100000000013"/>
    <d v="2023-01-05T00:00:00"/>
    <d v="2023-01-08T00:00:00"/>
    <s v="Ryan"/>
    <n v="5"/>
    <n v="1"/>
    <x v="4"/>
    <x v="0"/>
    <x v="0"/>
    <n v="1"/>
  </r>
  <r>
    <d v="2023-12-21T00:00:00"/>
    <x v="2"/>
    <x v="2"/>
    <n v="7"/>
    <n v="284.7"/>
    <x v="3"/>
    <x v="0"/>
    <n v="0.05"/>
    <x v="5"/>
    <n v="1893.2550000000001"/>
    <x v="1"/>
    <s v="nan"/>
    <n v="0"/>
    <x v="167"/>
    <s v="Dhruv Arora"/>
    <n v="5.36"/>
    <n v="270.46500000000003"/>
    <n v="1887.8950000000002"/>
    <d v="2023-12-21T00:00:00"/>
    <d v="2023-12-30T00:00:00"/>
    <s v="Ryan"/>
    <n v="21"/>
    <n v="12"/>
    <x v="1"/>
    <x v="0"/>
    <x v="1"/>
    <n v="51"/>
  </r>
  <r>
    <d v="2023-05-25T00:00:00"/>
    <x v="4"/>
    <x v="0"/>
    <n v="20"/>
    <n v="343.25"/>
    <x v="2"/>
    <x v="0"/>
    <n v="0.05"/>
    <x v="1"/>
    <n v="6521.75"/>
    <x v="3"/>
    <s v="FREESHIP"/>
    <n v="0"/>
    <x v="168"/>
    <s v="Karan Iyer"/>
    <n v="28.77"/>
    <n v="326.08749999999998"/>
    <n v="6492.98"/>
    <d v="2023-05-25T00:00:00"/>
    <d v="2023-06-02T00:00:00"/>
    <s v="Wendy"/>
    <n v="25"/>
    <n v="5"/>
    <x v="2"/>
    <x v="0"/>
    <x v="2"/>
    <n v="21"/>
  </r>
  <r>
    <d v="2025-06-30T00:00:00"/>
    <x v="3"/>
    <x v="3"/>
    <n v="6"/>
    <n v="95.24"/>
    <x v="3"/>
    <x v="0"/>
    <n v="0.15"/>
    <x v="4"/>
    <n v="485.72399999999988"/>
    <x v="1"/>
    <s v="FREESHIP"/>
    <n v="0"/>
    <x v="169"/>
    <s v="Raina Sen"/>
    <n v="18.72"/>
    <n v="80.953999999999979"/>
    <n v="467.00399999999991"/>
    <d v="2025-06-30T00:00:00"/>
    <d v="2025-07-08T00:00:00"/>
    <s v="Cameron"/>
    <n v="30"/>
    <n v="6"/>
    <x v="3"/>
    <x v="2"/>
    <x v="2"/>
    <n v="27"/>
  </r>
  <r>
    <d v="2025-02-12T00:00:00"/>
    <x v="4"/>
    <x v="2"/>
    <n v="13"/>
    <n v="104.8"/>
    <x v="0"/>
    <x v="1"/>
    <n v="0.05"/>
    <x v="4"/>
    <n v="1294.28"/>
    <x v="2"/>
    <s v="WINTER15"/>
    <n v="0"/>
    <x v="170"/>
    <s v="Rohan Sharma"/>
    <n v="7.79"/>
    <n v="99.56"/>
    <n v="1286.49"/>
    <d v="2025-02-12T00:00:00"/>
    <d v="2025-02-19T00:00:00"/>
    <s v="Wendy"/>
    <n v="12"/>
    <n v="2"/>
    <x v="0"/>
    <x v="2"/>
    <x v="0"/>
    <n v="7"/>
  </r>
  <r>
    <d v="2024-01-03T00:00:00"/>
    <x v="4"/>
    <x v="5"/>
    <n v="12"/>
    <n v="164.31"/>
    <x v="0"/>
    <x v="0"/>
    <n v="0.1"/>
    <x v="0"/>
    <n v="1774.548"/>
    <x v="4"/>
    <s v="nan"/>
    <n v="1"/>
    <x v="171"/>
    <s v="Aryan Kulkarni"/>
    <n v="38.9"/>
    <n v="147.87899999999999"/>
    <n v="1735.6479999999999"/>
    <d v="2024-01-03T00:00:00"/>
    <d v="2024-01-07T00:00:00"/>
    <s v="Wendy"/>
    <n v="3"/>
    <n v="1"/>
    <x v="4"/>
    <x v="1"/>
    <x v="0"/>
    <n v="1"/>
  </r>
  <r>
    <d v="2023-02-03T00:00:00"/>
    <x v="1"/>
    <x v="5"/>
    <n v="10"/>
    <n v="325.18"/>
    <x v="2"/>
    <x v="0"/>
    <n v="0.1"/>
    <x v="1"/>
    <n v="2926.62"/>
    <x v="4"/>
    <s v="WINTER15"/>
    <n v="0"/>
    <x v="172"/>
    <s v="Tanvi Sinha"/>
    <n v="47.39"/>
    <n v="292.66199999999998"/>
    <n v="2879.23"/>
    <d v="2023-02-03T00:00:00"/>
    <d v="2023-02-13T00:00:00"/>
    <s v="Sophie"/>
    <n v="3"/>
    <n v="2"/>
    <x v="0"/>
    <x v="0"/>
    <x v="0"/>
    <n v="5"/>
  </r>
  <r>
    <d v="2024-03-01T00:00:00"/>
    <x v="0"/>
    <x v="4"/>
    <n v="17"/>
    <n v="542.82000000000005"/>
    <x v="1"/>
    <x v="0"/>
    <n v="0"/>
    <x v="1"/>
    <n v="9227.94"/>
    <x v="3"/>
    <s v="WINTER15"/>
    <n v="1"/>
    <x v="173"/>
    <s v="Trisha Fernandes"/>
    <n v="7.13"/>
    <n v="542.82000000000005"/>
    <n v="9220.8100000000013"/>
    <d v="2024-03-01T00:00:00"/>
    <d v="2024-03-08T00:00:00"/>
    <s v="Eric"/>
    <n v="1"/>
    <n v="3"/>
    <x v="6"/>
    <x v="1"/>
    <x v="0"/>
    <n v="9"/>
  </r>
  <r>
    <d v="2023-05-24T00:00:00"/>
    <x v="2"/>
    <x v="5"/>
    <n v="14"/>
    <n v="207.48"/>
    <x v="2"/>
    <x v="0"/>
    <n v="0.05"/>
    <x v="0"/>
    <n v="2759.483999999999"/>
    <x v="0"/>
    <s v="nan"/>
    <n v="0"/>
    <x v="174"/>
    <s v="Noor Patel"/>
    <n v="5.7"/>
    <n v="197.10599999999994"/>
    <n v="2753.7839999999992"/>
    <d v="2023-05-24T00:00:00"/>
    <d v="2023-06-02T00:00:00"/>
    <s v="Ryan"/>
    <n v="24"/>
    <n v="5"/>
    <x v="2"/>
    <x v="0"/>
    <x v="2"/>
    <n v="21"/>
  </r>
  <r>
    <d v="2025-06-22T00:00:00"/>
    <x v="2"/>
    <x v="6"/>
    <n v="17"/>
    <n v="527.88"/>
    <x v="3"/>
    <x v="1"/>
    <n v="0.05"/>
    <x v="5"/>
    <n v="8525.2619999999988"/>
    <x v="4"/>
    <s v="WINTER15"/>
    <n v="0"/>
    <x v="175"/>
    <s v="Pooja Malhotra"/>
    <n v="21.32"/>
    <n v="501.48599999999993"/>
    <n v="8503.9419999999991"/>
    <d v="2025-06-22T00:00:00"/>
    <d v="2025-06-28T00:00:00"/>
    <s v="Ryan"/>
    <n v="22"/>
    <n v="6"/>
    <x v="3"/>
    <x v="2"/>
    <x v="2"/>
    <n v="25"/>
  </r>
  <r>
    <d v="2023-04-10T00:00:00"/>
    <x v="2"/>
    <x v="3"/>
    <n v="11"/>
    <n v="71.209999999999994"/>
    <x v="0"/>
    <x v="1"/>
    <n v="0.05"/>
    <x v="4"/>
    <n v="744.14449999999988"/>
    <x v="0"/>
    <s v="nan"/>
    <n v="1"/>
    <x v="176"/>
    <s v="Simran Hussain"/>
    <n v="44.2"/>
    <n v="67.649499999999989"/>
    <n v="699.94449999999983"/>
    <d v="2023-04-10T00:00:00"/>
    <d v="2023-04-14T00:00:00"/>
    <s v="Ryan"/>
    <n v="10"/>
    <n v="4"/>
    <x v="7"/>
    <x v="0"/>
    <x v="2"/>
    <n v="15"/>
  </r>
  <r>
    <d v="2025-03-04T00:00:00"/>
    <x v="3"/>
    <x v="6"/>
    <n v="8"/>
    <n v="486.07"/>
    <x v="0"/>
    <x v="1"/>
    <n v="0"/>
    <x v="3"/>
    <n v="3888.56"/>
    <x v="3"/>
    <s v="FREESHIP"/>
    <n v="0"/>
    <x v="177"/>
    <s v="Sai Rawat"/>
    <n v="10.68"/>
    <n v="486.07"/>
    <n v="3877.88"/>
    <d v="2025-03-04T00:00:00"/>
    <d v="2025-03-10T00:00:00"/>
    <s v="Cameron"/>
    <n v="4"/>
    <n v="3"/>
    <x v="6"/>
    <x v="2"/>
    <x v="0"/>
    <n v="10"/>
  </r>
  <r>
    <d v="2024-07-11T00:00:00"/>
    <x v="0"/>
    <x v="0"/>
    <n v="6"/>
    <n v="555.03"/>
    <x v="2"/>
    <x v="1"/>
    <n v="0.1"/>
    <x v="2"/>
    <n v="2997.1619999999998"/>
    <x v="2"/>
    <s v="nan"/>
    <n v="1"/>
    <x v="178"/>
    <s v="Hina Chawla"/>
    <n v="23.69"/>
    <n v="499.52699999999999"/>
    <n v="2973.4719999999998"/>
    <d v="2024-07-11T00:00:00"/>
    <d v="2024-07-20T00:00:00"/>
    <s v="Eric"/>
    <n v="11"/>
    <n v="7"/>
    <x v="8"/>
    <x v="1"/>
    <x v="3"/>
    <n v="28"/>
  </r>
  <r>
    <d v="2024-08-17T00:00:00"/>
    <x v="0"/>
    <x v="2"/>
    <n v="13"/>
    <n v="421.08"/>
    <x v="0"/>
    <x v="0"/>
    <n v="0"/>
    <x v="5"/>
    <n v="5474.04"/>
    <x v="4"/>
    <s v="nan"/>
    <n v="0"/>
    <x v="179"/>
    <s v="Ira Kulkarni"/>
    <n v="24.51"/>
    <n v="421.08"/>
    <n v="5449.53"/>
    <d v="2024-08-17T00:00:00"/>
    <d v="2024-08-20T00:00:00"/>
    <s v="Eric"/>
    <n v="17"/>
    <n v="8"/>
    <x v="10"/>
    <x v="1"/>
    <x v="3"/>
    <n v="33"/>
  </r>
  <r>
    <d v="2025-06-30T00:00:00"/>
    <x v="2"/>
    <x v="0"/>
    <n v="16"/>
    <n v="76.17"/>
    <x v="3"/>
    <x v="0"/>
    <n v="0.1"/>
    <x v="1"/>
    <n v="1096.848"/>
    <x v="4"/>
    <s v="WINTER15"/>
    <n v="0"/>
    <x v="180"/>
    <s v="Rohan Pandey"/>
    <n v="41.88"/>
    <n v="68.552999999999997"/>
    <n v="1054.9679999999998"/>
    <d v="2025-06-30T00:00:00"/>
    <d v="2025-07-09T00:00:00"/>
    <s v="Ryan"/>
    <n v="30"/>
    <n v="6"/>
    <x v="3"/>
    <x v="2"/>
    <x v="2"/>
    <n v="27"/>
  </r>
  <r>
    <d v="2024-11-06T00:00:00"/>
    <x v="1"/>
    <x v="6"/>
    <n v="3"/>
    <n v="503.55"/>
    <x v="2"/>
    <x v="0"/>
    <n v="0.1"/>
    <x v="5"/>
    <n v="1359.585"/>
    <x v="2"/>
    <s v="WINTER15"/>
    <n v="0"/>
    <x v="181"/>
    <s v="Parth Gupta"/>
    <n v="37.49"/>
    <n v="453.19499999999999"/>
    <n v="1322.095"/>
    <d v="2024-11-06T00:00:00"/>
    <d v="2024-11-13T00:00:00"/>
    <s v="Sophie"/>
    <n v="6"/>
    <n v="11"/>
    <x v="9"/>
    <x v="1"/>
    <x v="1"/>
    <n v="45"/>
  </r>
  <r>
    <d v="2025-04-01T00:00:00"/>
    <x v="0"/>
    <x v="5"/>
    <n v="5"/>
    <n v="31.56"/>
    <x v="3"/>
    <x v="1"/>
    <n v="0"/>
    <x v="4"/>
    <n v="157.80000000000001"/>
    <x v="0"/>
    <s v="SAVE10"/>
    <n v="1"/>
    <x v="182"/>
    <s v="Om Arora"/>
    <n v="29.56"/>
    <n v="31.560000000000002"/>
    <n v="128.24"/>
    <d v="2025-04-01T00:00:00"/>
    <d v="2025-04-04T00:00:00"/>
    <s v="Eric"/>
    <n v="1"/>
    <n v="4"/>
    <x v="7"/>
    <x v="2"/>
    <x v="2"/>
    <n v="14"/>
  </r>
  <r>
    <d v="2024-07-01T00:00:00"/>
    <x v="4"/>
    <x v="0"/>
    <n v="16"/>
    <n v="72.92"/>
    <x v="2"/>
    <x v="0"/>
    <n v="0.05"/>
    <x v="2"/>
    <n v="1108.384"/>
    <x v="4"/>
    <s v="FREESHIP"/>
    <n v="0"/>
    <x v="183"/>
    <s v="Diya Menon"/>
    <n v="5.7"/>
    <n v="69.274000000000001"/>
    <n v="1102.684"/>
    <d v="2024-07-01T00:00:00"/>
    <d v="2024-07-06T00:00:00"/>
    <s v="Wendy"/>
    <n v="1"/>
    <n v="7"/>
    <x v="8"/>
    <x v="1"/>
    <x v="3"/>
    <n v="27"/>
  </r>
  <r>
    <d v="2023-12-09T00:00:00"/>
    <x v="4"/>
    <x v="6"/>
    <n v="18"/>
    <n v="421.93"/>
    <x v="3"/>
    <x v="1"/>
    <n v="0.05"/>
    <x v="5"/>
    <n v="7215.0029999999997"/>
    <x v="1"/>
    <s v="WINTER15"/>
    <n v="0"/>
    <x v="184"/>
    <s v="Om Shetty"/>
    <n v="23.42"/>
    <n v="400.83349999999996"/>
    <n v="7191.5829999999996"/>
    <d v="2023-12-09T00:00:00"/>
    <d v="2023-12-18T00:00:00"/>
    <s v="Wendy"/>
    <n v="9"/>
    <n v="12"/>
    <x v="1"/>
    <x v="0"/>
    <x v="1"/>
    <n v="49"/>
  </r>
  <r>
    <d v="2023-06-27T00:00:00"/>
    <x v="2"/>
    <x v="2"/>
    <n v="15"/>
    <n v="478.41"/>
    <x v="0"/>
    <x v="1"/>
    <n v="0.1"/>
    <x v="3"/>
    <n v="6458.5350000000008"/>
    <x v="3"/>
    <s v="FREESHIP"/>
    <n v="0"/>
    <x v="185"/>
    <s v="Rukhsar Kaur"/>
    <n v="35.630000000000003"/>
    <n v="430.56900000000007"/>
    <n v="6422.9050000000007"/>
    <d v="2023-06-27T00:00:00"/>
    <d v="2023-06-30T00:00:00"/>
    <s v="Ryan"/>
    <n v="27"/>
    <n v="6"/>
    <x v="3"/>
    <x v="0"/>
    <x v="2"/>
    <n v="26"/>
  </r>
  <r>
    <d v="2023-07-14T00:00:00"/>
    <x v="1"/>
    <x v="3"/>
    <n v="9"/>
    <n v="501.74"/>
    <x v="3"/>
    <x v="1"/>
    <n v="0"/>
    <x v="5"/>
    <n v="4515.66"/>
    <x v="0"/>
    <s v="SAVE10"/>
    <n v="1"/>
    <x v="186"/>
    <s v="Aisha Sinha"/>
    <n v="39.74"/>
    <n v="501.74"/>
    <n v="4475.92"/>
    <d v="2023-07-14T00:00:00"/>
    <d v="2023-07-17T00:00:00"/>
    <s v="Sophie"/>
    <n v="14"/>
    <n v="7"/>
    <x v="8"/>
    <x v="0"/>
    <x v="3"/>
    <n v="28"/>
  </r>
  <r>
    <d v="2023-02-08T00:00:00"/>
    <x v="1"/>
    <x v="5"/>
    <n v="7"/>
    <n v="247.53"/>
    <x v="2"/>
    <x v="0"/>
    <n v="0.15"/>
    <x v="1"/>
    <n v="1472.8035"/>
    <x v="1"/>
    <s v="FREESHIP"/>
    <n v="0"/>
    <x v="187"/>
    <s v="Raj Shetty"/>
    <n v="13.63"/>
    <n v="210.40049999999999"/>
    <n v="1459.1734999999999"/>
    <d v="2023-02-08T00:00:00"/>
    <d v="2023-02-16T00:00:00"/>
    <s v="Sophie"/>
    <n v="8"/>
    <n v="2"/>
    <x v="0"/>
    <x v="0"/>
    <x v="0"/>
    <n v="6"/>
  </r>
  <r>
    <d v="2024-06-28T00:00:00"/>
    <x v="4"/>
    <x v="5"/>
    <n v="6"/>
    <n v="176.51"/>
    <x v="2"/>
    <x v="0"/>
    <n v="0.15"/>
    <x v="3"/>
    <n v="900.20099999999991"/>
    <x v="3"/>
    <s v="FREESHIP"/>
    <n v="1"/>
    <x v="188"/>
    <s v="Arjun Yadav"/>
    <n v="31.02"/>
    <n v="150.03349999999998"/>
    <n v="869.18099999999993"/>
    <d v="2024-06-28T00:00:00"/>
    <d v="2024-07-07T00:00:00"/>
    <s v="Wendy"/>
    <n v="28"/>
    <n v="6"/>
    <x v="3"/>
    <x v="1"/>
    <x v="2"/>
    <n v="26"/>
  </r>
  <r>
    <d v="2024-04-15T00:00:00"/>
    <x v="4"/>
    <x v="0"/>
    <n v="2"/>
    <n v="143.43"/>
    <x v="3"/>
    <x v="0"/>
    <n v="0"/>
    <x v="5"/>
    <n v="286.86"/>
    <x v="2"/>
    <s v="nan"/>
    <n v="0"/>
    <x v="189"/>
    <s v="Aryan Shetty"/>
    <n v="36.94"/>
    <n v="143.43"/>
    <n v="249.92000000000002"/>
    <d v="2024-04-15T00:00:00"/>
    <d v="2024-04-22T00:00:00"/>
    <s v="Wendy"/>
    <n v="15"/>
    <n v="4"/>
    <x v="7"/>
    <x v="1"/>
    <x v="2"/>
    <n v="16"/>
  </r>
  <r>
    <d v="2023-11-27T00:00:00"/>
    <x v="0"/>
    <x v="4"/>
    <n v="12"/>
    <n v="538.5"/>
    <x v="2"/>
    <x v="0"/>
    <n v="0.05"/>
    <x v="1"/>
    <n v="6138.9"/>
    <x v="4"/>
    <s v="SAVE10"/>
    <n v="0"/>
    <x v="190"/>
    <s v="Diya Dutta"/>
    <n v="18.54"/>
    <n v="511.57499999999999"/>
    <n v="6120.36"/>
    <d v="2023-11-27T00:00:00"/>
    <d v="2023-12-06T00:00:00"/>
    <s v="Eric"/>
    <n v="27"/>
    <n v="11"/>
    <x v="9"/>
    <x v="0"/>
    <x v="1"/>
    <n v="48"/>
  </r>
  <r>
    <d v="2025-03-27T00:00:00"/>
    <x v="0"/>
    <x v="6"/>
    <n v="5"/>
    <n v="87.17"/>
    <x v="3"/>
    <x v="0"/>
    <n v="0"/>
    <x v="3"/>
    <n v="435.85"/>
    <x v="3"/>
    <s v="nan"/>
    <n v="0"/>
    <x v="191"/>
    <s v="Aman Menon"/>
    <n v="13.01"/>
    <n v="87.17"/>
    <n v="422.84000000000003"/>
    <d v="2025-03-27T00:00:00"/>
    <d v="2025-03-29T00:00:00"/>
    <s v="Eric"/>
    <n v="27"/>
    <n v="3"/>
    <x v="6"/>
    <x v="2"/>
    <x v="0"/>
    <n v="13"/>
  </r>
  <r>
    <d v="2023-08-06T00:00:00"/>
    <x v="1"/>
    <x v="4"/>
    <n v="7"/>
    <n v="498.32"/>
    <x v="0"/>
    <x v="0"/>
    <n v="0.1"/>
    <x v="1"/>
    <n v="3139.4160000000002"/>
    <x v="2"/>
    <s v="WINTER15"/>
    <n v="1"/>
    <x v="192"/>
    <s v="Laksh Verma"/>
    <n v="27.65"/>
    <n v="448.488"/>
    <n v="3111.7660000000001"/>
    <d v="2023-08-06T00:00:00"/>
    <d v="2023-08-10T00:00:00"/>
    <s v="Sophie"/>
    <n v="6"/>
    <n v="8"/>
    <x v="10"/>
    <x v="0"/>
    <x v="3"/>
    <n v="31"/>
  </r>
  <r>
    <d v="2024-12-13T00:00:00"/>
    <x v="1"/>
    <x v="6"/>
    <n v="15"/>
    <n v="57.14"/>
    <x v="0"/>
    <x v="0"/>
    <n v="0.15"/>
    <x v="3"/>
    <n v="728.53499999999997"/>
    <x v="3"/>
    <s v="FREESHIP"/>
    <n v="0"/>
    <x v="193"/>
    <s v="Akash Agarwal"/>
    <n v="7.02"/>
    <n v="48.568999999999996"/>
    <n v="721.51499999999999"/>
    <d v="2024-12-13T00:00:00"/>
    <d v="2024-12-22T00:00:00"/>
    <s v="Sophie"/>
    <n v="13"/>
    <n v="12"/>
    <x v="1"/>
    <x v="1"/>
    <x v="1"/>
    <n v="50"/>
  </r>
  <r>
    <d v="2025-01-17T00:00:00"/>
    <x v="3"/>
    <x v="5"/>
    <n v="18"/>
    <n v="124.18"/>
    <x v="0"/>
    <x v="0"/>
    <n v="0.15"/>
    <x v="3"/>
    <n v="1899.954"/>
    <x v="3"/>
    <s v="SAVE10"/>
    <n v="0"/>
    <x v="194"/>
    <s v="Suresh Joseph"/>
    <n v="45.77"/>
    <n v="105.553"/>
    <n v="1854.184"/>
    <d v="2025-01-17T00:00:00"/>
    <d v="2025-01-26T00:00:00"/>
    <s v="Cameron"/>
    <n v="17"/>
    <n v="1"/>
    <x v="4"/>
    <x v="2"/>
    <x v="0"/>
    <n v="3"/>
  </r>
  <r>
    <d v="2023-11-26T00:00:00"/>
    <x v="4"/>
    <x v="2"/>
    <n v="12"/>
    <n v="107.45"/>
    <x v="2"/>
    <x v="1"/>
    <n v="0.1"/>
    <x v="5"/>
    <n v="1160.46"/>
    <x v="0"/>
    <s v="FREESHIP"/>
    <n v="0"/>
    <x v="195"/>
    <s v="Krish Pandey"/>
    <n v="18.170000000000002"/>
    <n v="96.704999999999998"/>
    <n v="1142.29"/>
    <d v="2023-11-26T00:00:00"/>
    <d v="2023-12-02T00:00:00"/>
    <s v="Wendy"/>
    <n v="26"/>
    <n v="11"/>
    <x v="9"/>
    <x v="0"/>
    <x v="1"/>
    <n v="47"/>
  </r>
  <r>
    <d v="2023-02-14T00:00:00"/>
    <x v="0"/>
    <x v="3"/>
    <n v="8"/>
    <n v="411.26"/>
    <x v="1"/>
    <x v="1"/>
    <n v="0.1"/>
    <x v="2"/>
    <n v="2961.0720000000001"/>
    <x v="1"/>
    <s v="WINTER15"/>
    <n v="0"/>
    <x v="196"/>
    <s v="Nikhil Agarwal"/>
    <n v="28.57"/>
    <n v="370.13400000000001"/>
    <n v="2932.502"/>
    <d v="2023-02-14T00:00:00"/>
    <d v="2023-02-18T00:00:00"/>
    <s v="Eric"/>
    <n v="14"/>
    <n v="2"/>
    <x v="0"/>
    <x v="0"/>
    <x v="0"/>
    <n v="7"/>
  </r>
  <r>
    <d v="2025-02-02T00:00:00"/>
    <x v="3"/>
    <x v="6"/>
    <n v="7"/>
    <n v="248.1"/>
    <x v="2"/>
    <x v="1"/>
    <n v="0"/>
    <x v="4"/>
    <n v="1736.7"/>
    <x v="4"/>
    <s v="WINTER15"/>
    <n v="0"/>
    <x v="197"/>
    <s v="Arjun Pillai"/>
    <n v="31.8"/>
    <n v="248.1"/>
    <n v="1704.9"/>
    <d v="2025-02-02T00:00:00"/>
    <d v="2025-02-06T00:00:00"/>
    <s v="Cameron"/>
    <n v="2"/>
    <n v="2"/>
    <x v="0"/>
    <x v="2"/>
    <x v="0"/>
    <n v="5"/>
  </r>
  <r>
    <d v="2023-04-11T00:00:00"/>
    <x v="4"/>
    <x v="6"/>
    <n v="3"/>
    <n v="486.52"/>
    <x v="0"/>
    <x v="0"/>
    <n v="0.1"/>
    <x v="3"/>
    <n v="1313.604"/>
    <x v="1"/>
    <s v="nan"/>
    <n v="0"/>
    <x v="198"/>
    <s v="Myra Bansal"/>
    <n v="16.5"/>
    <n v="437.86799999999999"/>
    <n v="1297.104"/>
    <d v="2023-04-11T00:00:00"/>
    <d v="2023-04-20T00:00:00"/>
    <s v="Wendy"/>
    <n v="11"/>
    <n v="4"/>
    <x v="7"/>
    <x v="0"/>
    <x v="2"/>
    <n v="15"/>
  </r>
  <r>
    <d v="2024-07-08T00:00:00"/>
    <x v="2"/>
    <x v="4"/>
    <n v="18"/>
    <n v="415.04"/>
    <x v="2"/>
    <x v="0"/>
    <n v="0.1"/>
    <x v="0"/>
    <n v="6723.6480000000001"/>
    <x v="4"/>
    <s v="WINTER15"/>
    <n v="0"/>
    <x v="199"/>
    <s v="Sanya Joshi"/>
    <n v="33.58"/>
    <n v="373.536"/>
    <n v="6690.0680000000002"/>
    <d v="2024-07-08T00:00:00"/>
    <d v="2024-07-13T00:00:00"/>
    <s v="Ryan"/>
    <n v="8"/>
    <n v="7"/>
    <x v="8"/>
    <x v="1"/>
    <x v="3"/>
    <n v="28"/>
  </r>
  <r>
    <d v="2023-02-08T00:00:00"/>
    <x v="3"/>
    <x v="6"/>
    <n v="19"/>
    <n v="165.38"/>
    <x v="0"/>
    <x v="0"/>
    <n v="0.15"/>
    <x v="1"/>
    <n v="2670.8870000000002"/>
    <x v="0"/>
    <s v="nan"/>
    <n v="0"/>
    <x v="200"/>
    <s v="Sanya Chaudhary"/>
    <n v="25.2"/>
    <n v="140.57300000000001"/>
    <n v="2645.6870000000004"/>
    <d v="2023-02-08T00:00:00"/>
    <d v="2023-02-14T00:00:00"/>
    <s v="Cameron"/>
    <n v="8"/>
    <n v="2"/>
    <x v="0"/>
    <x v="0"/>
    <x v="0"/>
    <n v="6"/>
  </r>
  <r>
    <d v="2024-04-09T00:00:00"/>
    <x v="4"/>
    <x v="2"/>
    <n v="2"/>
    <n v="117.47"/>
    <x v="2"/>
    <x v="0"/>
    <n v="0"/>
    <x v="0"/>
    <n v="234.94"/>
    <x v="2"/>
    <s v="FREESHIP"/>
    <n v="0"/>
    <x v="201"/>
    <s v="Vikram Hegde"/>
    <n v="6.58"/>
    <n v="117.47"/>
    <n v="228.35999999999999"/>
    <d v="2024-04-09T00:00:00"/>
    <d v="2024-04-16T00:00:00"/>
    <s v="Wendy"/>
    <n v="9"/>
    <n v="4"/>
    <x v="7"/>
    <x v="1"/>
    <x v="2"/>
    <n v="15"/>
  </r>
  <r>
    <d v="2023-08-14T00:00:00"/>
    <x v="3"/>
    <x v="6"/>
    <n v="9"/>
    <n v="461.79"/>
    <x v="2"/>
    <x v="0"/>
    <n v="0.15"/>
    <x v="2"/>
    <n v="3532.6934999999999"/>
    <x v="1"/>
    <s v="nan"/>
    <n v="0"/>
    <x v="202"/>
    <s v="Kunal Bansal"/>
    <n v="47.81"/>
    <n v="392.5215"/>
    <n v="3484.8834999999999"/>
    <d v="2023-08-14T00:00:00"/>
    <d v="2023-08-18T00:00:00"/>
    <s v="Cameron"/>
    <n v="14"/>
    <n v="8"/>
    <x v="10"/>
    <x v="0"/>
    <x v="3"/>
    <n v="33"/>
  </r>
  <r>
    <d v="2024-09-02T00:00:00"/>
    <x v="4"/>
    <x v="5"/>
    <n v="19"/>
    <n v="208.72"/>
    <x v="3"/>
    <x v="1"/>
    <n v="0.05"/>
    <x v="2"/>
    <n v="3767.3960000000002"/>
    <x v="2"/>
    <s v="FREESHIP"/>
    <n v="0"/>
    <x v="203"/>
    <s v="Arjun Bhatia"/>
    <n v="38.409999999999997"/>
    <n v="198.28400000000002"/>
    <n v="3728.9860000000003"/>
    <d v="2024-09-02T00:00:00"/>
    <d v="2024-09-06T00:00:00"/>
    <s v="Wendy"/>
    <n v="2"/>
    <n v="9"/>
    <x v="11"/>
    <x v="1"/>
    <x v="3"/>
    <n v="36"/>
  </r>
  <r>
    <d v="2025-06-29T00:00:00"/>
    <x v="3"/>
    <x v="4"/>
    <n v="16"/>
    <n v="278.13"/>
    <x v="1"/>
    <x v="0"/>
    <n v="0.15"/>
    <x v="1"/>
    <n v="3782.5680000000002"/>
    <x v="4"/>
    <s v="SAVE10"/>
    <n v="0"/>
    <x v="204"/>
    <s v="Tanvi Yadav"/>
    <n v="24.29"/>
    <n v="236.41050000000001"/>
    <n v="3758.2780000000002"/>
    <d v="2025-06-29T00:00:00"/>
    <d v="2025-07-04T00:00:00"/>
    <s v="Cameron"/>
    <n v="29"/>
    <n v="6"/>
    <x v="3"/>
    <x v="2"/>
    <x v="2"/>
    <n v="26"/>
  </r>
  <r>
    <d v="2025-04-02T00:00:00"/>
    <x v="4"/>
    <x v="0"/>
    <n v="2"/>
    <n v="580.19000000000005"/>
    <x v="0"/>
    <x v="0"/>
    <n v="0.05"/>
    <x v="4"/>
    <n v="1102.3610000000001"/>
    <x v="3"/>
    <s v="WINTER15"/>
    <n v="0"/>
    <x v="205"/>
    <s v="Hina Ghosh"/>
    <n v="7.33"/>
    <n v="551.18050000000005"/>
    <n v="1095.0310000000002"/>
    <d v="2025-04-02T00:00:00"/>
    <d v="2025-04-08T00:00:00"/>
    <s v="Wendy"/>
    <n v="2"/>
    <n v="4"/>
    <x v="7"/>
    <x v="2"/>
    <x v="2"/>
    <n v="14"/>
  </r>
  <r>
    <d v="2023-04-27T00:00:00"/>
    <x v="3"/>
    <x v="5"/>
    <n v="8"/>
    <n v="536.42999999999995"/>
    <x v="0"/>
    <x v="1"/>
    <n v="0"/>
    <x v="3"/>
    <n v="4291.4399999999996"/>
    <x v="4"/>
    <s v="nan"/>
    <n v="1"/>
    <x v="206"/>
    <s v="Sai Menon"/>
    <n v="14.58"/>
    <n v="536.42999999999995"/>
    <n v="4276.8599999999997"/>
    <d v="2023-04-27T00:00:00"/>
    <d v="2023-05-07T00:00:00"/>
    <s v="Cameron"/>
    <n v="27"/>
    <n v="4"/>
    <x v="7"/>
    <x v="0"/>
    <x v="2"/>
    <n v="17"/>
  </r>
  <r>
    <d v="2024-08-07T00:00:00"/>
    <x v="0"/>
    <x v="1"/>
    <n v="1"/>
    <n v="94.33"/>
    <x v="1"/>
    <x v="0"/>
    <n v="0"/>
    <x v="3"/>
    <n v="94.33"/>
    <x v="0"/>
    <s v="nan"/>
    <n v="0"/>
    <x v="207"/>
    <s v="Aaliyah D'Souza"/>
    <n v="49.17"/>
    <n v="94.33"/>
    <n v="45.16"/>
    <d v="2024-08-07T00:00:00"/>
    <d v="2024-08-17T00:00:00"/>
    <s v="Eric"/>
    <n v="7"/>
    <n v="8"/>
    <x v="10"/>
    <x v="1"/>
    <x v="3"/>
    <n v="32"/>
  </r>
  <r>
    <d v="2023-04-15T00:00:00"/>
    <x v="4"/>
    <x v="0"/>
    <n v="16"/>
    <n v="489.94"/>
    <x v="2"/>
    <x v="1"/>
    <n v="0.1"/>
    <x v="2"/>
    <n v="7055.1360000000004"/>
    <x v="4"/>
    <s v="SAVE10"/>
    <n v="0"/>
    <x v="208"/>
    <s v="Krish Chopra"/>
    <n v="9.69"/>
    <n v="440.94600000000003"/>
    <n v="7045.4460000000008"/>
    <d v="2023-04-15T00:00:00"/>
    <d v="2023-04-25T00:00:00"/>
    <s v="Wendy"/>
    <n v="15"/>
    <n v="4"/>
    <x v="7"/>
    <x v="0"/>
    <x v="2"/>
    <n v="15"/>
  </r>
  <r>
    <d v="2023-08-12T00:00:00"/>
    <x v="1"/>
    <x v="2"/>
    <n v="4"/>
    <n v="551.71"/>
    <x v="1"/>
    <x v="1"/>
    <n v="0.05"/>
    <x v="0"/>
    <n v="2096.498"/>
    <x v="1"/>
    <s v="nan"/>
    <n v="1"/>
    <x v="209"/>
    <s v="Ira Syed"/>
    <n v="26.32"/>
    <n v="524.12450000000001"/>
    <n v="2070.1779999999999"/>
    <d v="2023-08-12T00:00:00"/>
    <d v="2023-08-15T00:00:00"/>
    <s v="Sophie"/>
    <n v="12"/>
    <n v="8"/>
    <x v="10"/>
    <x v="0"/>
    <x v="3"/>
    <n v="32"/>
  </r>
  <r>
    <d v="2023-06-19T00:00:00"/>
    <x v="4"/>
    <x v="6"/>
    <n v="17"/>
    <n v="595.57000000000005"/>
    <x v="3"/>
    <x v="1"/>
    <n v="0.15"/>
    <x v="5"/>
    <n v="8605.9865000000009"/>
    <x v="2"/>
    <s v="WINTER15"/>
    <n v="0"/>
    <x v="210"/>
    <s v="Pooja Srivastava"/>
    <n v="9.73"/>
    <n v="506.23450000000003"/>
    <n v="8596.2565000000013"/>
    <d v="2023-06-19T00:00:00"/>
    <d v="2023-06-28T00:00:00"/>
    <s v="Wendy"/>
    <n v="19"/>
    <n v="6"/>
    <x v="3"/>
    <x v="0"/>
    <x v="2"/>
    <n v="25"/>
  </r>
  <r>
    <d v="2023-12-29T00:00:00"/>
    <x v="0"/>
    <x v="6"/>
    <n v="1"/>
    <n v="180.12"/>
    <x v="1"/>
    <x v="0"/>
    <n v="0.1"/>
    <x v="0"/>
    <n v="162.108"/>
    <x v="3"/>
    <s v="nan"/>
    <n v="0"/>
    <x v="211"/>
    <s v="Ira Sharma"/>
    <n v="27.07"/>
    <n v="162.108"/>
    <n v="135.03800000000001"/>
    <d v="2023-12-29T00:00:00"/>
    <d v="2024-01-07T00:00:00"/>
    <s v="Eric"/>
    <n v="29"/>
    <n v="12"/>
    <x v="1"/>
    <x v="0"/>
    <x v="1"/>
    <n v="52"/>
  </r>
  <r>
    <d v="2023-03-26T00:00:00"/>
    <x v="0"/>
    <x v="2"/>
    <n v="12"/>
    <n v="301.5"/>
    <x v="3"/>
    <x v="1"/>
    <n v="0.15"/>
    <x v="5"/>
    <n v="3075.3"/>
    <x v="2"/>
    <s v="FREESHIP"/>
    <n v="1"/>
    <x v="212"/>
    <s v="Ankit Malik"/>
    <n v="43.67"/>
    <n v="256.27500000000003"/>
    <n v="3031.63"/>
    <d v="2023-03-26T00:00:00"/>
    <d v="2023-03-30T00:00:00"/>
    <s v="Eric"/>
    <n v="26"/>
    <n v="3"/>
    <x v="6"/>
    <x v="0"/>
    <x v="0"/>
    <n v="12"/>
  </r>
  <r>
    <d v="2023-09-01T00:00:00"/>
    <x v="1"/>
    <x v="1"/>
    <n v="20"/>
    <n v="273.55"/>
    <x v="3"/>
    <x v="1"/>
    <n v="0.15"/>
    <x v="2"/>
    <n v="4650.3499999999995"/>
    <x v="3"/>
    <s v="nan"/>
    <n v="0"/>
    <x v="213"/>
    <s v="Suresh Thakur"/>
    <n v="14.76"/>
    <n v="232.51749999999998"/>
    <n v="4635.5899999999992"/>
    <d v="2023-09-01T00:00:00"/>
    <d v="2023-09-07T00:00:00"/>
    <s v="Sophie"/>
    <n v="1"/>
    <n v="9"/>
    <x v="11"/>
    <x v="0"/>
    <x v="3"/>
    <n v="35"/>
  </r>
  <r>
    <d v="2024-08-05T00:00:00"/>
    <x v="4"/>
    <x v="5"/>
    <n v="6"/>
    <n v="187.06"/>
    <x v="0"/>
    <x v="0"/>
    <n v="0.1"/>
    <x v="2"/>
    <n v="1010.124"/>
    <x v="3"/>
    <s v="FREESHIP"/>
    <n v="0"/>
    <x v="214"/>
    <s v="Ira Joshi"/>
    <n v="11.03"/>
    <n v="168.35400000000001"/>
    <n v="999.09400000000005"/>
    <d v="2024-08-05T00:00:00"/>
    <d v="2024-08-13T00:00:00"/>
    <s v="Wendy"/>
    <n v="5"/>
    <n v="8"/>
    <x v="10"/>
    <x v="1"/>
    <x v="3"/>
    <n v="32"/>
  </r>
  <r>
    <d v="2025-01-23T00:00:00"/>
    <x v="2"/>
    <x v="3"/>
    <n v="16"/>
    <n v="562.52"/>
    <x v="3"/>
    <x v="1"/>
    <n v="0"/>
    <x v="2"/>
    <n v="9000.32"/>
    <x v="1"/>
    <s v="nan"/>
    <n v="0"/>
    <x v="215"/>
    <s v="Aryan Chopra"/>
    <n v="18.23"/>
    <n v="562.52"/>
    <n v="8982.09"/>
    <d v="2025-01-23T00:00:00"/>
    <d v="2025-01-27T00:00:00"/>
    <s v="Ryan"/>
    <n v="23"/>
    <n v="1"/>
    <x v="4"/>
    <x v="2"/>
    <x v="0"/>
    <n v="4"/>
  </r>
  <r>
    <d v="2023-05-16T00:00:00"/>
    <x v="0"/>
    <x v="5"/>
    <n v="4"/>
    <n v="85.16"/>
    <x v="3"/>
    <x v="0"/>
    <n v="0.1"/>
    <x v="3"/>
    <n v="306.57600000000002"/>
    <x v="2"/>
    <s v="nan"/>
    <n v="0"/>
    <x v="216"/>
    <s v="Isha Tiwari"/>
    <n v="38.51"/>
    <n v="76.644000000000005"/>
    <n v="268.06600000000003"/>
    <d v="2023-05-16T00:00:00"/>
    <d v="2023-05-23T00:00:00"/>
    <s v="Eric"/>
    <n v="16"/>
    <n v="5"/>
    <x v="2"/>
    <x v="0"/>
    <x v="2"/>
    <n v="20"/>
  </r>
  <r>
    <d v="2023-02-14T00:00:00"/>
    <x v="2"/>
    <x v="5"/>
    <n v="12"/>
    <n v="451.51"/>
    <x v="0"/>
    <x v="0"/>
    <n v="0.15"/>
    <x v="3"/>
    <n v="4605.402"/>
    <x v="0"/>
    <s v="WINTER15"/>
    <n v="0"/>
    <x v="217"/>
    <s v="Siddharth Pandey"/>
    <n v="9.5399999999999991"/>
    <n v="383.7835"/>
    <n v="4595.8620000000001"/>
    <d v="2023-02-14T00:00:00"/>
    <d v="2023-02-22T00:00:00"/>
    <s v="Ryan"/>
    <n v="14"/>
    <n v="2"/>
    <x v="0"/>
    <x v="0"/>
    <x v="0"/>
    <n v="7"/>
  </r>
  <r>
    <d v="2024-06-03T00:00:00"/>
    <x v="3"/>
    <x v="5"/>
    <n v="1"/>
    <n v="259.87"/>
    <x v="3"/>
    <x v="1"/>
    <n v="0.15"/>
    <x v="0"/>
    <n v="220.8895"/>
    <x v="1"/>
    <s v="FREESHIP"/>
    <n v="0"/>
    <x v="218"/>
    <s v="Kiara Saxena"/>
    <n v="19.2"/>
    <n v="220.8895"/>
    <n v="201.68950000000001"/>
    <d v="2024-06-03T00:00:00"/>
    <d v="2024-06-12T00:00:00"/>
    <s v="Cameron"/>
    <n v="3"/>
    <n v="6"/>
    <x v="3"/>
    <x v="1"/>
    <x v="2"/>
    <n v="23"/>
  </r>
  <r>
    <d v="2023-11-08T00:00:00"/>
    <x v="3"/>
    <x v="5"/>
    <n v="20"/>
    <n v="268.25"/>
    <x v="3"/>
    <x v="1"/>
    <n v="0.05"/>
    <x v="4"/>
    <n v="5096.75"/>
    <x v="4"/>
    <s v="FREESHIP"/>
    <n v="0"/>
    <x v="219"/>
    <s v="Myra Tripathi"/>
    <n v="20.96"/>
    <n v="254.83750000000001"/>
    <n v="5075.79"/>
    <d v="2023-11-08T00:00:00"/>
    <d v="2023-11-15T00:00:00"/>
    <s v="Cameron"/>
    <n v="8"/>
    <n v="11"/>
    <x v="9"/>
    <x v="0"/>
    <x v="1"/>
    <n v="45"/>
  </r>
  <r>
    <d v="2023-01-24T00:00:00"/>
    <x v="4"/>
    <x v="1"/>
    <n v="10"/>
    <n v="266.13"/>
    <x v="0"/>
    <x v="0"/>
    <n v="0"/>
    <x v="4"/>
    <n v="2661.3"/>
    <x v="1"/>
    <s v="WINTER15"/>
    <n v="0"/>
    <x v="220"/>
    <s v="Fatima Kulkarni"/>
    <n v="21.01"/>
    <n v="266.13"/>
    <n v="2640.29"/>
    <d v="2023-01-24T00:00:00"/>
    <d v="2023-01-26T00:00:00"/>
    <s v="Wendy"/>
    <n v="24"/>
    <n v="1"/>
    <x v="4"/>
    <x v="0"/>
    <x v="0"/>
    <n v="4"/>
  </r>
  <r>
    <d v="2025-03-20T00:00:00"/>
    <x v="4"/>
    <x v="0"/>
    <n v="18"/>
    <n v="493.06"/>
    <x v="3"/>
    <x v="0"/>
    <n v="0.05"/>
    <x v="4"/>
    <n v="8431.3259999999991"/>
    <x v="4"/>
    <s v="WINTER15"/>
    <n v="1"/>
    <x v="221"/>
    <s v="Manish Pai"/>
    <n v="46.87"/>
    <n v="468.40699999999993"/>
    <n v="8384.4559999999983"/>
    <d v="2025-03-20T00:00:00"/>
    <d v="2025-03-28T00:00:00"/>
    <s v="Wendy"/>
    <n v="20"/>
    <n v="3"/>
    <x v="6"/>
    <x v="2"/>
    <x v="0"/>
    <n v="12"/>
  </r>
  <r>
    <d v="2024-02-22T00:00:00"/>
    <x v="4"/>
    <x v="4"/>
    <n v="4"/>
    <n v="36.82"/>
    <x v="2"/>
    <x v="0"/>
    <n v="0.05"/>
    <x v="2"/>
    <n v="139.916"/>
    <x v="2"/>
    <s v="WINTER15"/>
    <n v="1"/>
    <x v="222"/>
    <s v="Laksh Yadav"/>
    <n v="24.86"/>
    <n v="34.978999999999999"/>
    <n v="115.056"/>
    <d v="2024-02-22T00:00:00"/>
    <d v="2024-03-01T00:00:00"/>
    <s v="Wendy"/>
    <n v="22"/>
    <n v="2"/>
    <x v="0"/>
    <x v="1"/>
    <x v="0"/>
    <n v="8"/>
  </r>
  <r>
    <d v="2025-04-02T00:00:00"/>
    <x v="2"/>
    <x v="6"/>
    <n v="12"/>
    <n v="413.45"/>
    <x v="3"/>
    <x v="1"/>
    <n v="0.15"/>
    <x v="5"/>
    <n v="4217.1899999999996"/>
    <x v="4"/>
    <s v="FREESHIP"/>
    <n v="0"/>
    <x v="223"/>
    <s v="Nazia Tiwari"/>
    <n v="23.25"/>
    <n v="351.43249999999995"/>
    <n v="4193.9399999999996"/>
    <d v="2025-04-02T00:00:00"/>
    <d v="2025-04-10T00:00:00"/>
    <s v="Ryan"/>
    <n v="2"/>
    <n v="4"/>
    <x v="7"/>
    <x v="2"/>
    <x v="2"/>
    <n v="14"/>
  </r>
  <r>
    <d v="2025-06-12T00:00:00"/>
    <x v="2"/>
    <x v="3"/>
    <n v="19"/>
    <n v="446.25"/>
    <x v="0"/>
    <x v="1"/>
    <n v="0.1"/>
    <x v="0"/>
    <n v="7630.875"/>
    <x v="1"/>
    <s v="nan"/>
    <n v="0"/>
    <x v="224"/>
    <s v="Myra Sharma"/>
    <n v="14.88"/>
    <n v="401.625"/>
    <n v="7615.9949999999999"/>
    <d v="2025-06-12T00:00:00"/>
    <d v="2025-06-18T00:00:00"/>
    <s v="Ryan"/>
    <n v="12"/>
    <n v="6"/>
    <x v="3"/>
    <x v="2"/>
    <x v="2"/>
    <n v="24"/>
  </r>
  <r>
    <d v="2023-05-13T00:00:00"/>
    <x v="0"/>
    <x v="0"/>
    <n v="7"/>
    <n v="82.77"/>
    <x v="3"/>
    <x v="0"/>
    <n v="0.15"/>
    <x v="2"/>
    <n v="492.48149999999998"/>
    <x v="3"/>
    <s v="SAVE10"/>
    <n v="1"/>
    <x v="225"/>
    <s v="Palak Roy"/>
    <n v="15.66"/>
    <n v="70.354500000000002"/>
    <n v="476.82149999999996"/>
    <d v="2023-05-13T00:00:00"/>
    <d v="2023-05-17T00:00:00"/>
    <s v="Eric"/>
    <n v="13"/>
    <n v="5"/>
    <x v="2"/>
    <x v="0"/>
    <x v="2"/>
    <n v="19"/>
  </r>
  <r>
    <d v="2023-03-25T00:00:00"/>
    <x v="1"/>
    <x v="2"/>
    <n v="17"/>
    <n v="339.88"/>
    <x v="1"/>
    <x v="1"/>
    <n v="0"/>
    <x v="1"/>
    <n v="5777.96"/>
    <x v="4"/>
    <s v="nan"/>
    <n v="0"/>
    <x v="226"/>
    <s v="Varun D'Souza"/>
    <n v="44.86"/>
    <n v="339.88"/>
    <n v="5733.1"/>
    <d v="2023-03-25T00:00:00"/>
    <d v="2023-03-28T00:00:00"/>
    <s v="Sophie"/>
    <n v="25"/>
    <n v="3"/>
    <x v="6"/>
    <x v="0"/>
    <x v="0"/>
    <n v="12"/>
  </r>
  <r>
    <d v="2024-11-22T00:00:00"/>
    <x v="1"/>
    <x v="6"/>
    <n v="19"/>
    <n v="364.32"/>
    <x v="0"/>
    <x v="1"/>
    <n v="0.15"/>
    <x v="2"/>
    <n v="5883.768"/>
    <x v="3"/>
    <s v="nan"/>
    <n v="1"/>
    <x v="227"/>
    <s v="Hina Saxena"/>
    <n v="39.76"/>
    <n v="309.67200000000003"/>
    <n v="5844.0079999999998"/>
    <d v="2024-11-22T00:00:00"/>
    <d v="2024-11-25T00:00:00"/>
    <s v="Sophie"/>
    <n v="22"/>
    <n v="11"/>
    <x v="9"/>
    <x v="1"/>
    <x v="1"/>
    <n v="47"/>
  </r>
  <r>
    <d v="2023-07-07T00:00:00"/>
    <x v="0"/>
    <x v="5"/>
    <n v="3"/>
    <n v="71.91"/>
    <x v="0"/>
    <x v="0"/>
    <n v="0"/>
    <x v="1"/>
    <n v="215.73"/>
    <x v="1"/>
    <s v="WINTER15"/>
    <n v="1"/>
    <x v="228"/>
    <s v="Charu Thomas"/>
    <n v="46.25"/>
    <n v="71.91"/>
    <n v="169.48"/>
    <d v="2023-07-07T00:00:00"/>
    <d v="2023-07-17T00:00:00"/>
    <s v="Eric"/>
    <n v="7"/>
    <n v="7"/>
    <x v="8"/>
    <x v="0"/>
    <x v="3"/>
    <n v="27"/>
  </r>
  <r>
    <d v="2024-10-05T00:00:00"/>
    <x v="0"/>
    <x v="5"/>
    <n v="20"/>
    <n v="576.29999999999995"/>
    <x v="3"/>
    <x v="0"/>
    <n v="0.05"/>
    <x v="0"/>
    <n v="10949.7"/>
    <x v="2"/>
    <s v="nan"/>
    <n v="0"/>
    <x v="229"/>
    <s v="Trisha Khanna"/>
    <n v="25.22"/>
    <n v="547.48500000000001"/>
    <n v="10924.480000000001"/>
    <d v="2024-10-05T00:00:00"/>
    <d v="2024-10-09T00:00:00"/>
    <s v="Eric"/>
    <n v="5"/>
    <n v="10"/>
    <x v="5"/>
    <x v="1"/>
    <x v="1"/>
    <n v="40"/>
  </r>
  <r>
    <d v="2024-03-31T00:00:00"/>
    <x v="4"/>
    <x v="0"/>
    <n v="7"/>
    <n v="120.6"/>
    <x v="0"/>
    <x v="0"/>
    <n v="0"/>
    <x v="4"/>
    <n v="844.19999999999993"/>
    <x v="0"/>
    <s v="WINTER15"/>
    <n v="0"/>
    <x v="230"/>
    <s v="Vikram Ansari"/>
    <n v="43.8"/>
    <n v="120.6"/>
    <n v="800.4"/>
    <d v="2024-03-31T00:00:00"/>
    <d v="2024-04-08T00:00:00"/>
    <s v="Wendy"/>
    <n v="31"/>
    <n v="3"/>
    <x v="6"/>
    <x v="1"/>
    <x v="0"/>
    <n v="13"/>
  </r>
  <r>
    <d v="2025-04-01T00:00:00"/>
    <x v="4"/>
    <x v="6"/>
    <n v="8"/>
    <n v="96.19"/>
    <x v="1"/>
    <x v="0"/>
    <n v="0.05"/>
    <x v="3"/>
    <n v="731.04399999999998"/>
    <x v="3"/>
    <s v="SAVE10"/>
    <n v="0"/>
    <x v="231"/>
    <s v="Harsh Desai"/>
    <n v="34.07"/>
    <n v="91.380499999999998"/>
    <n v="696.97399999999993"/>
    <d v="2025-04-01T00:00:00"/>
    <d v="2025-04-04T00:00:00"/>
    <s v="Wendy"/>
    <n v="1"/>
    <n v="4"/>
    <x v="7"/>
    <x v="2"/>
    <x v="2"/>
    <n v="14"/>
  </r>
  <r>
    <d v="2023-08-23T00:00:00"/>
    <x v="4"/>
    <x v="6"/>
    <n v="14"/>
    <n v="471.17"/>
    <x v="1"/>
    <x v="0"/>
    <n v="0.05"/>
    <x v="3"/>
    <n v="6266.5609999999997"/>
    <x v="1"/>
    <s v="FREESHIP"/>
    <n v="0"/>
    <x v="232"/>
    <s v="Ritika Syed"/>
    <n v="26.38"/>
    <n v="447.61149999999998"/>
    <n v="6240.1809999999996"/>
    <d v="2023-08-23T00:00:00"/>
    <d v="2023-08-26T00:00:00"/>
    <s v="Wendy"/>
    <n v="23"/>
    <n v="8"/>
    <x v="10"/>
    <x v="0"/>
    <x v="3"/>
    <n v="34"/>
  </r>
  <r>
    <d v="2024-08-14T00:00:00"/>
    <x v="1"/>
    <x v="1"/>
    <n v="20"/>
    <n v="14.33"/>
    <x v="3"/>
    <x v="0"/>
    <n v="0.1"/>
    <x v="3"/>
    <n v="257.94000000000011"/>
    <x v="3"/>
    <s v="nan"/>
    <n v="0"/>
    <x v="233"/>
    <s v="Rukhsar Bansal"/>
    <n v="6.22"/>
    <n v="12.897000000000006"/>
    <n v="251.72000000000011"/>
    <d v="2024-08-14T00:00:00"/>
    <d v="2024-08-21T00:00:00"/>
    <s v="Sophie"/>
    <n v="14"/>
    <n v="8"/>
    <x v="10"/>
    <x v="1"/>
    <x v="3"/>
    <n v="33"/>
  </r>
  <r>
    <d v="2025-02-14T00:00:00"/>
    <x v="3"/>
    <x v="5"/>
    <n v="18"/>
    <n v="499.61"/>
    <x v="0"/>
    <x v="1"/>
    <n v="0.15"/>
    <x v="1"/>
    <n v="7644.0329999999994"/>
    <x v="3"/>
    <s v="nan"/>
    <n v="0"/>
    <x v="234"/>
    <s v="Ananya Bose"/>
    <n v="9.64"/>
    <n v="424.66849999999999"/>
    <n v="7634.3929999999991"/>
    <d v="2025-02-14T00:00:00"/>
    <d v="2025-02-19T00:00:00"/>
    <s v="Cameron"/>
    <n v="14"/>
    <n v="2"/>
    <x v="0"/>
    <x v="2"/>
    <x v="0"/>
    <n v="7"/>
  </r>
  <r>
    <d v="2023-11-11T00:00:00"/>
    <x v="4"/>
    <x v="4"/>
    <n v="14"/>
    <n v="16.329999999999998"/>
    <x v="0"/>
    <x v="0"/>
    <n v="0.1"/>
    <x v="4"/>
    <n v="205.75800000000001"/>
    <x v="3"/>
    <s v="WINTER15"/>
    <n v="0"/>
    <x v="235"/>
    <s v="Manya Agarwal"/>
    <n v="22.72"/>
    <n v="14.697000000000001"/>
    <n v="183.03800000000001"/>
    <d v="2023-11-11T00:00:00"/>
    <d v="2023-11-16T00:00:00"/>
    <s v="Wendy"/>
    <n v="11"/>
    <n v="11"/>
    <x v="9"/>
    <x v="0"/>
    <x v="1"/>
    <n v="45"/>
  </r>
  <r>
    <d v="2024-04-01T00:00:00"/>
    <x v="3"/>
    <x v="2"/>
    <n v="17"/>
    <n v="480.62"/>
    <x v="2"/>
    <x v="0"/>
    <n v="0.15"/>
    <x v="3"/>
    <n v="6944.9589999999998"/>
    <x v="0"/>
    <s v="FREESHIP"/>
    <n v="0"/>
    <x v="236"/>
    <s v="Suresh Chawla"/>
    <n v="37.090000000000003"/>
    <n v="408.52699999999999"/>
    <n v="6907.8689999999997"/>
    <d v="2024-04-01T00:00:00"/>
    <d v="2024-04-09T00:00:00"/>
    <s v="Cameron"/>
    <n v="1"/>
    <n v="4"/>
    <x v="7"/>
    <x v="1"/>
    <x v="2"/>
    <n v="14"/>
  </r>
  <r>
    <d v="2024-06-13T00:00:00"/>
    <x v="1"/>
    <x v="3"/>
    <n v="5"/>
    <n v="555.84"/>
    <x v="2"/>
    <x v="1"/>
    <n v="0.05"/>
    <x v="4"/>
    <n v="2640.24"/>
    <x v="2"/>
    <s v="nan"/>
    <n v="0"/>
    <x v="237"/>
    <s v="Arjun Gupta"/>
    <n v="29.4"/>
    <n v="528.048"/>
    <n v="2610.8399999999997"/>
    <d v="2024-06-13T00:00:00"/>
    <d v="2024-06-20T00:00:00"/>
    <s v="Sophie"/>
    <n v="13"/>
    <n v="6"/>
    <x v="3"/>
    <x v="1"/>
    <x v="2"/>
    <n v="24"/>
  </r>
  <r>
    <d v="2023-11-28T00:00:00"/>
    <x v="2"/>
    <x v="3"/>
    <n v="18"/>
    <n v="174.03"/>
    <x v="0"/>
    <x v="0"/>
    <n v="0.1"/>
    <x v="2"/>
    <n v="2819.2860000000001"/>
    <x v="0"/>
    <s v="SAVE10"/>
    <n v="0"/>
    <x v="238"/>
    <s v="Yash Joseph"/>
    <n v="32.19"/>
    <n v="156.62700000000001"/>
    <n v="2787.096"/>
    <d v="2023-11-28T00:00:00"/>
    <d v="2023-12-03T00:00:00"/>
    <s v="Ryan"/>
    <n v="28"/>
    <n v="11"/>
    <x v="9"/>
    <x v="0"/>
    <x v="1"/>
    <n v="48"/>
  </r>
  <r>
    <d v="2024-11-11T00:00:00"/>
    <x v="3"/>
    <x v="2"/>
    <n v="11"/>
    <n v="286.05"/>
    <x v="1"/>
    <x v="1"/>
    <n v="0.1"/>
    <x v="5"/>
    <n v="2831.895"/>
    <x v="3"/>
    <s v="nan"/>
    <n v="1"/>
    <x v="239"/>
    <s v="Avni Pillai"/>
    <n v="8.59"/>
    <n v="257.44499999999999"/>
    <n v="2823.3049999999998"/>
    <d v="2024-11-11T00:00:00"/>
    <d v="2024-11-16T00:00:00"/>
    <s v="Cameron"/>
    <n v="11"/>
    <n v="11"/>
    <x v="9"/>
    <x v="1"/>
    <x v="1"/>
    <n v="46"/>
  </r>
  <r>
    <d v="2024-11-04T00:00:00"/>
    <x v="2"/>
    <x v="2"/>
    <n v="16"/>
    <n v="40.729999999999997"/>
    <x v="3"/>
    <x v="1"/>
    <n v="0"/>
    <x v="1"/>
    <n v="651.67999999999995"/>
    <x v="2"/>
    <s v="nan"/>
    <n v="0"/>
    <x v="240"/>
    <s v="Atharv Shaikh"/>
    <n v="24.72"/>
    <n v="40.729999999999997"/>
    <n v="626.95999999999992"/>
    <d v="2024-11-04T00:00:00"/>
    <d v="2024-11-08T00:00:00"/>
    <s v="Ryan"/>
    <n v="4"/>
    <n v="11"/>
    <x v="9"/>
    <x v="1"/>
    <x v="1"/>
    <n v="45"/>
  </r>
  <r>
    <d v="2023-01-01T00:00:00"/>
    <x v="3"/>
    <x v="3"/>
    <n v="11"/>
    <n v="468.22"/>
    <x v="3"/>
    <x v="1"/>
    <n v="0"/>
    <x v="3"/>
    <n v="5150.42"/>
    <x v="3"/>
    <s v="WINTER15"/>
    <n v="0"/>
    <x v="241"/>
    <s v="Myra Banerjee"/>
    <n v="19.920000000000002"/>
    <n v="468.22"/>
    <n v="5130.5"/>
    <d v="2023-01-01T00:00:00"/>
    <d v="2023-01-11T00:00:00"/>
    <s v="Cameron"/>
    <n v="1"/>
    <n v="1"/>
    <x v="4"/>
    <x v="0"/>
    <x v="0"/>
    <n v="52"/>
  </r>
  <r>
    <d v="2025-01-18T00:00:00"/>
    <x v="2"/>
    <x v="5"/>
    <n v="1"/>
    <n v="411.54"/>
    <x v="2"/>
    <x v="1"/>
    <n v="0.1"/>
    <x v="0"/>
    <n v="370.38600000000002"/>
    <x v="1"/>
    <s v="WINTER15"/>
    <n v="0"/>
    <x v="242"/>
    <s v="Riya Sharma"/>
    <n v="7.46"/>
    <n v="370.38600000000002"/>
    <n v="362.92600000000004"/>
    <d v="2025-01-18T00:00:00"/>
    <d v="2025-01-20T00:00:00"/>
    <s v="Ryan"/>
    <n v="18"/>
    <n v="1"/>
    <x v="4"/>
    <x v="2"/>
    <x v="0"/>
    <n v="3"/>
  </r>
  <r>
    <d v="2023-05-02T00:00:00"/>
    <x v="3"/>
    <x v="6"/>
    <n v="13"/>
    <n v="134.19999999999999"/>
    <x v="1"/>
    <x v="0"/>
    <n v="0.05"/>
    <x v="0"/>
    <n v="1657.37"/>
    <x v="2"/>
    <s v="WINTER15"/>
    <n v="0"/>
    <x v="243"/>
    <s v="Kavya Fernandes"/>
    <n v="9.6"/>
    <n v="127.49"/>
    <n v="1647.77"/>
    <d v="2023-05-02T00:00:00"/>
    <d v="2023-05-10T00:00:00"/>
    <s v="Cameron"/>
    <n v="2"/>
    <n v="5"/>
    <x v="2"/>
    <x v="0"/>
    <x v="2"/>
    <n v="18"/>
  </r>
  <r>
    <d v="2025-05-27T00:00:00"/>
    <x v="4"/>
    <x v="6"/>
    <n v="10"/>
    <n v="351.23"/>
    <x v="0"/>
    <x v="1"/>
    <n v="0.15"/>
    <x v="2"/>
    <n v="2985.4549999999999"/>
    <x v="0"/>
    <s v="nan"/>
    <n v="0"/>
    <x v="244"/>
    <s v="Devansh Yadav"/>
    <n v="42.74"/>
    <n v="298.5455"/>
    <n v="2942.7150000000001"/>
    <d v="2025-05-27T00:00:00"/>
    <d v="2025-06-02T00:00:00"/>
    <s v="Wendy"/>
    <n v="27"/>
    <n v="5"/>
    <x v="2"/>
    <x v="2"/>
    <x v="2"/>
    <n v="22"/>
  </r>
  <r>
    <d v="2024-12-27T00:00:00"/>
    <x v="1"/>
    <x v="4"/>
    <n v="14"/>
    <n v="551.14"/>
    <x v="2"/>
    <x v="0"/>
    <n v="0.1"/>
    <x v="4"/>
    <n v="6944.3639999999996"/>
    <x v="0"/>
    <s v="FREESHIP"/>
    <n v="1"/>
    <x v="245"/>
    <s v="Ankit Mathew"/>
    <n v="12.35"/>
    <n v="496.02599999999995"/>
    <n v="6932.0139999999992"/>
    <d v="2024-12-27T00:00:00"/>
    <d v="2025-01-05T00:00:00"/>
    <s v="Sophie"/>
    <n v="27"/>
    <n v="12"/>
    <x v="1"/>
    <x v="1"/>
    <x v="1"/>
    <n v="52"/>
  </r>
  <r>
    <d v="2025-03-18T00:00:00"/>
    <x v="4"/>
    <x v="3"/>
    <n v="2"/>
    <n v="131.13"/>
    <x v="0"/>
    <x v="1"/>
    <n v="0.1"/>
    <x v="0"/>
    <n v="236.03399999999999"/>
    <x v="3"/>
    <s v="nan"/>
    <n v="0"/>
    <x v="246"/>
    <s v="Karan Banerjee"/>
    <n v="14.74"/>
    <n v="118.017"/>
    <n v="221.29399999999998"/>
    <d v="2025-03-18T00:00:00"/>
    <d v="2025-03-24T00:00:00"/>
    <s v="Wendy"/>
    <n v="18"/>
    <n v="3"/>
    <x v="6"/>
    <x v="2"/>
    <x v="0"/>
    <n v="12"/>
  </r>
  <r>
    <d v="2024-03-24T00:00:00"/>
    <x v="0"/>
    <x v="0"/>
    <n v="6"/>
    <n v="595.11"/>
    <x v="2"/>
    <x v="0"/>
    <n v="0"/>
    <x v="4"/>
    <n v="3570.66"/>
    <x v="4"/>
    <s v="SAVE10"/>
    <n v="1"/>
    <x v="247"/>
    <s v="Isha Joseph"/>
    <n v="28.92"/>
    <n v="595.11"/>
    <n v="3541.74"/>
    <d v="2024-03-24T00:00:00"/>
    <d v="2024-03-31T00:00:00"/>
    <s v="Eric"/>
    <n v="24"/>
    <n v="3"/>
    <x v="6"/>
    <x v="1"/>
    <x v="0"/>
    <n v="12"/>
  </r>
  <r>
    <d v="2024-12-26T00:00:00"/>
    <x v="0"/>
    <x v="0"/>
    <n v="6"/>
    <n v="516.66"/>
    <x v="2"/>
    <x v="0"/>
    <n v="0.05"/>
    <x v="5"/>
    <n v="2944.962"/>
    <x v="0"/>
    <s v="nan"/>
    <n v="1"/>
    <x v="248"/>
    <s v="Meera Mathew"/>
    <n v="5.15"/>
    <n v="490.827"/>
    <n v="2939.8119999999999"/>
    <d v="2024-12-26T00:00:00"/>
    <d v="2025-01-03T00:00:00"/>
    <s v="Eric"/>
    <n v="26"/>
    <n v="12"/>
    <x v="1"/>
    <x v="1"/>
    <x v="1"/>
    <n v="52"/>
  </r>
  <r>
    <d v="2023-01-11T00:00:00"/>
    <x v="2"/>
    <x v="2"/>
    <n v="6"/>
    <n v="202.57"/>
    <x v="3"/>
    <x v="1"/>
    <n v="0.05"/>
    <x v="0"/>
    <n v="1154.6489999999999"/>
    <x v="1"/>
    <s v="FREESHIP"/>
    <n v="0"/>
    <x v="249"/>
    <s v="Ashwin Chopra"/>
    <n v="24.39"/>
    <n v="192.44149999999999"/>
    <n v="1130.2589999999998"/>
    <d v="2023-01-11T00:00:00"/>
    <d v="2023-01-14T00:00:00"/>
    <s v="Ryan"/>
    <n v="11"/>
    <n v="1"/>
    <x v="4"/>
    <x v="0"/>
    <x v="0"/>
    <n v="2"/>
  </r>
  <r>
    <d v="2025-06-01T00:00:00"/>
    <x v="1"/>
    <x v="0"/>
    <n v="13"/>
    <n v="306.16000000000003"/>
    <x v="1"/>
    <x v="0"/>
    <n v="0.15"/>
    <x v="2"/>
    <n v="3383.0680000000002"/>
    <x v="4"/>
    <s v="SAVE10"/>
    <n v="0"/>
    <x v="250"/>
    <s v="Trisha Pathan"/>
    <n v="25.16"/>
    <n v="260.23599999999999"/>
    <n v="3357.9080000000004"/>
    <d v="2025-06-01T00:00:00"/>
    <d v="2025-06-10T00:00:00"/>
    <s v="Sophie"/>
    <n v="1"/>
    <n v="6"/>
    <x v="3"/>
    <x v="2"/>
    <x v="2"/>
    <n v="22"/>
  </r>
  <r>
    <d v="2024-09-26T00:00:00"/>
    <x v="0"/>
    <x v="2"/>
    <n v="11"/>
    <n v="472.74"/>
    <x v="3"/>
    <x v="1"/>
    <n v="0.15"/>
    <x v="3"/>
    <n v="4420.1190000000006"/>
    <x v="2"/>
    <s v="nan"/>
    <n v="1"/>
    <x v="251"/>
    <s v="Raina George"/>
    <n v="16.8"/>
    <n v="401.82900000000006"/>
    <n v="4403.3190000000004"/>
    <d v="2024-09-26T00:00:00"/>
    <d v="2024-10-01T00:00:00"/>
    <s v="Eric"/>
    <n v="26"/>
    <n v="9"/>
    <x v="11"/>
    <x v="1"/>
    <x v="3"/>
    <n v="39"/>
  </r>
  <r>
    <d v="2024-08-10T00:00:00"/>
    <x v="0"/>
    <x v="1"/>
    <n v="20"/>
    <n v="337.37"/>
    <x v="2"/>
    <x v="1"/>
    <n v="0.1"/>
    <x v="4"/>
    <n v="6072.66"/>
    <x v="1"/>
    <s v="nan"/>
    <n v="0"/>
    <x v="252"/>
    <s v="Aman Ansari"/>
    <n v="43.17"/>
    <n v="303.63299999999998"/>
    <n v="6029.49"/>
    <d v="2024-08-10T00:00:00"/>
    <d v="2024-08-17T00:00:00"/>
    <s v="Eric"/>
    <n v="10"/>
    <n v="8"/>
    <x v="10"/>
    <x v="1"/>
    <x v="3"/>
    <n v="32"/>
  </r>
  <r>
    <d v="2025-03-02T00:00:00"/>
    <x v="1"/>
    <x v="1"/>
    <n v="12"/>
    <n v="34.24"/>
    <x v="2"/>
    <x v="1"/>
    <n v="0.1"/>
    <x v="2"/>
    <n v="369.79199999999997"/>
    <x v="4"/>
    <s v="nan"/>
    <n v="0"/>
    <x v="253"/>
    <s v="Mitali Ghosh"/>
    <n v="17.64"/>
    <n v="30.815999999999999"/>
    <n v="352.15199999999999"/>
    <d v="2025-03-02T00:00:00"/>
    <d v="2025-03-10T00:00:00"/>
    <s v="Sophie"/>
    <n v="2"/>
    <n v="3"/>
    <x v="6"/>
    <x v="2"/>
    <x v="0"/>
    <n v="9"/>
  </r>
  <r>
    <d v="2023-02-21T00:00:00"/>
    <x v="0"/>
    <x v="5"/>
    <n v="4"/>
    <n v="477.05"/>
    <x v="0"/>
    <x v="0"/>
    <n v="0"/>
    <x v="3"/>
    <n v="1908.2"/>
    <x v="2"/>
    <s v="WINTER15"/>
    <n v="0"/>
    <x v="254"/>
    <s v="Diya Sen"/>
    <n v="45.54"/>
    <n v="477.05"/>
    <n v="1862.66"/>
    <d v="2023-02-21T00:00:00"/>
    <d v="2023-03-02T00:00:00"/>
    <s v="Eric"/>
    <n v="21"/>
    <n v="2"/>
    <x v="0"/>
    <x v="0"/>
    <x v="0"/>
    <n v="8"/>
  </r>
  <r>
    <d v="2024-11-20T00:00:00"/>
    <x v="0"/>
    <x v="0"/>
    <n v="6"/>
    <n v="562.92999999999995"/>
    <x v="2"/>
    <x v="1"/>
    <n v="0"/>
    <x v="1"/>
    <n v="3377.58"/>
    <x v="2"/>
    <s v="WINTER15"/>
    <n v="0"/>
    <x v="255"/>
    <s v="Ankit Khan"/>
    <n v="43.73"/>
    <n v="562.92999999999995"/>
    <n v="3333.85"/>
    <d v="2024-11-20T00:00:00"/>
    <d v="2024-11-27T00:00:00"/>
    <s v="Eric"/>
    <n v="20"/>
    <n v="11"/>
    <x v="9"/>
    <x v="1"/>
    <x v="1"/>
    <n v="47"/>
  </r>
  <r>
    <d v="2023-08-26T00:00:00"/>
    <x v="0"/>
    <x v="3"/>
    <n v="20"/>
    <n v="18.29"/>
    <x v="0"/>
    <x v="1"/>
    <n v="0"/>
    <x v="4"/>
    <n v="365.8"/>
    <x v="3"/>
    <s v="FREESHIP"/>
    <n v="1"/>
    <x v="256"/>
    <s v="Aisha Sen"/>
    <n v="35.369999999999997"/>
    <n v="18.29"/>
    <n v="330.43"/>
    <d v="2023-08-26T00:00:00"/>
    <d v="2023-08-29T00:00:00"/>
    <s v="Eric"/>
    <n v="26"/>
    <n v="8"/>
    <x v="10"/>
    <x v="0"/>
    <x v="3"/>
    <n v="34"/>
  </r>
  <r>
    <d v="2024-01-01T00:00:00"/>
    <x v="1"/>
    <x v="4"/>
    <n v="7"/>
    <n v="208.86"/>
    <x v="0"/>
    <x v="1"/>
    <n v="0"/>
    <x v="2"/>
    <n v="1462.02"/>
    <x v="4"/>
    <s v="FREESHIP"/>
    <n v="0"/>
    <x v="257"/>
    <s v="Trisha Malhotra"/>
    <n v="20.64"/>
    <n v="208.85999999999999"/>
    <n v="1441.3799999999999"/>
    <d v="2024-01-01T00:00:00"/>
    <d v="2024-01-08T00:00:00"/>
    <s v="Sophie"/>
    <n v="1"/>
    <n v="1"/>
    <x v="4"/>
    <x v="1"/>
    <x v="0"/>
    <n v="1"/>
  </r>
  <r>
    <d v="2024-11-24T00:00:00"/>
    <x v="1"/>
    <x v="6"/>
    <n v="12"/>
    <n v="330.36"/>
    <x v="3"/>
    <x v="1"/>
    <n v="0.05"/>
    <x v="4"/>
    <n v="3766.1039999999998"/>
    <x v="4"/>
    <s v="WINTER15"/>
    <n v="0"/>
    <x v="258"/>
    <s v="Ritika Bose"/>
    <n v="48.33"/>
    <n v="313.84199999999998"/>
    <n v="3717.7739999999999"/>
    <d v="2024-11-24T00:00:00"/>
    <d v="2024-11-30T00:00:00"/>
    <s v="Sophie"/>
    <n v="24"/>
    <n v="11"/>
    <x v="9"/>
    <x v="1"/>
    <x v="1"/>
    <n v="47"/>
  </r>
  <r>
    <d v="2024-08-25T00:00:00"/>
    <x v="1"/>
    <x v="5"/>
    <n v="7"/>
    <n v="50.26"/>
    <x v="2"/>
    <x v="1"/>
    <n v="0.15"/>
    <x v="4"/>
    <n v="299.04700000000003"/>
    <x v="4"/>
    <s v="nan"/>
    <n v="0"/>
    <x v="259"/>
    <s v="Neha Bansal"/>
    <n v="17.12"/>
    <n v="42.721000000000004"/>
    <n v="281.92700000000002"/>
    <d v="2024-08-25T00:00:00"/>
    <d v="2024-09-01T00:00:00"/>
    <s v="Sophie"/>
    <n v="25"/>
    <n v="8"/>
    <x v="10"/>
    <x v="1"/>
    <x v="3"/>
    <n v="34"/>
  </r>
  <r>
    <d v="2023-06-10T00:00:00"/>
    <x v="1"/>
    <x v="0"/>
    <n v="2"/>
    <n v="374.59"/>
    <x v="2"/>
    <x v="0"/>
    <n v="0.15"/>
    <x v="3"/>
    <n v="636.803"/>
    <x v="0"/>
    <s v="SAVE10"/>
    <n v="0"/>
    <x v="260"/>
    <s v="Kabir Hussain"/>
    <n v="34.64"/>
    <n v="318.4015"/>
    <n v="602.16300000000001"/>
    <d v="2023-06-10T00:00:00"/>
    <d v="2023-06-18T00:00:00"/>
    <s v="Sophie"/>
    <n v="10"/>
    <n v="6"/>
    <x v="3"/>
    <x v="0"/>
    <x v="2"/>
    <n v="23"/>
  </r>
  <r>
    <d v="2024-12-18T00:00:00"/>
    <x v="2"/>
    <x v="6"/>
    <n v="7"/>
    <n v="467.6"/>
    <x v="1"/>
    <x v="1"/>
    <n v="0.1"/>
    <x v="3"/>
    <n v="2945.88"/>
    <x v="3"/>
    <s v="nan"/>
    <n v="0"/>
    <x v="261"/>
    <s v="Priya Shah"/>
    <n v="15.64"/>
    <n v="420.84000000000003"/>
    <n v="2930.2400000000002"/>
    <d v="2024-12-18T00:00:00"/>
    <d v="2024-12-26T00:00:00"/>
    <s v="Ryan"/>
    <n v="18"/>
    <n v="12"/>
    <x v="1"/>
    <x v="1"/>
    <x v="1"/>
    <n v="51"/>
  </r>
  <r>
    <d v="2023-08-28T00:00:00"/>
    <x v="0"/>
    <x v="3"/>
    <n v="3"/>
    <n v="376.24"/>
    <x v="1"/>
    <x v="1"/>
    <n v="0.05"/>
    <x v="2"/>
    <n v="1072.2840000000001"/>
    <x v="3"/>
    <s v="FREESHIP"/>
    <n v="1"/>
    <x v="262"/>
    <s v="Simran Mishra"/>
    <n v="6.15"/>
    <n v="357.42800000000005"/>
    <n v="1066.134"/>
    <d v="2023-08-28T00:00:00"/>
    <d v="2023-09-01T00:00:00"/>
    <s v="Eric"/>
    <n v="28"/>
    <n v="8"/>
    <x v="10"/>
    <x v="0"/>
    <x v="3"/>
    <n v="35"/>
  </r>
  <r>
    <d v="2023-01-22T00:00:00"/>
    <x v="4"/>
    <x v="1"/>
    <n v="13"/>
    <n v="140.49"/>
    <x v="1"/>
    <x v="1"/>
    <n v="0"/>
    <x v="0"/>
    <n v="1826.37"/>
    <x v="3"/>
    <s v="SAVE10"/>
    <n v="0"/>
    <x v="263"/>
    <s v="Atharv Kaur"/>
    <n v="17.690000000000001"/>
    <n v="140.48999999999998"/>
    <n v="1808.6799999999998"/>
    <d v="2023-01-22T00:00:00"/>
    <d v="2023-01-31T00:00:00"/>
    <s v="Wendy"/>
    <n v="22"/>
    <n v="1"/>
    <x v="4"/>
    <x v="0"/>
    <x v="0"/>
    <n v="3"/>
  </r>
  <r>
    <d v="2023-02-07T00:00:00"/>
    <x v="2"/>
    <x v="4"/>
    <n v="3"/>
    <n v="506.33"/>
    <x v="0"/>
    <x v="1"/>
    <n v="0.15"/>
    <x v="2"/>
    <n v="1291.1415"/>
    <x v="3"/>
    <s v="FREESHIP"/>
    <n v="0"/>
    <x v="264"/>
    <s v="Tanishq Joshi"/>
    <n v="25.71"/>
    <n v="430.38049999999998"/>
    <n v="1265.4314999999999"/>
    <d v="2023-02-07T00:00:00"/>
    <d v="2023-02-14T00:00:00"/>
    <s v="Ryan"/>
    <n v="7"/>
    <n v="2"/>
    <x v="0"/>
    <x v="0"/>
    <x v="0"/>
    <n v="6"/>
  </r>
  <r>
    <d v="2023-11-22T00:00:00"/>
    <x v="1"/>
    <x v="4"/>
    <n v="8"/>
    <n v="138.72999999999999"/>
    <x v="1"/>
    <x v="0"/>
    <n v="0.05"/>
    <x v="2"/>
    <n v="1054.348"/>
    <x v="0"/>
    <s v="WINTER15"/>
    <n v="1"/>
    <x v="265"/>
    <s v="Avni Shetty"/>
    <n v="48.51"/>
    <n v="131.79349999999999"/>
    <n v="1005.838"/>
    <d v="2023-11-22T00:00:00"/>
    <d v="2023-11-29T00:00:00"/>
    <s v="Sophie"/>
    <n v="22"/>
    <n v="11"/>
    <x v="9"/>
    <x v="0"/>
    <x v="1"/>
    <n v="47"/>
  </r>
  <r>
    <d v="2023-01-25T00:00:00"/>
    <x v="4"/>
    <x v="2"/>
    <n v="6"/>
    <n v="134.53"/>
    <x v="2"/>
    <x v="1"/>
    <n v="0.15"/>
    <x v="3"/>
    <n v="686.10300000000007"/>
    <x v="3"/>
    <s v="FREESHIP"/>
    <n v="1"/>
    <x v="266"/>
    <s v="Aryan Hussain"/>
    <n v="33.5"/>
    <n v="114.35050000000001"/>
    <n v="652.60300000000007"/>
    <d v="2023-01-25T00:00:00"/>
    <d v="2023-01-29T00:00:00"/>
    <s v="Wendy"/>
    <n v="25"/>
    <n v="1"/>
    <x v="4"/>
    <x v="0"/>
    <x v="0"/>
    <n v="4"/>
  </r>
  <r>
    <d v="2025-03-05T00:00:00"/>
    <x v="1"/>
    <x v="5"/>
    <n v="18"/>
    <n v="375.96"/>
    <x v="3"/>
    <x v="0"/>
    <n v="0.05"/>
    <x v="4"/>
    <n v="6428.9159999999993"/>
    <x v="3"/>
    <s v="SAVE10"/>
    <n v="0"/>
    <x v="267"/>
    <s v="Charu Pai"/>
    <n v="26.78"/>
    <n v="357.16199999999998"/>
    <n v="6402.1359999999995"/>
    <d v="2025-03-05T00:00:00"/>
    <d v="2025-03-09T00:00:00"/>
    <s v="Sophie"/>
    <n v="5"/>
    <n v="3"/>
    <x v="6"/>
    <x v="2"/>
    <x v="0"/>
    <n v="10"/>
  </r>
  <r>
    <d v="2023-02-02T00:00:00"/>
    <x v="2"/>
    <x v="6"/>
    <n v="10"/>
    <n v="538.47"/>
    <x v="3"/>
    <x v="1"/>
    <n v="0.1"/>
    <x v="5"/>
    <n v="4846.2299999999996"/>
    <x v="1"/>
    <s v="WINTER15"/>
    <n v="1"/>
    <x v="268"/>
    <s v="Rahul Arora"/>
    <n v="17.25"/>
    <n v="484.62299999999993"/>
    <n v="4828.9799999999996"/>
    <d v="2023-02-02T00:00:00"/>
    <d v="2023-02-12T00:00:00"/>
    <s v="Ryan"/>
    <n v="2"/>
    <n v="2"/>
    <x v="0"/>
    <x v="0"/>
    <x v="0"/>
    <n v="5"/>
  </r>
  <r>
    <d v="2023-05-24T00:00:00"/>
    <x v="2"/>
    <x v="5"/>
    <n v="15"/>
    <n v="505.44"/>
    <x v="1"/>
    <x v="0"/>
    <n v="0.1"/>
    <x v="1"/>
    <n v="6823.4400000000014"/>
    <x v="0"/>
    <s v="SAVE10"/>
    <n v="0"/>
    <x v="269"/>
    <s v="Avni Srivastava"/>
    <n v="37.5"/>
    <n v="454.89600000000007"/>
    <n v="6785.9400000000014"/>
    <d v="2023-05-24T00:00:00"/>
    <d v="2023-06-01T00:00:00"/>
    <s v="Ryan"/>
    <n v="24"/>
    <n v="5"/>
    <x v="2"/>
    <x v="0"/>
    <x v="2"/>
    <n v="21"/>
  </r>
  <r>
    <d v="2024-05-30T00:00:00"/>
    <x v="1"/>
    <x v="6"/>
    <n v="4"/>
    <n v="312.08999999999997"/>
    <x v="2"/>
    <x v="0"/>
    <n v="0.15"/>
    <x v="4"/>
    <n v="1061.106"/>
    <x v="3"/>
    <s v="SAVE10"/>
    <n v="1"/>
    <x v="270"/>
    <s v="Hina Singh"/>
    <n v="17.989999999999998"/>
    <n v="265.2765"/>
    <n v="1043.116"/>
    <d v="2024-05-30T00:00:00"/>
    <d v="2024-06-06T00:00:00"/>
    <s v="Sophie"/>
    <n v="30"/>
    <n v="5"/>
    <x v="2"/>
    <x v="1"/>
    <x v="2"/>
    <n v="22"/>
  </r>
  <r>
    <d v="2024-01-23T00:00:00"/>
    <x v="4"/>
    <x v="2"/>
    <n v="15"/>
    <n v="579.58000000000004"/>
    <x v="2"/>
    <x v="1"/>
    <n v="0.15"/>
    <x v="0"/>
    <n v="7389.6450000000004"/>
    <x v="2"/>
    <s v="nan"/>
    <n v="0"/>
    <x v="271"/>
    <s v="Sara Dubey"/>
    <n v="31.22"/>
    <n v="492.64300000000003"/>
    <n v="7358.4250000000002"/>
    <d v="2024-01-23T00:00:00"/>
    <d v="2024-01-31T00:00:00"/>
    <s v="Wendy"/>
    <n v="23"/>
    <n v="1"/>
    <x v="4"/>
    <x v="1"/>
    <x v="0"/>
    <n v="4"/>
  </r>
  <r>
    <d v="2023-02-06T00:00:00"/>
    <x v="2"/>
    <x v="3"/>
    <n v="10"/>
    <n v="217.43"/>
    <x v="1"/>
    <x v="1"/>
    <n v="0.15"/>
    <x v="5"/>
    <n v="1848.155"/>
    <x v="2"/>
    <s v="FREESHIP"/>
    <n v="0"/>
    <x v="272"/>
    <s v="Abhishek Sharma"/>
    <n v="33.14"/>
    <n v="184.81549999999999"/>
    <n v="1815.0149999999999"/>
    <d v="2023-02-06T00:00:00"/>
    <d v="2023-02-15T00:00:00"/>
    <s v="Ryan"/>
    <n v="6"/>
    <n v="2"/>
    <x v="0"/>
    <x v="0"/>
    <x v="0"/>
    <n v="6"/>
  </r>
  <r>
    <d v="2024-07-15T00:00:00"/>
    <x v="4"/>
    <x v="1"/>
    <n v="15"/>
    <n v="476.15"/>
    <x v="0"/>
    <x v="0"/>
    <n v="0.05"/>
    <x v="3"/>
    <n v="6785.1374999999998"/>
    <x v="0"/>
    <s v="SAVE10"/>
    <n v="0"/>
    <x v="273"/>
    <s v="Om Tiwari"/>
    <n v="24.48"/>
    <n v="452.34249999999997"/>
    <n v="6760.6575000000003"/>
    <d v="2024-07-15T00:00:00"/>
    <d v="2024-07-19T00:00:00"/>
    <s v="Wendy"/>
    <n v="15"/>
    <n v="7"/>
    <x v="8"/>
    <x v="1"/>
    <x v="3"/>
    <n v="29"/>
  </r>
  <r>
    <d v="2025-03-06T00:00:00"/>
    <x v="0"/>
    <x v="3"/>
    <n v="5"/>
    <n v="89.03"/>
    <x v="2"/>
    <x v="0"/>
    <n v="0.1"/>
    <x v="2"/>
    <n v="400.63499999999999"/>
    <x v="3"/>
    <s v="WINTER15"/>
    <n v="0"/>
    <x v="274"/>
    <s v="Atharv Pai"/>
    <n v="22.42"/>
    <n v="80.126999999999995"/>
    <n v="378.21499999999997"/>
    <d v="2025-03-06T00:00:00"/>
    <d v="2025-03-16T00:00:00"/>
    <s v="Eric"/>
    <n v="6"/>
    <n v="3"/>
    <x v="6"/>
    <x v="2"/>
    <x v="0"/>
    <n v="10"/>
  </r>
  <r>
    <d v="2023-07-29T00:00:00"/>
    <x v="3"/>
    <x v="1"/>
    <n v="17"/>
    <n v="6.88"/>
    <x v="1"/>
    <x v="1"/>
    <n v="0.1"/>
    <x v="2"/>
    <n v="105.264"/>
    <x v="1"/>
    <s v="nan"/>
    <n v="0"/>
    <x v="275"/>
    <s v="Kunal Hussain"/>
    <n v="42.37"/>
    <n v="6.1920000000000002"/>
    <n v="62.893999999999998"/>
    <d v="2023-07-29T00:00:00"/>
    <d v="2023-08-08T00:00:00"/>
    <s v="Cameron"/>
    <n v="29"/>
    <n v="7"/>
    <x v="8"/>
    <x v="0"/>
    <x v="3"/>
    <n v="30"/>
  </r>
  <r>
    <d v="2023-07-26T00:00:00"/>
    <x v="2"/>
    <x v="6"/>
    <n v="6"/>
    <n v="355.26"/>
    <x v="3"/>
    <x v="1"/>
    <n v="0.1"/>
    <x v="5"/>
    <n v="1918.404"/>
    <x v="0"/>
    <s v="WINTER15"/>
    <n v="0"/>
    <x v="276"/>
    <s v="Sana Agarwal"/>
    <n v="30.49"/>
    <n v="319.73399999999998"/>
    <n v="1887.914"/>
    <d v="2023-07-26T00:00:00"/>
    <d v="2023-07-29T00:00:00"/>
    <s v="Ryan"/>
    <n v="26"/>
    <n v="7"/>
    <x v="8"/>
    <x v="0"/>
    <x v="3"/>
    <n v="30"/>
  </r>
  <r>
    <d v="2024-04-10T00:00:00"/>
    <x v="4"/>
    <x v="5"/>
    <n v="8"/>
    <n v="294.76"/>
    <x v="2"/>
    <x v="1"/>
    <n v="0.1"/>
    <x v="4"/>
    <n v="2122.2719999999999"/>
    <x v="0"/>
    <s v="SAVE10"/>
    <n v="0"/>
    <x v="277"/>
    <s v="Gaurav Agarwal"/>
    <n v="36.04"/>
    <n v="265.28399999999999"/>
    <n v="2086.232"/>
    <d v="2024-04-10T00:00:00"/>
    <d v="2024-04-13T00:00:00"/>
    <s v="Wendy"/>
    <n v="10"/>
    <n v="4"/>
    <x v="7"/>
    <x v="1"/>
    <x v="2"/>
    <n v="15"/>
  </r>
  <r>
    <d v="2025-01-24T00:00:00"/>
    <x v="2"/>
    <x v="2"/>
    <n v="16"/>
    <n v="60.69"/>
    <x v="1"/>
    <x v="0"/>
    <n v="0"/>
    <x v="3"/>
    <n v="971.04"/>
    <x v="2"/>
    <s v="WINTER15"/>
    <n v="0"/>
    <x v="278"/>
    <s v="Neha D'Souza"/>
    <n v="7.03"/>
    <n v="60.69"/>
    <n v="964.01"/>
    <d v="2025-01-24T00:00:00"/>
    <d v="2025-01-27T00:00:00"/>
    <s v="Ryan"/>
    <n v="24"/>
    <n v="1"/>
    <x v="4"/>
    <x v="2"/>
    <x v="0"/>
    <n v="4"/>
  </r>
  <r>
    <d v="2025-04-27T00:00:00"/>
    <x v="4"/>
    <x v="0"/>
    <n v="2"/>
    <n v="559.63"/>
    <x v="0"/>
    <x v="0"/>
    <n v="0.1"/>
    <x v="4"/>
    <n v="1007.3339999999999"/>
    <x v="2"/>
    <s v="WINTER15"/>
    <n v="1"/>
    <x v="279"/>
    <s v="Gaurav Mehta"/>
    <n v="42.34"/>
    <n v="503.66699999999997"/>
    <n v="964.99399999999991"/>
    <d v="2025-04-27T00:00:00"/>
    <d v="2025-05-03T00:00:00"/>
    <s v="Wendy"/>
    <n v="27"/>
    <n v="4"/>
    <x v="7"/>
    <x v="2"/>
    <x v="2"/>
    <n v="17"/>
  </r>
  <r>
    <d v="2025-02-20T00:00:00"/>
    <x v="0"/>
    <x v="1"/>
    <n v="4"/>
    <n v="232.66"/>
    <x v="0"/>
    <x v="0"/>
    <n v="0.1"/>
    <x v="2"/>
    <n v="837.57600000000002"/>
    <x v="0"/>
    <s v="WINTER15"/>
    <n v="0"/>
    <x v="280"/>
    <s v="Atharv Bhargava"/>
    <n v="11.88"/>
    <n v="209.39400000000001"/>
    <n v="825.69600000000003"/>
    <d v="2025-02-20T00:00:00"/>
    <d v="2025-02-23T00:00:00"/>
    <s v="Eric"/>
    <n v="20"/>
    <n v="2"/>
    <x v="0"/>
    <x v="2"/>
    <x v="0"/>
    <n v="8"/>
  </r>
  <r>
    <d v="2023-09-14T00:00:00"/>
    <x v="2"/>
    <x v="6"/>
    <n v="10"/>
    <n v="230.87"/>
    <x v="1"/>
    <x v="1"/>
    <n v="0.15"/>
    <x v="5"/>
    <n v="1962.395"/>
    <x v="3"/>
    <s v="SAVE10"/>
    <n v="0"/>
    <x v="281"/>
    <s v="Myra Vora"/>
    <n v="28.33"/>
    <n v="196.23949999999999"/>
    <n v="1934.0650000000001"/>
    <d v="2023-09-14T00:00:00"/>
    <d v="2023-09-19T00:00:00"/>
    <s v="Ryan"/>
    <n v="14"/>
    <n v="9"/>
    <x v="11"/>
    <x v="0"/>
    <x v="3"/>
    <n v="37"/>
  </r>
  <r>
    <d v="2024-04-17T00:00:00"/>
    <x v="4"/>
    <x v="5"/>
    <n v="7"/>
    <n v="353.9"/>
    <x v="2"/>
    <x v="0"/>
    <n v="0.15"/>
    <x v="1"/>
    <n v="2105.7049999999999"/>
    <x v="3"/>
    <s v="SAVE10"/>
    <n v="1"/>
    <x v="282"/>
    <s v="Charu Kulkarni"/>
    <n v="15.74"/>
    <n v="300.815"/>
    <n v="2089.9650000000001"/>
    <d v="2024-04-17T00:00:00"/>
    <d v="2024-04-27T00:00:00"/>
    <s v="Wendy"/>
    <n v="17"/>
    <n v="4"/>
    <x v="7"/>
    <x v="1"/>
    <x v="2"/>
    <n v="16"/>
  </r>
  <r>
    <d v="2024-11-14T00:00:00"/>
    <x v="3"/>
    <x v="5"/>
    <n v="12"/>
    <n v="561.07000000000005"/>
    <x v="1"/>
    <x v="1"/>
    <n v="0"/>
    <x v="1"/>
    <n v="6732.84"/>
    <x v="1"/>
    <s v="nan"/>
    <n v="0"/>
    <x v="283"/>
    <s v="Rukhsar Malik"/>
    <n v="35.020000000000003"/>
    <n v="561.07000000000005"/>
    <n v="6697.82"/>
    <d v="2024-11-14T00:00:00"/>
    <d v="2024-11-18T00:00:00"/>
    <s v="Cameron"/>
    <n v="14"/>
    <n v="11"/>
    <x v="9"/>
    <x v="1"/>
    <x v="1"/>
    <n v="46"/>
  </r>
  <r>
    <d v="2024-07-25T00:00:00"/>
    <x v="2"/>
    <x v="3"/>
    <n v="15"/>
    <n v="247.21"/>
    <x v="3"/>
    <x v="0"/>
    <n v="0.1"/>
    <x v="5"/>
    <n v="3337.335"/>
    <x v="1"/>
    <s v="nan"/>
    <n v="0"/>
    <x v="284"/>
    <s v="Arjun Naidu"/>
    <n v="45.42"/>
    <n v="222.489"/>
    <n v="3291.915"/>
    <d v="2024-07-25T00:00:00"/>
    <d v="2024-07-27T00:00:00"/>
    <s v="Ryan"/>
    <n v="25"/>
    <n v="7"/>
    <x v="8"/>
    <x v="1"/>
    <x v="3"/>
    <n v="30"/>
  </r>
  <r>
    <d v="2024-08-05T00:00:00"/>
    <x v="0"/>
    <x v="1"/>
    <n v="19"/>
    <n v="271.22000000000003"/>
    <x v="1"/>
    <x v="0"/>
    <n v="0.1"/>
    <x v="1"/>
    <n v="4637.8620000000001"/>
    <x v="2"/>
    <s v="WINTER15"/>
    <n v="0"/>
    <x v="285"/>
    <s v="Zoya Mehta"/>
    <n v="35.33"/>
    <n v="244.09800000000001"/>
    <n v="4602.5320000000002"/>
    <d v="2024-08-05T00:00:00"/>
    <d v="2024-08-15T00:00:00"/>
    <s v="Eric"/>
    <n v="5"/>
    <n v="8"/>
    <x v="10"/>
    <x v="1"/>
    <x v="3"/>
    <n v="32"/>
  </r>
  <r>
    <d v="2025-01-23T00:00:00"/>
    <x v="4"/>
    <x v="0"/>
    <n v="6"/>
    <n v="532.54"/>
    <x v="1"/>
    <x v="0"/>
    <n v="0"/>
    <x v="4"/>
    <n v="3195.24"/>
    <x v="3"/>
    <s v="nan"/>
    <n v="1"/>
    <x v="286"/>
    <s v="Priya Fernandes"/>
    <n v="25.09"/>
    <n v="532.54"/>
    <n v="3170.1499999999996"/>
    <d v="2025-01-23T00:00:00"/>
    <d v="2025-02-02T00:00:00"/>
    <s v="Wendy"/>
    <n v="23"/>
    <n v="1"/>
    <x v="4"/>
    <x v="2"/>
    <x v="0"/>
    <n v="4"/>
  </r>
  <r>
    <d v="2025-04-27T00:00:00"/>
    <x v="4"/>
    <x v="6"/>
    <n v="16"/>
    <n v="329.54"/>
    <x v="1"/>
    <x v="0"/>
    <n v="0.15"/>
    <x v="5"/>
    <n v="4481.7440000000006"/>
    <x v="3"/>
    <s v="FREESHIP"/>
    <n v="1"/>
    <x v="287"/>
    <s v="Tanvi Dubey"/>
    <n v="39.39"/>
    <n v="280.10900000000004"/>
    <n v="4442.3540000000003"/>
    <d v="2025-04-27T00:00:00"/>
    <d v="2025-05-03T00:00:00"/>
    <s v="Wendy"/>
    <n v="27"/>
    <n v="4"/>
    <x v="7"/>
    <x v="2"/>
    <x v="2"/>
    <n v="17"/>
  </r>
  <r>
    <d v="2024-09-20T00:00:00"/>
    <x v="1"/>
    <x v="1"/>
    <n v="6"/>
    <n v="170.1"/>
    <x v="1"/>
    <x v="1"/>
    <n v="0"/>
    <x v="0"/>
    <n v="1020.6"/>
    <x v="1"/>
    <s v="FREESHIP"/>
    <n v="0"/>
    <x v="288"/>
    <s v="Ishaan Khanna"/>
    <n v="38.61"/>
    <n v="170.1"/>
    <n v="981.99"/>
    <d v="2024-09-20T00:00:00"/>
    <d v="2024-09-23T00:00:00"/>
    <s v="Sophie"/>
    <n v="20"/>
    <n v="9"/>
    <x v="11"/>
    <x v="1"/>
    <x v="3"/>
    <n v="38"/>
  </r>
  <r>
    <d v="2023-09-08T00:00:00"/>
    <x v="4"/>
    <x v="0"/>
    <n v="19"/>
    <n v="212.83"/>
    <x v="3"/>
    <x v="0"/>
    <n v="0.15"/>
    <x v="3"/>
    <n v="3437.2044999999998"/>
    <x v="0"/>
    <s v="WINTER15"/>
    <n v="0"/>
    <x v="289"/>
    <s v="Bhavna Saxena"/>
    <n v="42.88"/>
    <n v="180.90549999999999"/>
    <n v="3394.3244999999997"/>
    <d v="2023-09-08T00:00:00"/>
    <d v="2023-09-15T00:00:00"/>
    <s v="Wendy"/>
    <n v="8"/>
    <n v="9"/>
    <x v="11"/>
    <x v="0"/>
    <x v="3"/>
    <n v="36"/>
  </r>
  <r>
    <d v="2025-04-20T00:00:00"/>
    <x v="1"/>
    <x v="0"/>
    <n v="5"/>
    <n v="578.91999999999996"/>
    <x v="1"/>
    <x v="0"/>
    <n v="0"/>
    <x v="5"/>
    <n v="2894.6"/>
    <x v="2"/>
    <s v="nan"/>
    <n v="1"/>
    <x v="290"/>
    <s v="Dhruv Dubey"/>
    <n v="44.09"/>
    <n v="578.91999999999996"/>
    <n v="2850.5099999999998"/>
    <d v="2025-04-20T00:00:00"/>
    <d v="2025-04-28T00:00:00"/>
    <s v="Sophie"/>
    <n v="20"/>
    <n v="4"/>
    <x v="7"/>
    <x v="2"/>
    <x v="2"/>
    <n v="16"/>
  </r>
  <r>
    <d v="2024-06-20T00:00:00"/>
    <x v="2"/>
    <x v="1"/>
    <n v="3"/>
    <n v="456.92"/>
    <x v="2"/>
    <x v="1"/>
    <n v="0.1"/>
    <x v="2"/>
    <n v="1233.684"/>
    <x v="1"/>
    <s v="FREESHIP"/>
    <n v="0"/>
    <x v="291"/>
    <s v="Sanya Pai"/>
    <n v="17.57"/>
    <n v="411.22800000000001"/>
    <n v="1216.114"/>
    <d v="2024-06-20T00:00:00"/>
    <d v="2024-06-27T00:00:00"/>
    <s v="Ryan"/>
    <n v="20"/>
    <n v="6"/>
    <x v="3"/>
    <x v="1"/>
    <x v="2"/>
    <n v="25"/>
  </r>
  <r>
    <d v="2023-01-11T00:00:00"/>
    <x v="0"/>
    <x v="5"/>
    <n v="12"/>
    <n v="521.53"/>
    <x v="3"/>
    <x v="1"/>
    <n v="0"/>
    <x v="0"/>
    <n v="6258.36"/>
    <x v="2"/>
    <s v="SAVE10"/>
    <n v="1"/>
    <x v="292"/>
    <s v="Shruti Desai"/>
    <n v="49.59"/>
    <n v="521.53"/>
    <n v="6208.7699999999995"/>
    <d v="2023-01-11T00:00:00"/>
    <d v="2023-01-20T00:00:00"/>
    <s v="Eric"/>
    <n v="11"/>
    <n v="1"/>
    <x v="4"/>
    <x v="0"/>
    <x v="0"/>
    <n v="2"/>
  </r>
  <r>
    <d v="2023-07-04T00:00:00"/>
    <x v="2"/>
    <x v="2"/>
    <n v="17"/>
    <n v="468.19"/>
    <x v="3"/>
    <x v="1"/>
    <n v="0.05"/>
    <x v="4"/>
    <n v="7561.2684999999992"/>
    <x v="4"/>
    <s v="nan"/>
    <n v="0"/>
    <x v="293"/>
    <s v="Akash Singh"/>
    <n v="13.84"/>
    <n v="444.78049999999996"/>
    <n v="7547.4284999999991"/>
    <d v="2023-07-04T00:00:00"/>
    <d v="2023-07-07T00:00:00"/>
    <s v="Ryan"/>
    <n v="4"/>
    <n v="7"/>
    <x v="8"/>
    <x v="0"/>
    <x v="3"/>
    <n v="27"/>
  </r>
  <r>
    <d v="2025-03-08T00:00:00"/>
    <x v="3"/>
    <x v="4"/>
    <n v="9"/>
    <n v="8.81"/>
    <x v="3"/>
    <x v="1"/>
    <n v="0.15"/>
    <x v="1"/>
    <n v="67.396500000000003"/>
    <x v="0"/>
    <s v="SAVE10"/>
    <n v="0"/>
    <x v="294"/>
    <s v="Mohit Kapoor"/>
    <n v="42.7"/>
    <n v="7.4885000000000002"/>
    <n v="24.6965"/>
    <d v="2025-03-08T00:00:00"/>
    <d v="2025-03-18T00:00:00"/>
    <s v="Cameron"/>
    <n v="8"/>
    <n v="3"/>
    <x v="6"/>
    <x v="2"/>
    <x v="0"/>
    <n v="10"/>
  </r>
  <r>
    <d v="2025-02-10T00:00:00"/>
    <x v="1"/>
    <x v="3"/>
    <n v="6"/>
    <n v="521.1"/>
    <x v="1"/>
    <x v="0"/>
    <n v="0.15"/>
    <x v="2"/>
    <n v="2657.61"/>
    <x v="4"/>
    <s v="nan"/>
    <n v="0"/>
    <x v="295"/>
    <s v="Krish Agarwal"/>
    <n v="31.14"/>
    <n v="442.935"/>
    <n v="2626.4700000000003"/>
    <d v="2025-02-10T00:00:00"/>
    <d v="2025-02-12T00:00:00"/>
    <s v="Sophie"/>
    <n v="10"/>
    <n v="2"/>
    <x v="0"/>
    <x v="2"/>
    <x v="0"/>
    <n v="7"/>
  </r>
  <r>
    <d v="2025-03-17T00:00:00"/>
    <x v="4"/>
    <x v="4"/>
    <n v="10"/>
    <n v="289.91000000000003"/>
    <x v="2"/>
    <x v="1"/>
    <n v="0.1"/>
    <x v="4"/>
    <n v="2609.190000000001"/>
    <x v="4"/>
    <s v="SAVE10"/>
    <n v="0"/>
    <x v="296"/>
    <s v="Diya Das"/>
    <n v="32.96"/>
    <n v="260.9190000000001"/>
    <n v="2576.2300000000009"/>
    <d v="2025-03-17T00:00:00"/>
    <d v="2025-03-21T00:00:00"/>
    <s v="Wendy"/>
    <n v="17"/>
    <n v="3"/>
    <x v="6"/>
    <x v="2"/>
    <x v="0"/>
    <n v="12"/>
  </r>
  <r>
    <d v="2023-11-09T00:00:00"/>
    <x v="0"/>
    <x v="6"/>
    <n v="3"/>
    <n v="142.27000000000001"/>
    <x v="3"/>
    <x v="1"/>
    <n v="0.05"/>
    <x v="5"/>
    <n v="405.46949999999998"/>
    <x v="0"/>
    <s v="SAVE10"/>
    <n v="0"/>
    <x v="297"/>
    <s v="Aditya Kaur"/>
    <n v="32.799999999999997"/>
    <n v="135.15649999999999"/>
    <n v="372.66949999999997"/>
    <d v="2023-11-09T00:00:00"/>
    <d v="2023-11-15T00:00:00"/>
    <s v="Eric"/>
    <n v="9"/>
    <n v="11"/>
    <x v="9"/>
    <x v="0"/>
    <x v="1"/>
    <n v="45"/>
  </r>
  <r>
    <d v="2023-11-30T00:00:00"/>
    <x v="3"/>
    <x v="6"/>
    <n v="15"/>
    <n v="354.09"/>
    <x v="0"/>
    <x v="1"/>
    <n v="0.05"/>
    <x v="3"/>
    <n v="5045.7824999999993"/>
    <x v="0"/>
    <s v="nan"/>
    <n v="1"/>
    <x v="298"/>
    <s v="Aisha Kulkarni"/>
    <n v="25.3"/>
    <n v="336.38549999999998"/>
    <n v="5020.4824999999992"/>
    <d v="2023-11-30T00:00:00"/>
    <d v="2023-12-08T00:00:00"/>
    <s v="Cameron"/>
    <n v="30"/>
    <n v="11"/>
    <x v="9"/>
    <x v="0"/>
    <x v="1"/>
    <n v="48"/>
  </r>
  <r>
    <d v="2024-08-15T00:00:00"/>
    <x v="1"/>
    <x v="5"/>
    <n v="20"/>
    <n v="358.57"/>
    <x v="0"/>
    <x v="0"/>
    <n v="0"/>
    <x v="1"/>
    <n v="7171.4"/>
    <x v="3"/>
    <s v="FREESHIP"/>
    <n v="1"/>
    <x v="299"/>
    <s v="Akash Bhatia"/>
    <n v="21.11"/>
    <n v="358.57"/>
    <n v="7150.29"/>
    <d v="2024-08-15T00:00:00"/>
    <d v="2024-08-20T00:00:00"/>
    <s v="Sophie"/>
    <n v="15"/>
    <n v="8"/>
    <x v="10"/>
    <x v="1"/>
    <x v="3"/>
    <n v="33"/>
  </r>
  <r>
    <d v="2023-03-21T00:00:00"/>
    <x v="4"/>
    <x v="5"/>
    <n v="16"/>
    <n v="33.18"/>
    <x v="2"/>
    <x v="1"/>
    <n v="0.05"/>
    <x v="0"/>
    <n v="504.33600000000001"/>
    <x v="0"/>
    <s v="SAVE10"/>
    <n v="0"/>
    <x v="300"/>
    <s v="Alina Khanna"/>
    <n v="22.94"/>
    <n v="31.521000000000001"/>
    <n v="481.39600000000002"/>
    <d v="2023-03-21T00:00:00"/>
    <d v="2023-03-26T00:00:00"/>
    <s v="Wendy"/>
    <n v="21"/>
    <n v="3"/>
    <x v="6"/>
    <x v="0"/>
    <x v="0"/>
    <n v="12"/>
  </r>
  <r>
    <d v="2023-10-26T00:00:00"/>
    <x v="4"/>
    <x v="4"/>
    <n v="2"/>
    <n v="124.4"/>
    <x v="0"/>
    <x v="1"/>
    <n v="0"/>
    <x v="0"/>
    <n v="248.8"/>
    <x v="0"/>
    <s v="nan"/>
    <n v="0"/>
    <x v="301"/>
    <s v="Charu Mukherjee"/>
    <n v="37.049999999999997"/>
    <n v="124.4"/>
    <n v="211.75"/>
    <d v="2023-10-26T00:00:00"/>
    <d v="2023-10-31T00:00:00"/>
    <s v="Wendy"/>
    <n v="26"/>
    <n v="10"/>
    <x v="5"/>
    <x v="0"/>
    <x v="1"/>
    <n v="43"/>
  </r>
  <r>
    <d v="2023-11-03T00:00:00"/>
    <x v="4"/>
    <x v="1"/>
    <n v="12"/>
    <n v="17.760000000000002"/>
    <x v="3"/>
    <x v="1"/>
    <n v="0.1"/>
    <x v="3"/>
    <n v="191.80799999999999"/>
    <x v="0"/>
    <s v="FREESHIP"/>
    <n v="0"/>
    <x v="302"/>
    <s v="Ved Vora"/>
    <n v="12.18"/>
    <n v="15.984"/>
    <n v="179.62799999999999"/>
    <d v="2023-11-03T00:00:00"/>
    <d v="2023-11-11T00:00:00"/>
    <s v="Wendy"/>
    <n v="3"/>
    <n v="11"/>
    <x v="9"/>
    <x v="0"/>
    <x v="1"/>
    <n v="44"/>
  </r>
  <r>
    <d v="2025-01-30T00:00:00"/>
    <x v="2"/>
    <x v="3"/>
    <n v="16"/>
    <n v="345.53"/>
    <x v="2"/>
    <x v="1"/>
    <n v="0.15"/>
    <x v="2"/>
    <n v="4699.2079999999996"/>
    <x v="1"/>
    <s v="SAVE10"/>
    <n v="0"/>
    <x v="303"/>
    <s v="Sana Bhatia"/>
    <n v="13.43"/>
    <n v="293.70049999999998"/>
    <n v="4685.7779999999993"/>
    <d v="2025-01-30T00:00:00"/>
    <d v="2025-02-05T00:00:00"/>
    <s v="Ryan"/>
    <n v="30"/>
    <n v="1"/>
    <x v="4"/>
    <x v="2"/>
    <x v="0"/>
    <n v="5"/>
  </r>
  <r>
    <d v="2024-01-25T00:00:00"/>
    <x v="4"/>
    <x v="0"/>
    <n v="13"/>
    <n v="453.48"/>
    <x v="1"/>
    <x v="0"/>
    <n v="0.05"/>
    <x v="1"/>
    <n v="5600.4779999999992"/>
    <x v="1"/>
    <s v="SAVE10"/>
    <n v="0"/>
    <x v="304"/>
    <s v="Aman Pandey"/>
    <n v="46.28"/>
    <n v="430.80599999999993"/>
    <n v="5554.1979999999994"/>
    <d v="2024-01-25T00:00:00"/>
    <d v="2024-02-03T00:00:00"/>
    <s v="Wendy"/>
    <n v="25"/>
    <n v="1"/>
    <x v="4"/>
    <x v="1"/>
    <x v="0"/>
    <n v="4"/>
  </r>
  <r>
    <d v="2025-03-29T00:00:00"/>
    <x v="1"/>
    <x v="0"/>
    <n v="10"/>
    <n v="277.74"/>
    <x v="0"/>
    <x v="1"/>
    <n v="0.15"/>
    <x v="3"/>
    <n v="2360.79"/>
    <x v="1"/>
    <s v="SAVE10"/>
    <n v="1"/>
    <x v="305"/>
    <s v="Kavya Mehta"/>
    <n v="35.020000000000003"/>
    <n v="236.07900000000001"/>
    <n v="2325.77"/>
    <d v="2025-03-29T00:00:00"/>
    <d v="2025-04-02T00:00:00"/>
    <s v="Sophie"/>
    <n v="29"/>
    <n v="3"/>
    <x v="6"/>
    <x v="2"/>
    <x v="0"/>
    <n v="13"/>
  </r>
  <r>
    <d v="2024-11-02T00:00:00"/>
    <x v="3"/>
    <x v="3"/>
    <n v="16"/>
    <n v="89.76"/>
    <x v="1"/>
    <x v="0"/>
    <n v="0"/>
    <x v="1"/>
    <n v="1436.16"/>
    <x v="3"/>
    <s v="WINTER15"/>
    <n v="1"/>
    <x v="306"/>
    <s v="Manya Dubey"/>
    <n v="44.69"/>
    <n v="89.76"/>
    <n v="1391.47"/>
    <d v="2024-11-02T00:00:00"/>
    <d v="2024-11-09T00:00:00"/>
    <s v="Cameron"/>
    <n v="2"/>
    <n v="11"/>
    <x v="9"/>
    <x v="1"/>
    <x v="1"/>
    <n v="44"/>
  </r>
  <r>
    <d v="2024-06-30T00:00:00"/>
    <x v="3"/>
    <x v="3"/>
    <n v="11"/>
    <n v="535.37"/>
    <x v="3"/>
    <x v="0"/>
    <n v="0"/>
    <x v="2"/>
    <n v="5889.07"/>
    <x v="4"/>
    <s v="nan"/>
    <n v="0"/>
    <x v="307"/>
    <s v="Zara Das"/>
    <n v="35.96"/>
    <n v="535.37"/>
    <n v="5853.11"/>
    <d v="2024-06-30T00:00:00"/>
    <d v="2024-07-09T00:00:00"/>
    <s v="Cameron"/>
    <n v="30"/>
    <n v="6"/>
    <x v="3"/>
    <x v="1"/>
    <x v="2"/>
    <n v="26"/>
  </r>
  <r>
    <d v="2023-01-11T00:00:00"/>
    <x v="1"/>
    <x v="5"/>
    <n v="9"/>
    <n v="15.58"/>
    <x v="3"/>
    <x v="1"/>
    <n v="0.1"/>
    <x v="2"/>
    <n v="126.19799999999999"/>
    <x v="1"/>
    <s v="FREESHIP"/>
    <n v="1"/>
    <x v="308"/>
    <s v="Yash Banerjee"/>
    <n v="27.81"/>
    <n v="14.021999999999998"/>
    <n v="98.387999999999991"/>
    <d v="2023-01-11T00:00:00"/>
    <d v="2023-01-19T00:00:00"/>
    <s v="Sophie"/>
    <n v="11"/>
    <n v="1"/>
    <x v="4"/>
    <x v="0"/>
    <x v="0"/>
    <n v="2"/>
  </r>
  <r>
    <d v="2025-06-05T00:00:00"/>
    <x v="2"/>
    <x v="2"/>
    <n v="13"/>
    <n v="466.54"/>
    <x v="2"/>
    <x v="0"/>
    <n v="0"/>
    <x v="0"/>
    <n v="6065.02"/>
    <x v="4"/>
    <s v="FREESHIP"/>
    <n v="0"/>
    <x v="309"/>
    <s v="Aaliyah Jain"/>
    <n v="18.63"/>
    <n v="466.54"/>
    <n v="6046.39"/>
    <d v="2025-06-05T00:00:00"/>
    <d v="2025-06-14T00:00:00"/>
    <s v="Ryan"/>
    <n v="5"/>
    <n v="6"/>
    <x v="3"/>
    <x v="2"/>
    <x v="2"/>
    <n v="23"/>
  </r>
  <r>
    <d v="2024-03-21T00:00:00"/>
    <x v="2"/>
    <x v="4"/>
    <n v="16"/>
    <n v="593"/>
    <x v="3"/>
    <x v="1"/>
    <n v="0.1"/>
    <x v="0"/>
    <n v="8539.2000000000007"/>
    <x v="1"/>
    <s v="SAVE10"/>
    <n v="0"/>
    <x v="310"/>
    <s v="Alina Gupta"/>
    <n v="18.77"/>
    <n v="533.70000000000005"/>
    <n v="8520.43"/>
    <d v="2024-03-21T00:00:00"/>
    <d v="2024-03-24T00:00:00"/>
    <s v="Ryan"/>
    <n v="21"/>
    <n v="3"/>
    <x v="6"/>
    <x v="1"/>
    <x v="0"/>
    <n v="12"/>
  </r>
  <r>
    <d v="2023-08-31T00:00:00"/>
    <x v="1"/>
    <x v="2"/>
    <n v="6"/>
    <n v="567.36"/>
    <x v="2"/>
    <x v="0"/>
    <n v="0.05"/>
    <x v="1"/>
    <n v="3233.9520000000002"/>
    <x v="1"/>
    <s v="WINTER15"/>
    <n v="0"/>
    <x v="311"/>
    <s v="Krish Malik"/>
    <n v="45.98"/>
    <n v="538.99200000000008"/>
    <n v="3187.9720000000002"/>
    <d v="2023-08-31T00:00:00"/>
    <d v="2023-09-08T00:00:00"/>
    <s v="Sophie"/>
    <n v="31"/>
    <n v="8"/>
    <x v="10"/>
    <x v="0"/>
    <x v="3"/>
    <n v="35"/>
  </r>
  <r>
    <d v="2024-10-07T00:00:00"/>
    <x v="1"/>
    <x v="1"/>
    <n v="17"/>
    <n v="523.04"/>
    <x v="1"/>
    <x v="1"/>
    <n v="0.05"/>
    <x v="0"/>
    <n v="8447.0959999999995"/>
    <x v="3"/>
    <s v="FREESHIP"/>
    <n v="0"/>
    <x v="312"/>
    <s v="Raina Rawat"/>
    <n v="37.380000000000003"/>
    <n v="496.88799999999998"/>
    <n v="8409.7160000000003"/>
    <d v="2024-10-07T00:00:00"/>
    <d v="2024-10-17T00:00:00"/>
    <s v="Sophie"/>
    <n v="7"/>
    <n v="10"/>
    <x v="5"/>
    <x v="1"/>
    <x v="1"/>
    <n v="41"/>
  </r>
  <r>
    <d v="2023-04-12T00:00:00"/>
    <x v="2"/>
    <x v="0"/>
    <n v="17"/>
    <n v="376.4"/>
    <x v="2"/>
    <x v="0"/>
    <n v="0"/>
    <x v="1"/>
    <n v="6398.7999999999993"/>
    <x v="3"/>
    <s v="FREESHIP"/>
    <n v="0"/>
    <x v="313"/>
    <s v="Neel Pathan"/>
    <n v="33.380000000000003"/>
    <n v="376.4"/>
    <n v="6365.4199999999992"/>
    <d v="2023-04-12T00:00:00"/>
    <d v="2023-04-15T00:00:00"/>
    <s v="Ryan"/>
    <n v="12"/>
    <n v="4"/>
    <x v="7"/>
    <x v="0"/>
    <x v="2"/>
    <n v="15"/>
  </r>
  <r>
    <d v="2023-11-06T00:00:00"/>
    <x v="1"/>
    <x v="6"/>
    <n v="5"/>
    <n v="95.19"/>
    <x v="1"/>
    <x v="1"/>
    <n v="0.15"/>
    <x v="2"/>
    <n v="404.5575"/>
    <x v="2"/>
    <s v="WINTER15"/>
    <n v="0"/>
    <x v="314"/>
    <s v="Dhruv Patel"/>
    <n v="48.55"/>
    <n v="80.911500000000004"/>
    <n v="356.00749999999999"/>
    <d v="2023-11-06T00:00:00"/>
    <d v="2023-11-16T00:00:00"/>
    <s v="Sophie"/>
    <n v="6"/>
    <n v="11"/>
    <x v="9"/>
    <x v="0"/>
    <x v="1"/>
    <n v="45"/>
  </r>
  <r>
    <d v="2023-04-28T00:00:00"/>
    <x v="4"/>
    <x v="2"/>
    <n v="2"/>
    <n v="210.71"/>
    <x v="3"/>
    <x v="0"/>
    <n v="0.15"/>
    <x v="4"/>
    <n v="358.20699999999999"/>
    <x v="2"/>
    <s v="SAVE10"/>
    <n v="0"/>
    <x v="315"/>
    <s v="Avni Khan"/>
    <n v="7.78"/>
    <n v="179.1035"/>
    <n v="350.42700000000002"/>
    <d v="2023-04-28T00:00:00"/>
    <d v="2023-05-08T00:00:00"/>
    <s v="Wendy"/>
    <n v="28"/>
    <n v="4"/>
    <x v="7"/>
    <x v="0"/>
    <x v="2"/>
    <n v="17"/>
  </r>
  <r>
    <d v="2023-12-18T00:00:00"/>
    <x v="4"/>
    <x v="6"/>
    <n v="7"/>
    <n v="393.39"/>
    <x v="0"/>
    <x v="1"/>
    <n v="0.1"/>
    <x v="1"/>
    <n v="2478.357"/>
    <x v="4"/>
    <s v="SAVE10"/>
    <n v="0"/>
    <x v="316"/>
    <s v="Kavya D'Souza"/>
    <n v="34.35"/>
    <n v="354.05099999999999"/>
    <n v="2444.0070000000001"/>
    <d v="2023-12-18T00:00:00"/>
    <d v="2023-12-21T00:00:00"/>
    <s v="Wendy"/>
    <n v="18"/>
    <n v="12"/>
    <x v="1"/>
    <x v="0"/>
    <x v="1"/>
    <n v="51"/>
  </r>
  <r>
    <d v="2024-10-10T00:00:00"/>
    <x v="1"/>
    <x v="1"/>
    <n v="13"/>
    <n v="114.03"/>
    <x v="1"/>
    <x v="1"/>
    <n v="0"/>
    <x v="5"/>
    <n v="1482.39"/>
    <x v="4"/>
    <s v="nan"/>
    <n v="0"/>
    <x v="317"/>
    <s v="Parth Joseph"/>
    <n v="43.81"/>
    <n v="114.03"/>
    <n v="1438.5800000000002"/>
    <d v="2024-10-10T00:00:00"/>
    <d v="2024-10-16T00:00:00"/>
    <s v="Sophie"/>
    <n v="10"/>
    <n v="10"/>
    <x v="5"/>
    <x v="1"/>
    <x v="1"/>
    <n v="41"/>
  </r>
  <r>
    <d v="2023-02-05T00:00:00"/>
    <x v="2"/>
    <x v="5"/>
    <n v="18"/>
    <n v="336.48"/>
    <x v="0"/>
    <x v="1"/>
    <n v="0"/>
    <x v="2"/>
    <n v="6056.64"/>
    <x v="0"/>
    <s v="WINTER15"/>
    <n v="0"/>
    <x v="318"/>
    <s v="Simran D'Souza"/>
    <n v="18.59"/>
    <n v="336.48"/>
    <n v="6038.05"/>
    <d v="2023-02-05T00:00:00"/>
    <d v="2023-02-07T00:00:00"/>
    <s v="Ryan"/>
    <n v="5"/>
    <n v="2"/>
    <x v="0"/>
    <x v="0"/>
    <x v="0"/>
    <n v="5"/>
  </r>
  <r>
    <d v="2024-08-04T00:00:00"/>
    <x v="3"/>
    <x v="4"/>
    <n v="9"/>
    <n v="24.44"/>
    <x v="2"/>
    <x v="0"/>
    <n v="0.15"/>
    <x v="0"/>
    <n v="186.96600000000001"/>
    <x v="1"/>
    <s v="SAVE10"/>
    <n v="1"/>
    <x v="319"/>
    <s v="Raj Farooqui"/>
    <n v="22.06"/>
    <n v="20.774000000000001"/>
    <n v="164.90600000000001"/>
    <d v="2024-08-04T00:00:00"/>
    <d v="2024-08-14T00:00:00"/>
    <s v="Cameron"/>
    <n v="4"/>
    <n v="8"/>
    <x v="10"/>
    <x v="1"/>
    <x v="3"/>
    <n v="31"/>
  </r>
  <r>
    <d v="2024-10-23T00:00:00"/>
    <x v="3"/>
    <x v="5"/>
    <n v="12"/>
    <n v="352.2"/>
    <x v="1"/>
    <x v="1"/>
    <n v="0.05"/>
    <x v="0"/>
    <n v="4015.079999999999"/>
    <x v="2"/>
    <s v="WINTER15"/>
    <n v="0"/>
    <x v="320"/>
    <s v="Neha Malik"/>
    <n v="18.39"/>
    <n v="334.58999999999992"/>
    <n v="3996.6899999999991"/>
    <d v="2024-10-23T00:00:00"/>
    <d v="2024-11-01T00:00:00"/>
    <s v="Cameron"/>
    <n v="23"/>
    <n v="10"/>
    <x v="5"/>
    <x v="1"/>
    <x v="1"/>
    <n v="43"/>
  </r>
  <r>
    <d v="2024-02-13T00:00:00"/>
    <x v="4"/>
    <x v="4"/>
    <n v="7"/>
    <n v="353.99"/>
    <x v="2"/>
    <x v="0"/>
    <n v="0.05"/>
    <x v="3"/>
    <n v="2354.0335"/>
    <x v="1"/>
    <s v="FREESHIP"/>
    <n v="0"/>
    <x v="321"/>
    <s v="Abhishek Mathew"/>
    <n v="5.93"/>
    <n v="336.29050000000001"/>
    <n v="2348.1035000000002"/>
    <d v="2024-02-13T00:00:00"/>
    <d v="2024-02-20T00:00:00"/>
    <s v="Wendy"/>
    <n v="13"/>
    <n v="2"/>
    <x v="0"/>
    <x v="1"/>
    <x v="0"/>
    <n v="7"/>
  </r>
  <r>
    <d v="2024-06-03T00:00:00"/>
    <x v="1"/>
    <x v="5"/>
    <n v="15"/>
    <n v="10.220000000000001"/>
    <x v="2"/>
    <x v="1"/>
    <n v="0"/>
    <x v="1"/>
    <n v="153.30000000000001"/>
    <x v="1"/>
    <s v="FREESHIP"/>
    <n v="0"/>
    <x v="322"/>
    <s v="Ira Dutta"/>
    <n v="36.270000000000003"/>
    <n v="10.220000000000001"/>
    <n v="117.03"/>
    <d v="2024-06-03T00:00:00"/>
    <d v="2024-06-07T00:00:00"/>
    <s v="Sophie"/>
    <n v="3"/>
    <n v="6"/>
    <x v="3"/>
    <x v="1"/>
    <x v="2"/>
    <n v="23"/>
  </r>
  <r>
    <d v="2023-04-14T00:00:00"/>
    <x v="1"/>
    <x v="6"/>
    <n v="17"/>
    <n v="464.16"/>
    <x v="1"/>
    <x v="1"/>
    <n v="0.15"/>
    <x v="3"/>
    <n v="6707.1120000000001"/>
    <x v="3"/>
    <s v="FREESHIP"/>
    <n v="1"/>
    <x v="323"/>
    <s v="Ishaan Banerjee"/>
    <n v="46.83"/>
    <n v="394.536"/>
    <n v="6660.2820000000002"/>
    <d v="2023-04-14T00:00:00"/>
    <d v="2023-04-18T00:00:00"/>
    <s v="Sophie"/>
    <n v="14"/>
    <n v="4"/>
    <x v="7"/>
    <x v="0"/>
    <x v="2"/>
    <n v="15"/>
  </r>
  <r>
    <d v="2024-10-19T00:00:00"/>
    <x v="3"/>
    <x v="0"/>
    <n v="16"/>
    <n v="436.31"/>
    <x v="2"/>
    <x v="1"/>
    <n v="0.05"/>
    <x v="4"/>
    <n v="6631.9119999999994"/>
    <x v="0"/>
    <s v="nan"/>
    <n v="0"/>
    <x v="324"/>
    <s v="Ananya Sen"/>
    <n v="47.61"/>
    <n v="414.49449999999996"/>
    <n v="6584.3019999999997"/>
    <d v="2024-10-19T00:00:00"/>
    <d v="2024-10-23T00:00:00"/>
    <s v="Cameron"/>
    <n v="19"/>
    <n v="10"/>
    <x v="5"/>
    <x v="1"/>
    <x v="1"/>
    <n v="42"/>
  </r>
  <r>
    <d v="2023-12-18T00:00:00"/>
    <x v="1"/>
    <x v="0"/>
    <n v="9"/>
    <n v="219.93"/>
    <x v="0"/>
    <x v="0"/>
    <n v="0.05"/>
    <x v="5"/>
    <n v="1880.4014999999999"/>
    <x v="1"/>
    <s v="FREESHIP"/>
    <n v="0"/>
    <x v="325"/>
    <s v="Mitali Banerjee"/>
    <n v="44.78"/>
    <n v="208.93349999999998"/>
    <n v="1835.6215"/>
    <d v="2023-12-18T00:00:00"/>
    <d v="2023-12-22T00:00:00"/>
    <s v="Sophie"/>
    <n v="18"/>
    <n v="12"/>
    <x v="1"/>
    <x v="0"/>
    <x v="1"/>
    <n v="51"/>
  </r>
  <r>
    <d v="2023-08-31T00:00:00"/>
    <x v="2"/>
    <x v="0"/>
    <n v="5"/>
    <n v="311.22000000000003"/>
    <x v="1"/>
    <x v="0"/>
    <n v="0.15"/>
    <x v="4"/>
    <n v="1322.6849999999999"/>
    <x v="4"/>
    <s v="FREESHIP"/>
    <n v="0"/>
    <x v="326"/>
    <s v="Charu Dubey"/>
    <n v="36.979999999999997"/>
    <n v="264.53699999999998"/>
    <n v="1285.7049999999999"/>
    <d v="2023-08-31T00:00:00"/>
    <d v="2023-09-06T00:00:00"/>
    <s v="Ryan"/>
    <n v="31"/>
    <n v="8"/>
    <x v="10"/>
    <x v="0"/>
    <x v="3"/>
    <n v="35"/>
  </r>
  <r>
    <d v="2023-09-19T00:00:00"/>
    <x v="1"/>
    <x v="0"/>
    <n v="4"/>
    <n v="547.55999999999995"/>
    <x v="3"/>
    <x v="1"/>
    <n v="0.15"/>
    <x v="2"/>
    <n v="1861.704"/>
    <x v="1"/>
    <s v="nan"/>
    <n v="0"/>
    <x v="327"/>
    <s v="Dhruv Mehta"/>
    <n v="25.88"/>
    <n v="465.42599999999999"/>
    <n v="1835.8239999999998"/>
    <d v="2023-09-19T00:00:00"/>
    <d v="2023-09-26T00:00:00"/>
    <s v="Sophie"/>
    <n v="19"/>
    <n v="9"/>
    <x v="11"/>
    <x v="0"/>
    <x v="3"/>
    <n v="38"/>
  </r>
  <r>
    <d v="2023-02-27T00:00:00"/>
    <x v="3"/>
    <x v="0"/>
    <n v="9"/>
    <n v="52.69"/>
    <x v="3"/>
    <x v="1"/>
    <n v="0.15"/>
    <x v="4"/>
    <n v="403.07850000000002"/>
    <x v="0"/>
    <s v="SAVE10"/>
    <n v="0"/>
    <x v="328"/>
    <s v="Pranav Saxena"/>
    <n v="14.59"/>
    <n v="44.786500000000004"/>
    <n v="388.48850000000004"/>
    <d v="2023-02-27T00:00:00"/>
    <d v="2023-03-04T00:00:00"/>
    <s v="Cameron"/>
    <n v="27"/>
    <n v="2"/>
    <x v="0"/>
    <x v="0"/>
    <x v="0"/>
    <n v="9"/>
  </r>
  <r>
    <d v="2024-01-28T00:00:00"/>
    <x v="1"/>
    <x v="5"/>
    <n v="9"/>
    <n v="434.74"/>
    <x v="3"/>
    <x v="0"/>
    <n v="0.1"/>
    <x v="5"/>
    <n v="3521.3939999999998"/>
    <x v="0"/>
    <s v="SAVE10"/>
    <n v="0"/>
    <x v="329"/>
    <s v="Deepak Khan"/>
    <n v="20.11"/>
    <n v="391.26599999999996"/>
    <n v="3501.2839999999997"/>
    <d v="2024-01-28T00:00:00"/>
    <d v="2024-01-31T00:00:00"/>
    <s v="Sophie"/>
    <n v="28"/>
    <n v="1"/>
    <x v="4"/>
    <x v="1"/>
    <x v="0"/>
    <n v="4"/>
  </r>
  <r>
    <d v="2025-05-06T00:00:00"/>
    <x v="1"/>
    <x v="4"/>
    <n v="9"/>
    <n v="124.17"/>
    <x v="2"/>
    <x v="0"/>
    <n v="0"/>
    <x v="0"/>
    <n v="1117.53"/>
    <x v="3"/>
    <s v="WINTER15"/>
    <n v="0"/>
    <x v="330"/>
    <s v="Tanishq Solanki"/>
    <n v="13.31"/>
    <n v="124.17"/>
    <n v="1104.22"/>
    <d v="2025-05-06T00:00:00"/>
    <d v="2025-05-10T00:00:00"/>
    <s v="Sophie"/>
    <n v="6"/>
    <n v="5"/>
    <x v="2"/>
    <x v="2"/>
    <x v="2"/>
    <n v="19"/>
  </r>
  <r>
    <d v="2024-09-13T00:00:00"/>
    <x v="0"/>
    <x v="4"/>
    <n v="2"/>
    <n v="375.48"/>
    <x v="3"/>
    <x v="1"/>
    <n v="0.05"/>
    <x v="4"/>
    <n v="713.41200000000003"/>
    <x v="2"/>
    <s v="FREESHIP"/>
    <n v="0"/>
    <x v="331"/>
    <s v="Tanvi Bhargava"/>
    <n v="26.39"/>
    <n v="356.70600000000002"/>
    <n v="687.02200000000005"/>
    <d v="2024-09-13T00:00:00"/>
    <d v="2024-09-15T00:00:00"/>
    <s v="Eric"/>
    <n v="13"/>
    <n v="9"/>
    <x v="11"/>
    <x v="1"/>
    <x v="3"/>
    <n v="37"/>
  </r>
  <r>
    <d v="2023-05-25T00:00:00"/>
    <x v="0"/>
    <x v="6"/>
    <n v="13"/>
    <n v="211.06"/>
    <x v="0"/>
    <x v="1"/>
    <n v="0.1"/>
    <x v="5"/>
    <n v="2469.402"/>
    <x v="1"/>
    <s v="nan"/>
    <n v="1"/>
    <x v="332"/>
    <s v="Sanya Sen"/>
    <n v="19.579999999999998"/>
    <n v="189.95400000000001"/>
    <n v="2449.8220000000001"/>
    <d v="2023-05-25T00:00:00"/>
    <d v="2023-05-29T00:00:00"/>
    <s v="Eric"/>
    <n v="25"/>
    <n v="5"/>
    <x v="2"/>
    <x v="0"/>
    <x v="2"/>
    <n v="21"/>
  </r>
  <r>
    <d v="2024-09-26T00:00:00"/>
    <x v="1"/>
    <x v="5"/>
    <n v="7"/>
    <n v="88.87"/>
    <x v="2"/>
    <x v="1"/>
    <n v="0"/>
    <x v="1"/>
    <n v="622.09"/>
    <x v="0"/>
    <s v="SAVE10"/>
    <n v="0"/>
    <x v="333"/>
    <s v="Manish Desai"/>
    <n v="8.36"/>
    <n v="88.87"/>
    <n v="613.73"/>
    <d v="2024-09-26T00:00:00"/>
    <d v="2024-10-01T00:00:00"/>
    <s v="Sophie"/>
    <n v="26"/>
    <n v="9"/>
    <x v="11"/>
    <x v="1"/>
    <x v="3"/>
    <n v="39"/>
  </r>
  <r>
    <d v="2023-02-13T00:00:00"/>
    <x v="1"/>
    <x v="1"/>
    <n v="5"/>
    <n v="254.24"/>
    <x v="0"/>
    <x v="0"/>
    <n v="0.05"/>
    <x v="5"/>
    <n v="1207.6400000000001"/>
    <x v="0"/>
    <s v="nan"/>
    <n v="0"/>
    <x v="334"/>
    <s v="Aisha Shetty"/>
    <n v="9.9700000000000006"/>
    <n v="241.52800000000002"/>
    <n v="1197.67"/>
    <d v="2023-02-13T00:00:00"/>
    <d v="2023-02-18T00:00:00"/>
    <s v="Sophie"/>
    <n v="13"/>
    <n v="2"/>
    <x v="0"/>
    <x v="0"/>
    <x v="0"/>
    <n v="7"/>
  </r>
  <r>
    <d v="2024-06-20T00:00:00"/>
    <x v="3"/>
    <x v="3"/>
    <n v="5"/>
    <n v="432.35"/>
    <x v="2"/>
    <x v="0"/>
    <n v="0.1"/>
    <x v="5"/>
    <n v="1945.575"/>
    <x v="1"/>
    <s v="nan"/>
    <n v="1"/>
    <x v="335"/>
    <s v="Gaurav Bose"/>
    <n v="41.48"/>
    <n v="389.11500000000001"/>
    <n v="1904.095"/>
    <d v="2024-06-20T00:00:00"/>
    <d v="2024-06-27T00:00:00"/>
    <s v="Cameron"/>
    <n v="20"/>
    <n v="6"/>
    <x v="3"/>
    <x v="1"/>
    <x v="2"/>
    <n v="25"/>
  </r>
  <r>
    <d v="2024-03-22T00:00:00"/>
    <x v="4"/>
    <x v="0"/>
    <n v="19"/>
    <n v="590"/>
    <x v="3"/>
    <x v="1"/>
    <n v="0.05"/>
    <x v="1"/>
    <n v="10649.5"/>
    <x v="0"/>
    <s v="FREESHIP"/>
    <n v="0"/>
    <x v="336"/>
    <s v="Akash Khan"/>
    <n v="5.91"/>
    <n v="560.5"/>
    <n v="10643.59"/>
    <d v="2024-03-22T00:00:00"/>
    <d v="2024-03-25T00:00:00"/>
    <s v="Wendy"/>
    <n v="22"/>
    <n v="3"/>
    <x v="6"/>
    <x v="1"/>
    <x v="0"/>
    <n v="12"/>
  </r>
  <r>
    <d v="2024-02-08T00:00:00"/>
    <x v="4"/>
    <x v="4"/>
    <n v="11"/>
    <n v="151.25"/>
    <x v="0"/>
    <x v="0"/>
    <n v="0.1"/>
    <x v="2"/>
    <n v="1497.375"/>
    <x v="2"/>
    <s v="nan"/>
    <n v="1"/>
    <x v="337"/>
    <s v="Mitali Singh"/>
    <n v="22.65"/>
    <n v="136.125"/>
    <n v="1474.7249999999999"/>
    <d v="2024-02-08T00:00:00"/>
    <d v="2024-02-11T00:00:00"/>
    <s v="Wendy"/>
    <n v="8"/>
    <n v="2"/>
    <x v="0"/>
    <x v="1"/>
    <x v="0"/>
    <n v="6"/>
  </r>
  <r>
    <d v="2024-06-01T00:00:00"/>
    <x v="0"/>
    <x v="2"/>
    <n v="3"/>
    <n v="204.79"/>
    <x v="0"/>
    <x v="1"/>
    <n v="0.1"/>
    <x v="2"/>
    <n v="552.93299999999999"/>
    <x v="0"/>
    <s v="FREESHIP"/>
    <n v="1"/>
    <x v="338"/>
    <s v="Ananya Tripathi"/>
    <n v="7.72"/>
    <n v="184.31100000000001"/>
    <n v="545.21299999999997"/>
    <d v="2024-06-01T00:00:00"/>
    <d v="2024-06-04T00:00:00"/>
    <s v="Eric"/>
    <n v="1"/>
    <n v="6"/>
    <x v="3"/>
    <x v="1"/>
    <x v="2"/>
    <n v="22"/>
  </r>
  <r>
    <d v="2024-05-26T00:00:00"/>
    <x v="2"/>
    <x v="0"/>
    <n v="16"/>
    <n v="586.52"/>
    <x v="2"/>
    <x v="0"/>
    <n v="0"/>
    <x v="4"/>
    <n v="9384.32"/>
    <x v="2"/>
    <s v="WINTER15"/>
    <n v="1"/>
    <x v="339"/>
    <s v="Devansh Hegde"/>
    <n v="17.059999999999999"/>
    <n v="586.52"/>
    <n v="9367.26"/>
    <d v="2024-05-26T00:00:00"/>
    <d v="2024-06-01T00:00:00"/>
    <s v="Ryan"/>
    <n v="26"/>
    <n v="5"/>
    <x v="2"/>
    <x v="1"/>
    <x v="2"/>
    <n v="21"/>
  </r>
  <r>
    <d v="2024-06-25T00:00:00"/>
    <x v="0"/>
    <x v="6"/>
    <n v="16"/>
    <n v="104.83"/>
    <x v="1"/>
    <x v="0"/>
    <n v="0"/>
    <x v="3"/>
    <n v="1677.28"/>
    <x v="1"/>
    <s v="FREESHIP"/>
    <n v="0"/>
    <x v="340"/>
    <s v="Diya Pandey"/>
    <n v="33.99"/>
    <n v="104.83"/>
    <n v="1643.29"/>
    <d v="2024-06-25T00:00:00"/>
    <d v="2024-06-30T00:00:00"/>
    <s v="Eric"/>
    <n v="25"/>
    <n v="6"/>
    <x v="3"/>
    <x v="1"/>
    <x v="2"/>
    <n v="26"/>
  </r>
  <r>
    <d v="2024-01-29T00:00:00"/>
    <x v="3"/>
    <x v="6"/>
    <n v="16"/>
    <n v="598.48"/>
    <x v="1"/>
    <x v="1"/>
    <n v="0.1"/>
    <x v="2"/>
    <n v="8618.112000000001"/>
    <x v="4"/>
    <s v="nan"/>
    <n v="0"/>
    <x v="341"/>
    <s v="Hina Rawat"/>
    <n v="47.86"/>
    <n v="538.63200000000006"/>
    <n v="8570.2520000000004"/>
    <d v="2024-01-29T00:00:00"/>
    <d v="2024-02-07T00:00:00"/>
    <s v="Cameron"/>
    <n v="29"/>
    <n v="1"/>
    <x v="4"/>
    <x v="1"/>
    <x v="0"/>
    <n v="5"/>
  </r>
  <r>
    <d v="2024-12-07T00:00:00"/>
    <x v="1"/>
    <x v="3"/>
    <n v="8"/>
    <n v="367.89"/>
    <x v="0"/>
    <x v="1"/>
    <n v="0.05"/>
    <x v="1"/>
    <n v="2795.9639999999999"/>
    <x v="4"/>
    <s v="FREESHIP"/>
    <n v="0"/>
    <x v="342"/>
    <s v="Akash Mirza"/>
    <n v="18.100000000000001"/>
    <n v="349.49549999999999"/>
    <n v="2777.864"/>
    <d v="2024-12-07T00:00:00"/>
    <d v="2024-12-09T00:00:00"/>
    <s v="Sophie"/>
    <n v="7"/>
    <n v="12"/>
    <x v="1"/>
    <x v="1"/>
    <x v="1"/>
    <n v="49"/>
  </r>
  <r>
    <d v="2023-11-21T00:00:00"/>
    <x v="4"/>
    <x v="3"/>
    <n v="10"/>
    <n v="333.35"/>
    <x v="1"/>
    <x v="1"/>
    <n v="0.15"/>
    <x v="1"/>
    <n v="2833.4749999999999"/>
    <x v="3"/>
    <s v="FREESHIP"/>
    <n v="0"/>
    <x v="343"/>
    <s v="Krish Fernandes"/>
    <n v="39.35"/>
    <n v="283.34749999999997"/>
    <n v="2794.125"/>
    <d v="2023-11-21T00:00:00"/>
    <d v="2023-11-26T00:00:00"/>
    <s v="Wendy"/>
    <n v="21"/>
    <n v="11"/>
    <x v="9"/>
    <x v="0"/>
    <x v="1"/>
    <n v="47"/>
  </r>
  <r>
    <d v="2024-12-16T00:00:00"/>
    <x v="2"/>
    <x v="3"/>
    <n v="8"/>
    <n v="378.88"/>
    <x v="1"/>
    <x v="0"/>
    <n v="0.1"/>
    <x v="2"/>
    <n v="2727.9360000000001"/>
    <x v="3"/>
    <s v="WINTER15"/>
    <n v="1"/>
    <x v="344"/>
    <s v="Fatima Bansal"/>
    <n v="5.22"/>
    <n v="340.99200000000002"/>
    <n v="2722.7160000000003"/>
    <d v="2024-12-16T00:00:00"/>
    <d v="2024-12-24T00:00:00"/>
    <s v="Ryan"/>
    <n v="16"/>
    <n v="12"/>
    <x v="1"/>
    <x v="1"/>
    <x v="1"/>
    <n v="51"/>
  </r>
  <r>
    <d v="2023-08-05T00:00:00"/>
    <x v="3"/>
    <x v="4"/>
    <n v="12"/>
    <n v="169.2"/>
    <x v="2"/>
    <x v="1"/>
    <n v="0.05"/>
    <x v="4"/>
    <n v="1928.88"/>
    <x v="1"/>
    <s v="SAVE10"/>
    <n v="0"/>
    <x v="345"/>
    <s v="Om Joseph"/>
    <n v="28.65"/>
    <n v="160.74"/>
    <n v="1900.23"/>
    <d v="2023-08-05T00:00:00"/>
    <d v="2023-08-15T00:00:00"/>
    <s v="Cameron"/>
    <n v="5"/>
    <n v="8"/>
    <x v="10"/>
    <x v="0"/>
    <x v="3"/>
    <n v="31"/>
  </r>
  <r>
    <d v="2023-08-30T00:00:00"/>
    <x v="3"/>
    <x v="3"/>
    <n v="7"/>
    <n v="103.03"/>
    <x v="3"/>
    <x v="1"/>
    <n v="0.1"/>
    <x v="5"/>
    <n v="649.08900000000006"/>
    <x v="0"/>
    <s v="FREESHIP"/>
    <n v="1"/>
    <x v="346"/>
    <s v="Neha Pandey"/>
    <n v="5.29"/>
    <n v="92.727000000000004"/>
    <n v="643.79900000000009"/>
    <d v="2023-08-30T00:00:00"/>
    <d v="2023-09-06T00:00:00"/>
    <s v="Cameron"/>
    <n v="30"/>
    <n v="8"/>
    <x v="10"/>
    <x v="0"/>
    <x v="3"/>
    <n v="35"/>
  </r>
  <r>
    <d v="2025-03-25T00:00:00"/>
    <x v="0"/>
    <x v="6"/>
    <n v="3"/>
    <n v="378.74"/>
    <x v="3"/>
    <x v="0"/>
    <n v="0.15"/>
    <x v="2"/>
    <n v="965.78700000000003"/>
    <x v="0"/>
    <s v="SAVE10"/>
    <n v="0"/>
    <x v="347"/>
    <s v="Shruti Mishra"/>
    <n v="8.2200000000000006"/>
    <n v="321.92900000000003"/>
    <n v="957.56700000000001"/>
    <d v="2025-03-25T00:00:00"/>
    <d v="2025-03-27T00:00:00"/>
    <s v="Eric"/>
    <n v="25"/>
    <n v="3"/>
    <x v="6"/>
    <x v="2"/>
    <x v="0"/>
    <n v="13"/>
  </r>
  <r>
    <d v="2024-12-13T00:00:00"/>
    <x v="2"/>
    <x v="1"/>
    <n v="15"/>
    <n v="27.21"/>
    <x v="2"/>
    <x v="0"/>
    <n v="0"/>
    <x v="1"/>
    <n v="408.15"/>
    <x v="0"/>
    <s v="WINTER15"/>
    <n v="0"/>
    <x v="348"/>
    <s v="Isha Pillai"/>
    <n v="43.69"/>
    <n v="27.209999999999997"/>
    <n v="364.46"/>
    <d v="2024-12-13T00:00:00"/>
    <d v="2024-12-22T00:00:00"/>
    <s v="Ryan"/>
    <n v="13"/>
    <n v="12"/>
    <x v="1"/>
    <x v="1"/>
    <x v="1"/>
    <n v="50"/>
  </r>
  <r>
    <d v="2023-09-07T00:00:00"/>
    <x v="3"/>
    <x v="1"/>
    <n v="14"/>
    <n v="52.09"/>
    <x v="1"/>
    <x v="1"/>
    <n v="0"/>
    <x v="5"/>
    <n v="729.26"/>
    <x v="1"/>
    <s v="nan"/>
    <n v="1"/>
    <x v="349"/>
    <s v="Kabir Jain"/>
    <n v="48.02"/>
    <n v="52.089999999999996"/>
    <n v="681.24"/>
    <d v="2023-09-07T00:00:00"/>
    <d v="2023-09-14T00:00:00"/>
    <s v="Cameron"/>
    <n v="7"/>
    <n v="9"/>
    <x v="11"/>
    <x v="0"/>
    <x v="3"/>
    <n v="36"/>
  </r>
  <r>
    <d v="2023-12-12T00:00:00"/>
    <x v="2"/>
    <x v="4"/>
    <n v="7"/>
    <n v="570.01"/>
    <x v="2"/>
    <x v="0"/>
    <n v="0"/>
    <x v="3"/>
    <n v="3990.07"/>
    <x v="2"/>
    <s v="WINTER15"/>
    <n v="0"/>
    <x v="350"/>
    <s v="Kunal Rao"/>
    <n v="42.33"/>
    <n v="570.01"/>
    <n v="3947.7400000000002"/>
    <d v="2023-12-12T00:00:00"/>
    <d v="2023-12-21T00:00:00"/>
    <s v="Ryan"/>
    <n v="12"/>
    <n v="12"/>
    <x v="1"/>
    <x v="0"/>
    <x v="1"/>
    <n v="50"/>
  </r>
  <r>
    <d v="2024-04-25T00:00:00"/>
    <x v="0"/>
    <x v="4"/>
    <n v="19"/>
    <n v="526.23"/>
    <x v="0"/>
    <x v="1"/>
    <n v="0"/>
    <x v="5"/>
    <n v="9998.3700000000008"/>
    <x v="2"/>
    <s v="WINTER15"/>
    <n v="0"/>
    <x v="351"/>
    <s v="Manish Khanna"/>
    <n v="32.770000000000003"/>
    <n v="526.23"/>
    <n v="9965.6"/>
    <d v="2024-04-25T00:00:00"/>
    <d v="2024-05-05T00:00:00"/>
    <s v="Eric"/>
    <n v="25"/>
    <n v="4"/>
    <x v="7"/>
    <x v="1"/>
    <x v="2"/>
    <n v="17"/>
  </r>
  <r>
    <d v="2025-05-04T00:00:00"/>
    <x v="2"/>
    <x v="0"/>
    <n v="8"/>
    <n v="294.51"/>
    <x v="1"/>
    <x v="0"/>
    <n v="0.15"/>
    <x v="4"/>
    <n v="2002.6679999999999"/>
    <x v="1"/>
    <s v="nan"/>
    <n v="0"/>
    <x v="352"/>
    <s v="Abhishek Sen"/>
    <n v="10.46"/>
    <n v="250.33349999999999"/>
    <n v="1992.2079999999999"/>
    <d v="2025-05-04T00:00:00"/>
    <d v="2025-05-07T00:00:00"/>
    <s v="Ryan"/>
    <n v="4"/>
    <n v="5"/>
    <x v="2"/>
    <x v="2"/>
    <x v="2"/>
    <n v="18"/>
  </r>
  <r>
    <d v="2023-09-16T00:00:00"/>
    <x v="1"/>
    <x v="4"/>
    <n v="18"/>
    <n v="448.27"/>
    <x v="2"/>
    <x v="0"/>
    <n v="0.05"/>
    <x v="4"/>
    <n v="7665.4169999999986"/>
    <x v="2"/>
    <s v="SAVE10"/>
    <n v="0"/>
    <x v="353"/>
    <s v="Zoya Mirza"/>
    <n v="47.56"/>
    <n v="425.85649999999993"/>
    <n v="7617.8569999999982"/>
    <d v="2023-09-16T00:00:00"/>
    <d v="2023-09-20T00:00:00"/>
    <s v="Sophie"/>
    <n v="16"/>
    <n v="9"/>
    <x v="11"/>
    <x v="0"/>
    <x v="3"/>
    <n v="37"/>
  </r>
  <r>
    <d v="2024-10-23T00:00:00"/>
    <x v="4"/>
    <x v="2"/>
    <n v="17"/>
    <n v="583.88"/>
    <x v="3"/>
    <x v="1"/>
    <n v="0.1"/>
    <x v="1"/>
    <n v="8933.3639999999996"/>
    <x v="2"/>
    <s v="WINTER15"/>
    <n v="0"/>
    <x v="354"/>
    <s v="Aaliyah Roy"/>
    <n v="37.53"/>
    <n v="525.49199999999996"/>
    <n v="8895.8339999999989"/>
    <d v="2024-10-23T00:00:00"/>
    <d v="2024-10-26T00:00:00"/>
    <s v="Wendy"/>
    <n v="23"/>
    <n v="10"/>
    <x v="5"/>
    <x v="1"/>
    <x v="1"/>
    <n v="43"/>
  </r>
  <r>
    <d v="2023-05-03T00:00:00"/>
    <x v="2"/>
    <x v="2"/>
    <n v="2"/>
    <n v="97.5"/>
    <x v="3"/>
    <x v="1"/>
    <n v="0.1"/>
    <x v="1"/>
    <n v="175.5"/>
    <x v="4"/>
    <s v="nan"/>
    <n v="1"/>
    <x v="355"/>
    <s v="Sneha Pillai"/>
    <n v="46.37"/>
    <n v="87.75"/>
    <n v="129.13"/>
    <d v="2023-05-03T00:00:00"/>
    <d v="2023-05-06T00:00:00"/>
    <s v="Ryan"/>
    <n v="3"/>
    <n v="5"/>
    <x v="2"/>
    <x v="0"/>
    <x v="2"/>
    <n v="18"/>
  </r>
  <r>
    <d v="2025-03-18T00:00:00"/>
    <x v="2"/>
    <x v="6"/>
    <n v="16"/>
    <n v="420.79"/>
    <x v="0"/>
    <x v="0"/>
    <n v="0.15"/>
    <x v="3"/>
    <n v="5722.7439999999997"/>
    <x v="4"/>
    <s v="FREESHIP"/>
    <n v="1"/>
    <x v="356"/>
    <s v="Aditi Mishra"/>
    <n v="22.13"/>
    <n v="357.67149999999998"/>
    <n v="5700.6139999999996"/>
    <d v="2025-03-18T00:00:00"/>
    <d v="2025-03-25T00:00:00"/>
    <s v="Ryan"/>
    <n v="18"/>
    <n v="3"/>
    <x v="6"/>
    <x v="2"/>
    <x v="0"/>
    <n v="12"/>
  </r>
  <r>
    <d v="2023-08-25T00:00:00"/>
    <x v="4"/>
    <x v="3"/>
    <n v="13"/>
    <n v="513.17999999999995"/>
    <x v="0"/>
    <x v="1"/>
    <n v="0"/>
    <x v="0"/>
    <n v="6671.3399999999992"/>
    <x v="2"/>
    <s v="FREESHIP"/>
    <n v="0"/>
    <x v="357"/>
    <s v="Parth Yadav"/>
    <n v="10.57"/>
    <n v="513.17999999999995"/>
    <n v="6660.7699999999995"/>
    <d v="2023-08-25T00:00:00"/>
    <d v="2023-08-27T00:00:00"/>
    <s v="Wendy"/>
    <n v="25"/>
    <n v="8"/>
    <x v="10"/>
    <x v="0"/>
    <x v="3"/>
    <n v="34"/>
  </r>
  <r>
    <d v="2023-07-13T00:00:00"/>
    <x v="2"/>
    <x v="4"/>
    <n v="19"/>
    <n v="475.64"/>
    <x v="2"/>
    <x v="1"/>
    <n v="0.1"/>
    <x v="2"/>
    <n v="8133.4440000000004"/>
    <x v="4"/>
    <s v="WINTER15"/>
    <n v="1"/>
    <x v="358"/>
    <s v="Palak Patel"/>
    <n v="11.17"/>
    <n v="428.07600000000002"/>
    <n v="8122.2740000000003"/>
    <d v="2023-07-13T00:00:00"/>
    <d v="2023-07-17T00:00:00"/>
    <s v="Ryan"/>
    <n v="13"/>
    <n v="7"/>
    <x v="8"/>
    <x v="0"/>
    <x v="3"/>
    <n v="28"/>
  </r>
  <r>
    <d v="2025-02-25T00:00:00"/>
    <x v="2"/>
    <x v="5"/>
    <n v="13"/>
    <n v="238.34"/>
    <x v="2"/>
    <x v="1"/>
    <n v="0.1"/>
    <x v="3"/>
    <n v="2788.578"/>
    <x v="2"/>
    <s v="SAVE10"/>
    <n v="1"/>
    <x v="359"/>
    <s v="Kunal Kulkarni"/>
    <n v="7.9"/>
    <n v="214.506"/>
    <n v="2780.6779999999999"/>
    <d v="2025-02-25T00:00:00"/>
    <d v="2025-03-06T00:00:00"/>
    <s v="Ryan"/>
    <n v="25"/>
    <n v="2"/>
    <x v="0"/>
    <x v="2"/>
    <x v="0"/>
    <n v="9"/>
  </r>
  <r>
    <d v="2025-04-14T00:00:00"/>
    <x v="3"/>
    <x v="0"/>
    <n v="14"/>
    <n v="285.02999999999997"/>
    <x v="0"/>
    <x v="0"/>
    <n v="0.1"/>
    <x v="0"/>
    <n v="3591.3780000000002"/>
    <x v="2"/>
    <s v="SAVE10"/>
    <n v="0"/>
    <x v="360"/>
    <s v="Sanya Gupta"/>
    <n v="41.5"/>
    <n v="256.52699999999999"/>
    <n v="3549.8780000000002"/>
    <d v="2025-04-14T00:00:00"/>
    <d v="2025-04-17T00:00:00"/>
    <s v="Cameron"/>
    <n v="14"/>
    <n v="4"/>
    <x v="7"/>
    <x v="2"/>
    <x v="2"/>
    <n v="16"/>
  </r>
  <r>
    <d v="2025-06-15T00:00:00"/>
    <x v="3"/>
    <x v="2"/>
    <n v="5"/>
    <n v="5.52"/>
    <x v="2"/>
    <x v="1"/>
    <n v="0.05"/>
    <x v="1"/>
    <n v="26.22"/>
    <x v="2"/>
    <s v="FREESHIP"/>
    <n v="0"/>
    <x v="361"/>
    <s v="Karan Tripathi"/>
    <n v="10.58"/>
    <n v="5.2439999999999998"/>
    <n v="15.639999999999999"/>
    <d v="2025-06-15T00:00:00"/>
    <d v="2025-06-18T00:00:00"/>
    <s v="Cameron"/>
    <n v="15"/>
    <n v="6"/>
    <x v="3"/>
    <x v="2"/>
    <x v="2"/>
    <n v="24"/>
  </r>
  <r>
    <d v="2024-10-22T00:00:00"/>
    <x v="2"/>
    <x v="4"/>
    <n v="18"/>
    <n v="396.25"/>
    <x v="3"/>
    <x v="1"/>
    <n v="0.1"/>
    <x v="2"/>
    <n v="6419.25"/>
    <x v="2"/>
    <s v="FREESHIP"/>
    <n v="0"/>
    <x v="362"/>
    <s v="Nisha Khan"/>
    <n v="20.39"/>
    <n v="356.625"/>
    <n v="6398.86"/>
    <d v="2024-10-22T00:00:00"/>
    <d v="2024-10-27T00:00:00"/>
    <s v="Ryan"/>
    <n v="22"/>
    <n v="10"/>
    <x v="5"/>
    <x v="1"/>
    <x v="1"/>
    <n v="43"/>
  </r>
  <r>
    <d v="2023-06-20T00:00:00"/>
    <x v="1"/>
    <x v="0"/>
    <n v="9"/>
    <n v="282.8"/>
    <x v="3"/>
    <x v="0"/>
    <n v="0.05"/>
    <x v="0"/>
    <n v="2417.94"/>
    <x v="0"/>
    <s v="nan"/>
    <n v="0"/>
    <x v="363"/>
    <s v="Kavya Patel"/>
    <n v="49.79"/>
    <n v="268.66000000000003"/>
    <n v="2368.15"/>
    <d v="2023-06-20T00:00:00"/>
    <d v="2023-06-25T00:00:00"/>
    <s v="Sophie"/>
    <n v="20"/>
    <n v="6"/>
    <x v="3"/>
    <x v="0"/>
    <x v="2"/>
    <n v="25"/>
  </r>
  <r>
    <d v="2025-03-05T00:00:00"/>
    <x v="1"/>
    <x v="1"/>
    <n v="6"/>
    <n v="525.42999999999995"/>
    <x v="2"/>
    <x v="0"/>
    <n v="0.05"/>
    <x v="1"/>
    <n v="2994.951"/>
    <x v="2"/>
    <s v="nan"/>
    <n v="0"/>
    <x v="364"/>
    <s v="Sara Roy"/>
    <n v="39.28"/>
    <n v="499.1585"/>
    <n v="2955.6709999999998"/>
    <d v="2025-03-05T00:00:00"/>
    <d v="2025-03-11T00:00:00"/>
    <s v="Sophie"/>
    <n v="5"/>
    <n v="3"/>
    <x v="6"/>
    <x v="2"/>
    <x v="0"/>
    <n v="10"/>
  </r>
  <r>
    <d v="2023-10-28T00:00:00"/>
    <x v="4"/>
    <x v="5"/>
    <n v="15"/>
    <n v="127.67"/>
    <x v="3"/>
    <x v="1"/>
    <n v="0.1"/>
    <x v="1"/>
    <n v="1723.5450000000001"/>
    <x v="3"/>
    <s v="nan"/>
    <n v="0"/>
    <x v="365"/>
    <s v="Akash Qureshi"/>
    <n v="48.77"/>
    <n v="114.90300000000001"/>
    <n v="1674.7750000000001"/>
    <d v="2023-10-28T00:00:00"/>
    <d v="2023-10-30T00:00:00"/>
    <s v="Wendy"/>
    <n v="28"/>
    <n v="10"/>
    <x v="5"/>
    <x v="0"/>
    <x v="1"/>
    <n v="43"/>
  </r>
  <r>
    <d v="2025-03-19T00:00:00"/>
    <x v="3"/>
    <x v="0"/>
    <n v="17"/>
    <n v="511.8"/>
    <x v="0"/>
    <x v="1"/>
    <n v="0.05"/>
    <x v="3"/>
    <n v="8265.57"/>
    <x v="2"/>
    <s v="WINTER15"/>
    <n v="1"/>
    <x v="366"/>
    <s v="Trisha Bhargava"/>
    <n v="13.33"/>
    <n v="486.21"/>
    <n v="8252.24"/>
    <d v="2025-03-19T00:00:00"/>
    <d v="2025-03-26T00:00:00"/>
    <s v="Cameron"/>
    <n v="19"/>
    <n v="3"/>
    <x v="6"/>
    <x v="2"/>
    <x v="0"/>
    <n v="12"/>
  </r>
  <r>
    <d v="2023-08-06T00:00:00"/>
    <x v="4"/>
    <x v="5"/>
    <n v="4"/>
    <n v="555.86"/>
    <x v="2"/>
    <x v="1"/>
    <n v="0.05"/>
    <x v="5"/>
    <n v="2112.268"/>
    <x v="4"/>
    <s v="FREESHIP"/>
    <n v="0"/>
    <x v="367"/>
    <s v="Deepak Kapoor"/>
    <n v="28.92"/>
    <n v="528.06700000000001"/>
    <n v="2083.348"/>
    <d v="2023-08-06T00:00:00"/>
    <d v="2023-08-08T00:00:00"/>
    <s v="Wendy"/>
    <n v="6"/>
    <n v="8"/>
    <x v="10"/>
    <x v="0"/>
    <x v="3"/>
    <n v="31"/>
  </r>
  <r>
    <d v="2024-09-11T00:00:00"/>
    <x v="3"/>
    <x v="4"/>
    <n v="15"/>
    <n v="202.72"/>
    <x v="3"/>
    <x v="1"/>
    <n v="0.05"/>
    <x v="0"/>
    <n v="2888.76"/>
    <x v="3"/>
    <s v="WINTER15"/>
    <n v="1"/>
    <x v="368"/>
    <s v="Shruti Qureshi"/>
    <n v="41.61"/>
    <n v="192.584"/>
    <n v="2847.15"/>
    <d v="2024-09-11T00:00:00"/>
    <d v="2024-09-19T00:00:00"/>
    <s v="Cameron"/>
    <n v="11"/>
    <n v="9"/>
    <x v="11"/>
    <x v="1"/>
    <x v="3"/>
    <n v="37"/>
  </r>
  <r>
    <d v="2025-01-08T00:00:00"/>
    <x v="3"/>
    <x v="3"/>
    <n v="4"/>
    <n v="353.7"/>
    <x v="1"/>
    <x v="0"/>
    <n v="0"/>
    <x v="2"/>
    <n v="1414.8"/>
    <x v="2"/>
    <s v="FREESHIP"/>
    <n v="0"/>
    <x v="369"/>
    <s v="Pooja Joshi"/>
    <n v="41.98"/>
    <n v="353.7"/>
    <n v="1372.82"/>
    <d v="2025-01-08T00:00:00"/>
    <d v="2025-01-12T00:00:00"/>
    <s v="Cameron"/>
    <n v="8"/>
    <n v="1"/>
    <x v="4"/>
    <x v="2"/>
    <x v="0"/>
    <n v="2"/>
  </r>
  <r>
    <d v="2024-08-12T00:00:00"/>
    <x v="3"/>
    <x v="3"/>
    <n v="3"/>
    <n v="149.25"/>
    <x v="3"/>
    <x v="0"/>
    <n v="0"/>
    <x v="3"/>
    <n v="447.75"/>
    <x v="3"/>
    <s v="nan"/>
    <n v="1"/>
    <x v="370"/>
    <s v="Myra Khan"/>
    <n v="13.17"/>
    <n v="149.25"/>
    <n v="434.58"/>
    <d v="2024-08-12T00:00:00"/>
    <d v="2024-08-14T00:00:00"/>
    <s v="Cameron"/>
    <n v="12"/>
    <n v="8"/>
    <x v="10"/>
    <x v="1"/>
    <x v="3"/>
    <n v="33"/>
  </r>
  <r>
    <d v="2023-03-30T00:00:00"/>
    <x v="2"/>
    <x v="4"/>
    <n v="19"/>
    <n v="156.44"/>
    <x v="2"/>
    <x v="0"/>
    <n v="0.1"/>
    <x v="1"/>
    <n v="2675.1239999999998"/>
    <x v="0"/>
    <s v="WINTER15"/>
    <n v="0"/>
    <x v="371"/>
    <s v="Yash Kapoor"/>
    <n v="19.440000000000001"/>
    <n v="140.79599999999999"/>
    <n v="2655.6839999999997"/>
    <d v="2023-03-30T00:00:00"/>
    <d v="2023-04-04T00:00:00"/>
    <s v="Ryan"/>
    <n v="30"/>
    <n v="3"/>
    <x v="6"/>
    <x v="0"/>
    <x v="0"/>
    <n v="13"/>
  </r>
  <r>
    <d v="2023-02-01T00:00:00"/>
    <x v="3"/>
    <x v="1"/>
    <n v="7"/>
    <n v="241.76"/>
    <x v="3"/>
    <x v="0"/>
    <n v="0"/>
    <x v="3"/>
    <n v="1692.32"/>
    <x v="0"/>
    <s v="SAVE10"/>
    <n v="0"/>
    <x v="372"/>
    <s v="Simran Kaur"/>
    <n v="48.13"/>
    <n v="241.76"/>
    <n v="1644.1899999999998"/>
    <d v="2023-02-01T00:00:00"/>
    <d v="2023-02-09T00:00:00"/>
    <s v="Cameron"/>
    <n v="1"/>
    <n v="2"/>
    <x v="0"/>
    <x v="0"/>
    <x v="0"/>
    <n v="5"/>
  </r>
  <r>
    <d v="2025-04-18T00:00:00"/>
    <x v="2"/>
    <x v="0"/>
    <n v="20"/>
    <n v="170.49"/>
    <x v="1"/>
    <x v="0"/>
    <n v="0"/>
    <x v="4"/>
    <n v="3409.8"/>
    <x v="0"/>
    <s v="FREESHIP"/>
    <n v="0"/>
    <x v="373"/>
    <s v="Alina Tiwari"/>
    <n v="19.739999999999998"/>
    <n v="170.49"/>
    <n v="3390.0600000000004"/>
    <d v="2025-04-18T00:00:00"/>
    <d v="2025-04-27T00:00:00"/>
    <s v="Ryan"/>
    <n v="18"/>
    <n v="4"/>
    <x v="7"/>
    <x v="2"/>
    <x v="2"/>
    <n v="16"/>
  </r>
  <r>
    <d v="2025-03-29T00:00:00"/>
    <x v="3"/>
    <x v="4"/>
    <n v="11"/>
    <n v="149.66999999999999"/>
    <x v="2"/>
    <x v="1"/>
    <n v="0.1"/>
    <x v="0"/>
    <n v="1481.7329999999999"/>
    <x v="2"/>
    <s v="nan"/>
    <n v="0"/>
    <x v="374"/>
    <s v="Priya Banerjee"/>
    <n v="34.130000000000003"/>
    <n v="134.703"/>
    <n v="1447.6029999999998"/>
    <d v="2025-03-29T00:00:00"/>
    <d v="2025-04-02T00:00:00"/>
    <s v="Cameron"/>
    <n v="29"/>
    <n v="3"/>
    <x v="6"/>
    <x v="2"/>
    <x v="0"/>
    <n v="13"/>
  </r>
  <r>
    <d v="2024-04-25T00:00:00"/>
    <x v="0"/>
    <x v="5"/>
    <n v="1"/>
    <n v="173.56"/>
    <x v="3"/>
    <x v="1"/>
    <n v="0.1"/>
    <x v="0"/>
    <n v="156.20400000000001"/>
    <x v="3"/>
    <s v="FREESHIP"/>
    <n v="0"/>
    <x v="375"/>
    <s v="Isha Pai"/>
    <n v="39.1"/>
    <n v="156.20400000000001"/>
    <n v="117.10400000000001"/>
    <d v="2024-04-25T00:00:00"/>
    <d v="2024-04-28T00:00:00"/>
    <s v="Eric"/>
    <n v="25"/>
    <n v="4"/>
    <x v="7"/>
    <x v="1"/>
    <x v="2"/>
    <n v="17"/>
  </r>
  <r>
    <d v="2024-09-22T00:00:00"/>
    <x v="1"/>
    <x v="4"/>
    <n v="7"/>
    <n v="349.55"/>
    <x v="1"/>
    <x v="1"/>
    <n v="0.05"/>
    <x v="3"/>
    <n v="2324.5075000000002"/>
    <x v="2"/>
    <s v="FREESHIP"/>
    <n v="0"/>
    <x v="376"/>
    <s v="Laksh George"/>
    <n v="23.7"/>
    <n v="332.07250000000005"/>
    <n v="2300.8075000000003"/>
    <d v="2024-09-22T00:00:00"/>
    <d v="2024-09-27T00:00:00"/>
    <s v="Sophie"/>
    <n v="22"/>
    <n v="9"/>
    <x v="11"/>
    <x v="1"/>
    <x v="3"/>
    <n v="38"/>
  </r>
  <r>
    <d v="2023-08-05T00:00:00"/>
    <x v="3"/>
    <x v="5"/>
    <n v="9"/>
    <n v="245.14"/>
    <x v="0"/>
    <x v="0"/>
    <n v="0"/>
    <x v="1"/>
    <n v="2206.2600000000002"/>
    <x v="0"/>
    <s v="SAVE10"/>
    <n v="1"/>
    <x v="377"/>
    <s v="Trisha Tiwari"/>
    <n v="44.6"/>
    <n v="245.14000000000001"/>
    <n v="2161.6600000000003"/>
    <d v="2023-08-05T00:00:00"/>
    <d v="2023-08-14T00:00:00"/>
    <s v="Cameron"/>
    <n v="5"/>
    <n v="8"/>
    <x v="10"/>
    <x v="0"/>
    <x v="3"/>
    <n v="31"/>
  </r>
  <r>
    <d v="2024-06-07T00:00:00"/>
    <x v="1"/>
    <x v="2"/>
    <n v="1"/>
    <n v="423.08"/>
    <x v="0"/>
    <x v="0"/>
    <n v="0.05"/>
    <x v="5"/>
    <n v="401.92599999999999"/>
    <x v="1"/>
    <s v="WINTER15"/>
    <n v="0"/>
    <x v="378"/>
    <s v="Zoya Fernandes"/>
    <n v="31.75"/>
    <n v="401.92599999999999"/>
    <n v="370.17599999999999"/>
    <d v="2024-06-07T00:00:00"/>
    <d v="2024-06-11T00:00:00"/>
    <s v="Sophie"/>
    <n v="7"/>
    <n v="6"/>
    <x v="3"/>
    <x v="1"/>
    <x v="2"/>
    <n v="23"/>
  </r>
  <r>
    <d v="2025-05-24T00:00:00"/>
    <x v="0"/>
    <x v="1"/>
    <n v="19"/>
    <n v="337.82"/>
    <x v="0"/>
    <x v="0"/>
    <n v="0.15"/>
    <x v="1"/>
    <n v="5455.7929999999997"/>
    <x v="0"/>
    <s v="FREESHIP"/>
    <n v="0"/>
    <x v="379"/>
    <s v="Manya Nair"/>
    <n v="45.74"/>
    <n v="287.14699999999999"/>
    <n v="5410.0529999999999"/>
    <d v="2025-05-24T00:00:00"/>
    <d v="2025-05-30T00:00:00"/>
    <s v="Eric"/>
    <n v="24"/>
    <n v="5"/>
    <x v="2"/>
    <x v="2"/>
    <x v="2"/>
    <n v="21"/>
  </r>
  <r>
    <d v="2024-07-18T00:00:00"/>
    <x v="1"/>
    <x v="3"/>
    <n v="10"/>
    <n v="252.63"/>
    <x v="0"/>
    <x v="1"/>
    <n v="0.15"/>
    <x v="0"/>
    <n v="2147.355"/>
    <x v="4"/>
    <s v="FREESHIP"/>
    <n v="0"/>
    <x v="380"/>
    <s v="Nazia Reddy"/>
    <n v="8.92"/>
    <n v="214.7355"/>
    <n v="2138.4349999999999"/>
    <d v="2024-07-18T00:00:00"/>
    <d v="2024-07-25T00:00:00"/>
    <s v="Sophie"/>
    <n v="18"/>
    <n v="7"/>
    <x v="8"/>
    <x v="1"/>
    <x v="3"/>
    <n v="29"/>
  </r>
  <r>
    <d v="2024-07-14T00:00:00"/>
    <x v="4"/>
    <x v="5"/>
    <n v="3"/>
    <n v="87.02"/>
    <x v="0"/>
    <x v="0"/>
    <n v="0.1"/>
    <x v="2"/>
    <n v="234.95400000000001"/>
    <x v="4"/>
    <s v="WINTER15"/>
    <n v="0"/>
    <x v="381"/>
    <s v="Varun Khanna"/>
    <n v="11.13"/>
    <n v="78.317999999999998"/>
    <n v="223.82400000000001"/>
    <d v="2024-07-14T00:00:00"/>
    <d v="2024-07-16T00:00:00"/>
    <s v="Wendy"/>
    <n v="14"/>
    <n v="7"/>
    <x v="8"/>
    <x v="1"/>
    <x v="3"/>
    <n v="28"/>
  </r>
  <r>
    <d v="2023-04-14T00:00:00"/>
    <x v="3"/>
    <x v="5"/>
    <n v="11"/>
    <n v="6.72"/>
    <x v="3"/>
    <x v="0"/>
    <n v="0.05"/>
    <x v="5"/>
    <n v="70.224000000000004"/>
    <x v="4"/>
    <s v="SAVE10"/>
    <n v="0"/>
    <x v="382"/>
    <s v="Tanvi Desai"/>
    <n v="34.270000000000003"/>
    <n v="6.3840000000000003"/>
    <n v="35.954000000000001"/>
    <d v="2023-04-14T00:00:00"/>
    <d v="2023-04-19T00:00:00"/>
    <s v="Cameron"/>
    <n v="14"/>
    <n v="4"/>
    <x v="7"/>
    <x v="0"/>
    <x v="2"/>
    <n v="15"/>
  </r>
  <r>
    <d v="2023-06-01T00:00:00"/>
    <x v="1"/>
    <x v="6"/>
    <n v="2"/>
    <n v="279.38"/>
    <x v="3"/>
    <x v="1"/>
    <n v="0.1"/>
    <x v="3"/>
    <n v="502.88400000000001"/>
    <x v="0"/>
    <s v="FREESHIP"/>
    <n v="0"/>
    <x v="383"/>
    <s v="Aman Bose"/>
    <n v="22.95"/>
    <n v="251.44200000000001"/>
    <n v="479.93400000000003"/>
    <d v="2023-06-01T00:00:00"/>
    <d v="2023-06-06T00:00:00"/>
    <s v="Sophie"/>
    <n v="1"/>
    <n v="6"/>
    <x v="3"/>
    <x v="0"/>
    <x v="2"/>
    <n v="22"/>
  </r>
  <r>
    <d v="2025-04-17T00:00:00"/>
    <x v="3"/>
    <x v="1"/>
    <n v="9"/>
    <n v="207.8"/>
    <x v="3"/>
    <x v="1"/>
    <n v="0.1"/>
    <x v="1"/>
    <n v="1683.18"/>
    <x v="0"/>
    <s v="WINTER15"/>
    <n v="0"/>
    <x v="384"/>
    <s v="Raj Malhotra"/>
    <n v="16.989999999999998"/>
    <n v="187.02"/>
    <n v="1666.19"/>
    <d v="2025-04-17T00:00:00"/>
    <d v="2025-04-20T00:00:00"/>
    <s v="Cameron"/>
    <n v="17"/>
    <n v="4"/>
    <x v="7"/>
    <x v="2"/>
    <x v="2"/>
    <n v="16"/>
  </r>
  <r>
    <d v="2025-03-31T00:00:00"/>
    <x v="0"/>
    <x v="6"/>
    <n v="15"/>
    <n v="511.88"/>
    <x v="2"/>
    <x v="0"/>
    <n v="0.05"/>
    <x v="5"/>
    <n v="7294.2899999999991"/>
    <x v="4"/>
    <s v="SAVE10"/>
    <n v="0"/>
    <x v="385"/>
    <s v="Aman Sharma"/>
    <n v="10.220000000000001"/>
    <n v="486.28599999999994"/>
    <n v="7284.0699999999988"/>
    <d v="2025-03-31T00:00:00"/>
    <d v="2025-04-09T00:00:00"/>
    <s v="Eric"/>
    <n v="31"/>
    <n v="3"/>
    <x v="6"/>
    <x v="2"/>
    <x v="0"/>
    <n v="14"/>
  </r>
  <r>
    <d v="2024-07-15T00:00:00"/>
    <x v="0"/>
    <x v="6"/>
    <n v="10"/>
    <n v="325.97000000000003"/>
    <x v="3"/>
    <x v="1"/>
    <n v="0"/>
    <x v="5"/>
    <n v="3259.7"/>
    <x v="4"/>
    <s v="FREESHIP"/>
    <n v="1"/>
    <x v="386"/>
    <s v="Kiara George"/>
    <n v="49.95"/>
    <n v="325.96999999999997"/>
    <n v="3209.75"/>
    <d v="2024-07-15T00:00:00"/>
    <d v="2024-07-22T00:00:00"/>
    <s v="Eric"/>
    <n v="15"/>
    <n v="7"/>
    <x v="8"/>
    <x v="1"/>
    <x v="3"/>
    <n v="29"/>
  </r>
  <r>
    <d v="2024-08-30T00:00:00"/>
    <x v="1"/>
    <x v="0"/>
    <n v="17"/>
    <n v="469.32"/>
    <x v="0"/>
    <x v="1"/>
    <n v="0"/>
    <x v="3"/>
    <n v="7978.44"/>
    <x v="1"/>
    <s v="WINTER15"/>
    <n v="1"/>
    <x v="387"/>
    <s v="Aaliyah Ansari"/>
    <n v="5.86"/>
    <n v="469.32"/>
    <n v="7972.58"/>
    <d v="2024-08-30T00:00:00"/>
    <d v="2024-09-01T00:00:00"/>
    <s v="Sophie"/>
    <n v="30"/>
    <n v="8"/>
    <x v="10"/>
    <x v="1"/>
    <x v="3"/>
    <n v="35"/>
  </r>
  <r>
    <d v="2025-01-07T00:00:00"/>
    <x v="3"/>
    <x v="1"/>
    <n v="13"/>
    <n v="186.69"/>
    <x v="3"/>
    <x v="0"/>
    <n v="0"/>
    <x v="5"/>
    <n v="2426.9699999999998"/>
    <x v="4"/>
    <s v="FREESHIP"/>
    <n v="0"/>
    <x v="388"/>
    <s v="Aditi Verma"/>
    <n v="19.920000000000002"/>
    <n v="186.69"/>
    <n v="2407.0499999999997"/>
    <d v="2025-01-07T00:00:00"/>
    <d v="2025-01-10T00:00:00"/>
    <s v="Cameron"/>
    <n v="7"/>
    <n v="1"/>
    <x v="4"/>
    <x v="2"/>
    <x v="0"/>
    <n v="2"/>
  </r>
  <r>
    <d v="2025-02-05T00:00:00"/>
    <x v="1"/>
    <x v="1"/>
    <n v="16"/>
    <n v="34.659999999999997"/>
    <x v="2"/>
    <x v="1"/>
    <n v="0.05"/>
    <x v="1"/>
    <n v="526.83199999999988"/>
    <x v="3"/>
    <s v="nan"/>
    <n v="0"/>
    <x v="389"/>
    <s v="Nikhil Roy"/>
    <n v="49.9"/>
    <n v="32.926999999999992"/>
    <n v="476.9319999999999"/>
    <d v="2025-02-05T00:00:00"/>
    <d v="2025-02-11T00:00:00"/>
    <s v="Sophie"/>
    <n v="5"/>
    <n v="2"/>
    <x v="0"/>
    <x v="2"/>
    <x v="0"/>
    <n v="6"/>
  </r>
  <r>
    <d v="2024-04-01T00:00:00"/>
    <x v="2"/>
    <x v="6"/>
    <n v="18"/>
    <n v="155.04"/>
    <x v="0"/>
    <x v="0"/>
    <n v="0.15"/>
    <x v="2"/>
    <n v="2372.1120000000001"/>
    <x v="4"/>
    <s v="WINTER15"/>
    <n v="0"/>
    <x v="390"/>
    <s v="Ritika Joseph"/>
    <n v="39.99"/>
    <n v="131.78399999999999"/>
    <n v="2332.1220000000003"/>
    <d v="2024-04-01T00:00:00"/>
    <d v="2024-04-04T00:00:00"/>
    <s v="Ryan"/>
    <n v="1"/>
    <n v="4"/>
    <x v="7"/>
    <x v="1"/>
    <x v="2"/>
    <n v="14"/>
  </r>
  <r>
    <d v="2025-03-01T00:00:00"/>
    <x v="4"/>
    <x v="4"/>
    <n v="4"/>
    <n v="69.599999999999994"/>
    <x v="3"/>
    <x v="0"/>
    <n v="0.05"/>
    <x v="0"/>
    <n v="264.48"/>
    <x v="1"/>
    <s v="SAVE10"/>
    <n v="0"/>
    <x v="391"/>
    <s v="Yash Mishra"/>
    <n v="17.68"/>
    <n v="66.12"/>
    <n v="246.8"/>
    <d v="2025-03-01T00:00:00"/>
    <d v="2025-03-09T00:00:00"/>
    <s v="Wendy"/>
    <n v="1"/>
    <n v="3"/>
    <x v="6"/>
    <x v="2"/>
    <x v="0"/>
    <n v="9"/>
  </r>
  <r>
    <d v="2023-07-03T00:00:00"/>
    <x v="3"/>
    <x v="4"/>
    <n v="13"/>
    <n v="55.09"/>
    <x v="1"/>
    <x v="0"/>
    <n v="0.15"/>
    <x v="4"/>
    <n v="608.74450000000002"/>
    <x v="4"/>
    <s v="FREESHIP"/>
    <n v="1"/>
    <x v="392"/>
    <s v="Tanvi Das"/>
    <n v="47.78"/>
    <n v="46.826500000000003"/>
    <n v="560.96450000000004"/>
    <d v="2023-07-03T00:00:00"/>
    <d v="2023-07-06T00:00:00"/>
    <s v="Cameron"/>
    <n v="3"/>
    <n v="7"/>
    <x v="8"/>
    <x v="0"/>
    <x v="3"/>
    <n v="27"/>
  </r>
  <r>
    <d v="2023-04-25T00:00:00"/>
    <x v="3"/>
    <x v="0"/>
    <n v="13"/>
    <n v="206.11"/>
    <x v="0"/>
    <x v="1"/>
    <n v="0.15"/>
    <x v="5"/>
    <n v="2277.5155"/>
    <x v="1"/>
    <s v="SAVE10"/>
    <n v="1"/>
    <x v="393"/>
    <s v="Raina Bhatia"/>
    <n v="22.59"/>
    <n v="175.1935"/>
    <n v="2254.9254999999998"/>
    <d v="2023-04-25T00:00:00"/>
    <d v="2023-05-01T00:00:00"/>
    <s v="Cameron"/>
    <n v="25"/>
    <n v="4"/>
    <x v="7"/>
    <x v="0"/>
    <x v="2"/>
    <n v="17"/>
  </r>
  <r>
    <d v="2025-04-09T00:00:00"/>
    <x v="4"/>
    <x v="5"/>
    <n v="14"/>
    <n v="484.38"/>
    <x v="3"/>
    <x v="1"/>
    <n v="0.05"/>
    <x v="2"/>
    <n v="6442.253999999999"/>
    <x v="3"/>
    <s v="SAVE10"/>
    <n v="0"/>
    <x v="394"/>
    <s v="Mohit Agarwal"/>
    <n v="29.24"/>
    <n v="460.16099999999994"/>
    <n v="6413.0139999999992"/>
    <d v="2025-04-09T00:00:00"/>
    <d v="2025-04-19T00:00:00"/>
    <s v="Wendy"/>
    <n v="9"/>
    <n v="4"/>
    <x v="7"/>
    <x v="2"/>
    <x v="2"/>
    <n v="15"/>
  </r>
  <r>
    <d v="2023-11-05T00:00:00"/>
    <x v="2"/>
    <x v="4"/>
    <n v="6"/>
    <n v="449.57"/>
    <x v="3"/>
    <x v="0"/>
    <n v="0"/>
    <x v="2"/>
    <n v="2697.42"/>
    <x v="1"/>
    <s v="WINTER15"/>
    <n v="0"/>
    <x v="395"/>
    <s v="Simran Dutta"/>
    <n v="23.09"/>
    <n v="449.57"/>
    <n v="2674.33"/>
    <d v="2023-11-05T00:00:00"/>
    <d v="2023-11-12T00:00:00"/>
    <s v="Ryan"/>
    <n v="5"/>
    <n v="11"/>
    <x v="9"/>
    <x v="0"/>
    <x v="1"/>
    <n v="44"/>
  </r>
  <r>
    <d v="2023-01-13T00:00:00"/>
    <x v="0"/>
    <x v="0"/>
    <n v="9"/>
    <n v="223.01"/>
    <x v="2"/>
    <x v="1"/>
    <n v="0"/>
    <x v="4"/>
    <n v="2007.09"/>
    <x v="4"/>
    <s v="nan"/>
    <n v="1"/>
    <x v="396"/>
    <s v="Riya Malhotra"/>
    <n v="11.9"/>
    <n v="223.01"/>
    <n v="1995.1899999999998"/>
    <d v="2023-01-13T00:00:00"/>
    <d v="2023-01-19T00:00:00"/>
    <s v="Eric"/>
    <n v="13"/>
    <n v="1"/>
    <x v="4"/>
    <x v="0"/>
    <x v="0"/>
    <n v="2"/>
  </r>
  <r>
    <d v="2025-02-06T00:00:00"/>
    <x v="4"/>
    <x v="3"/>
    <n v="14"/>
    <n v="291.91000000000003"/>
    <x v="1"/>
    <x v="1"/>
    <n v="0.15"/>
    <x v="2"/>
    <n v="3473.7289999999998"/>
    <x v="2"/>
    <s v="nan"/>
    <n v="0"/>
    <x v="397"/>
    <s v="Rahul Vora"/>
    <n v="27.51"/>
    <n v="248.12349999999998"/>
    <n v="3446.2189999999996"/>
    <d v="2025-02-06T00:00:00"/>
    <d v="2025-02-10T00:00:00"/>
    <s v="Wendy"/>
    <n v="6"/>
    <n v="2"/>
    <x v="0"/>
    <x v="2"/>
    <x v="0"/>
    <n v="6"/>
  </r>
  <r>
    <d v="2023-05-20T00:00:00"/>
    <x v="1"/>
    <x v="4"/>
    <n v="13"/>
    <n v="90.86"/>
    <x v="1"/>
    <x v="0"/>
    <n v="0"/>
    <x v="3"/>
    <n v="1181.18"/>
    <x v="1"/>
    <s v="SAVE10"/>
    <n v="0"/>
    <x v="398"/>
    <s v="Manya Roy"/>
    <n v="16.739999999999998"/>
    <n v="90.86"/>
    <n v="1164.44"/>
    <d v="2023-05-20T00:00:00"/>
    <d v="2023-05-25T00:00:00"/>
    <s v="Sophie"/>
    <n v="20"/>
    <n v="5"/>
    <x v="2"/>
    <x v="0"/>
    <x v="2"/>
    <n v="20"/>
  </r>
  <r>
    <d v="2025-06-18T00:00:00"/>
    <x v="0"/>
    <x v="2"/>
    <n v="4"/>
    <n v="109.05"/>
    <x v="3"/>
    <x v="0"/>
    <n v="0"/>
    <x v="4"/>
    <n v="436.2"/>
    <x v="1"/>
    <s v="WINTER15"/>
    <n v="0"/>
    <x v="399"/>
    <s v="Trisha Jain"/>
    <n v="21.02"/>
    <n v="109.05"/>
    <n v="415.18"/>
    <d v="2025-06-18T00:00:00"/>
    <d v="2025-06-24T00:00:00"/>
    <s v="Eric"/>
    <n v="18"/>
    <n v="6"/>
    <x v="3"/>
    <x v="2"/>
    <x v="2"/>
    <n v="25"/>
  </r>
  <r>
    <d v="2023-02-23T00:00:00"/>
    <x v="4"/>
    <x v="5"/>
    <n v="12"/>
    <n v="245.6"/>
    <x v="3"/>
    <x v="1"/>
    <n v="0"/>
    <x v="5"/>
    <n v="2947.2"/>
    <x v="4"/>
    <s v="FREESHIP"/>
    <n v="1"/>
    <x v="400"/>
    <s v="Charu Tiwari"/>
    <n v="43.92"/>
    <n v="245.6"/>
    <n v="2903.2799999999997"/>
    <d v="2023-02-23T00:00:00"/>
    <d v="2023-02-27T00:00:00"/>
    <s v="Wendy"/>
    <n v="23"/>
    <n v="2"/>
    <x v="0"/>
    <x v="0"/>
    <x v="0"/>
    <n v="8"/>
  </r>
  <r>
    <d v="2024-11-09T00:00:00"/>
    <x v="0"/>
    <x v="6"/>
    <n v="15"/>
    <n v="380.03"/>
    <x v="1"/>
    <x v="1"/>
    <n v="0"/>
    <x v="5"/>
    <n v="5700.45"/>
    <x v="0"/>
    <s v="nan"/>
    <n v="0"/>
    <x v="401"/>
    <s v="Myra Dutta"/>
    <n v="25.72"/>
    <n v="380.03"/>
    <n v="5674.73"/>
    <d v="2024-11-09T00:00:00"/>
    <d v="2024-11-12T00:00:00"/>
    <s v="Eric"/>
    <n v="9"/>
    <n v="11"/>
    <x v="9"/>
    <x v="1"/>
    <x v="1"/>
    <n v="45"/>
  </r>
  <r>
    <d v="2024-07-25T00:00:00"/>
    <x v="1"/>
    <x v="5"/>
    <n v="3"/>
    <n v="417.58"/>
    <x v="3"/>
    <x v="1"/>
    <n v="0.05"/>
    <x v="2"/>
    <n v="1190.1030000000001"/>
    <x v="1"/>
    <s v="SAVE10"/>
    <n v="0"/>
    <x v="402"/>
    <s v="Siddharth Hussain"/>
    <n v="43.42"/>
    <n v="396.70100000000002"/>
    <n v="1146.683"/>
    <d v="2024-07-25T00:00:00"/>
    <d v="2024-07-31T00:00:00"/>
    <s v="Sophie"/>
    <n v="25"/>
    <n v="7"/>
    <x v="8"/>
    <x v="1"/>
    <x v="3"/>
    <n v="30"/>
  </r>
  <r>
    <d v="2023-08-19T00:00:00"/>
    <x v="4"/>
    <x v="0"/>
    <n v="15"/>
    <n v="432.17"/>
    <x v="3"/>
    <x v="0"/>
    <n v="0.15"/>
    <x v="2"/>
    <n v="5510.1674999999996"/>
    <x v="3"/>
    <s v="WINTER15"/>
    <n v="0"/>
    <x v="403"/>
    <s v="Pranav Thomas"/>
    <n v="44.88"/>
    <n v="367.34449999999998"/>
    <n v="5465.2874999999995"/>
    <d v="2023-08-19T00:00:00"/>
    <d v="2023-08-23T00:00:00"/>
    <s v="Wendy"/>
    <n v="19"/>
    <n v="8"/>
    <x v="10"/>
    <x v="0"/>
    <x v="3"/>
    <n v="33"/>
  </r>
  <r>
    <d v="2023-11-13T00:00:00"/>
    <x v="1"/>
    <x v="4"/>
    <n v="13"/>
    <n v="531.77"/>
    <x v="2"/>
    <x v="1"/>
    <n v="0.1"/>
    <x v="5"/>
    <n v="6221.7090000000007"/>
    <x v="0"/>
    <s v="SAVE10"/>
    <n v="0"/>
    <x v="404"/>
    <s v="Priya Gupta"/>
    <n v="37.909999999999997"/>
    <n v="478.59300000000007"/>
    <n v="6183.7990000000009"/>
    <d v="2023-11-13T00:00:00"/>
    <d v="2023-11-15T00:00:00"/>
    <s v="Sophie"/>
    <n v="13"/>
    <n v="11"/>
    <x v="9"/>
    <x v="0"/>
    <x v="1"/>
    <n v="46"/>
  </r>
  <r>
    <d v="2024-09-10T00:00:00"/>
    <x v="4"/>
    <x v="5"/>
    <n v="13"/>
    <n v="442.99"/>
    <x v="1"/>
    <x v="0"/>
    <n v="0.05"/>
    <x v="1"/>
    <n v="5470.9264999999996"/>
    <x v="1"/>
    <s v="SAVE10"/>
    <n v="0"/>
    <x v="405"/>
    <s v="Ira Saxena"/>
    <n v="37.119999999999997"/>
    <n v="420.84049999999996"/>
    <n v="5433.8064999999997"/>
    <d v="2024-09-10T00:00:00"/>
    <d v="2024-09-18T00:00:00"/>
    <s v="Wendy"/>
    <n v="10"/>
    <n v="9"/>
    <x v="11"/>
    <x v="1"/>
    <x v="3"/>
    <n v="37"/>
  </r>
  <r>
    <d v="2024-08-30T00:00:00"/>
    <x v="3"/>
    <x v="3"/>
    <n v="13"/>
    <n v="567.5"/>
    <x v="1"/>
    <x v="1"/>
    <n v="0"/>
    <x v="0"/>
    <n v="7377.5"/>
    <x v="2"/>
    <s v="nan"/>
    <n v="0"/>
    <x v="406"/>
    <s v="Sana Mukherjee"/>
    <n v="28.41"/>
    <n v="567.5"/>
    <n v="7349.09"/>
    <d v="2024-08-30T00:00:00"/>
    <d v="2024-09-02T00:00:00"/>
    <s v="Cameron"/>
    <n v="30"/>
    <n v="8"/>
    <x v="10"/>
    <x v="1"/>
    <x v="3"/>
    <n v="35"/>
  </r>
  <r>
    <d v="2024-11-10T00:00:00"/>
    <x v="0"/>
    <x v="5"/>
    <n v="15"/>
    <n v="469.52"/>
    <x v="2"/>
    <x v="0"/>
    <n v="0"/>
    <x v="1"/>
    <n v="7042.7999999999993"/>
    <x v="2"/>
    <s v="FREESHIP"/>
    <n v="0"/>
    <x v="407"/>
    <s v="Arjun Iyer"/>
    <n v="35.6"/>
    <n v="469.51999999999992"/>
    <n v="7007.1999999999989"/>
    <d v="2024-11-10T00:00:00"/>
    <d v="2024-11-17T00:00:00"/>
    <s v="Eric"/>
    <n v="10"/>
    <n v="11"/>
    <x v="9"/>
    <x v="1"/>
    <x v="1"/>
    <n v="45"/>
  </r>
  <r>
    <d v="2023-04-13T00:00:00"/>
    <x v="0"/>
    <x v="6"/>
    <n v="1"/>
    <n v="396.09"/>
    <x v="3"/>
    <x v="0"/>
    <n v="0.15"/>
    <x v="2"/>
    <n v="336.67649999999998"/>
    <x v="2"/>
    <s v="WINTER15"/>
    <n v="0"/>
    <x v="408"/>
    <s v="Nikhil Singh"/>
    <n v="39.380000000000003"/>
    <n v="336.67649999999998"/>
    <n v="297.29649999999998"/>
    <d v="2023-04-13T00:00:00"/>
    <d v="2023-04-19T00:00:00"/>
    <s v="Eric"/>
    <n v="13"/>
    <n v="4"/>
    <x v="7"/>
    <x v="0"/>
    <x v="2"/>
    <n v="15"/>
  </r>
  <r>
    <d v="2023-11-20T00:00:00"/>
    <x v="0"/>
    <x v="0"/>
    <n v="12"/>
    <n v="195.73"/>
    <x v="2"/>
    <x v="0"/>
    <n v="0.05"/>
    <x v="1"/>
    <n v="2231.3220000000001"/>
    <x v="4"/>
    <s v="SAVE10"/>
    <n v="0"/>
    <x v="409"/>
    <s v="Neha Gupta"/>
    <n v="37.090000000000003"/>
    <n v="185.9435"/>
    <n v="2194.232"/>
    <d v="2023-11-20T00:00:00"/>
    <d v="2023-11-27T00:00:00"/>
    <s v="Eric"/>
    <n v="20"/>
    <n v="11"/>
    <x v="9"/>
    <x v="0"/>
    <x v="1"/>
    <n v="47"/>
  </r>
  <r>
    <d v="2025-04-14T00:00:00"/>
    <x v="2"/>
    <x v="6"/>
    <n v="5"/>
    <n v="412.24"/>
    <x v="0"/>
    <x v="0"/>
    <n v="0.15"/>
    <x v="3"/>
    <n v="1752.02"/>
    <x v="4"/>
    <s v="FREESHIP"/>
    <n v="0"/>
    <x v="410"/>
    <s v="Raj Ansari"/>
    <n v="29.31"/>
    <n v="350.404"/>
    <n v="1722.71"/>
    <d v="2025-04-14T00:00:00"/>
    <d v="2025-04-19T00:00:00"/>
    <s v="Ryan"/>
    <n v="14"/>
    <n v="4"/>
    <x v="7"/>
    <x v="2"/>
    <x v="2"/>
    <n v="16"/>
  </r>
  <r>
    <d v="2023-03-04T00:00:00"/>
    <x v="3"/>
    <x v="4"/>
    <n v="11"/>
    <n v="558.5"/>
    <x v="0"/>
    <x v="1"/>
    <n v="0.15"/>
    <x v="3"/>
    <n v="5221.9749999999995"/>
    <x v="4"/>
    <s v="WINTER15"/>
    <n v="0"/>
    <x v="411"/>
    <s v="Ankit Thomas"/>
    <n v="48.15"/>
    <n v="474.72499999999997"/>
    <n v="5173.8249999999998"/>
    <d v="2023-03-04T00:00:00"/>
    <d v="2023-03-09T00:00:00"/>
    <s v="Cameron"/>
    <n v="4"/>
    <n v="3"/>
    <x v="6"/>
    <x v="0"/>
    <x v="0"/>
    <n v="9"/>
  </r>
  <r>
    <d v="2024-11-16T00:00:00"/>
    <x v="2"/>
    <x v="0"/>
    <n v="4"/>
    <n v="175.34"/>
    <x v="2"/>
    <x v="1"/>
    <n v="0.15"/>
    <x v="0"/>
    <n v="596.15599999999995"/>
    <x v="4"/>
    <s v="FREESHIP"/>
    <n v="0"/>
    <x v="412"/>
    <s v="Sanya Rao"/>
    <n v="40.86"/>
    <n v="149.03899999999999"/>
    <n v="555.29599999999994"/>
    <d v="2024-11-16T00:00:00"/>
    <d v="2024-11-19T00:00:00"/>
    <s v="Ryan"/>
    <n v="16"/>
    <n v="11"/>
    <x v="9"/>
    <x v="1"/>
    <x v="1"/>
    <n v="46"/>
  </r>
  <r>
    <d v="2024-05-25T00:00:00"/>
    <x v="1"/>
    <x v="0"/>
    <n v="19"/>
    <n v="478.73"/>
    <x v="1"/>
    <x v="1"/>
    <n v="0"/>
    <x v="2"/>
    <n v="9095.8700000000008"/>
    <x v="3"/>
    <s v="WINTER15"/>
    <n v="1"/>
    <x v="413"/>
    <s v="Hina D'Souza"/>
    <n v="46.46"/>
    <n v="478.73"/>
    <n v="9049.4100000000017"/>
    <d v="2024-05-25T00:00:00"/>
    <d v="2024-06-02T00:00:00"/>
    <s v="Sophie"/>
    <n v="25"/>
    <n v="5"/>
    <x v="2"/>
    <x v="1"/>
    <x v="2"/>
    <n v="21"/>
  </r>
  <r>
    <d v="2023-04-12T00:00:00"/>
    <x v="0"/>
    <x v="2"/>
    <n v="5"/>
    <n v="365.38"/>
    <x v="3"/>
    <x v="0"/>
    <n v="0.15"/>
    <x v="1"/>
    <n v="1552.865"/>
    <x v="3"/>
    <s v="SAVE10"/>
    <n v="1"/>
    <x v="414"/>
    <s v="Gaurav Iyer"/>
    <n v="5.66"/>
    <n v="310.57299999999998"/>
    <n v="1547.2049999999999"/>
    <d v="2023-04-12T00:00:00"/>
    <d v="2023-04-15T00:00:00"/>
    <s v="Eric"/>
    <n v="12"/>
    <n v="4"/>
    <x v="7"/>
    <x v="0"/>
    <x v="2"/>
    <n v="15"/>
  </r>
  <r>
    <d v="2023-03-07T00:00:00"/>
    <x v="1"/>
    <x v="2"/>
    <n v="10"/>
    <n v="397.33"/>
    <x v="0"/>
    <x v="1"/>
    <n v="0.15"/>
    <x v="1"/>
    <n v="3377.3049999999998"/>
    <x v="2"/>
    <s v="nan"/>
    <n v="0"/>
    <x v="415"/>
    <s v="Akash Chaudhary"/>
    <n v="10.199999999999999"/>
    <n v="337.73050000000001"/>
    <n v="3367.105"/>
    <d v="2023-03-07T00:00:00"/>
    <d v="2023-03-13T00:00:00"/>
    <s v="Sophie"/>
    <n v="7"/>
    <n v="3"/>
    <x v="6"/>
    <x v="0"/>
    <x v="0"/>
    <n v="10"/>
  </r>
  <r>
    <d v="2024-01-05T00:00:00"/>
    <x v="3"/>
    <x v="3"/>
    <n v="17"/>
    <n v="241.01"/>
    <x v="1"/>
    <x v="1"/>
    <n v="0.1"/>
    <x v="5"/>
    <n v="3687.453"/>
    <x v="3"/>
    <s v="WINTER15"/>
    <n v="0"/>
    <x v="416"/>
    <s v="Kiara Bansal"/>
    <n v="24.69"/>
    <n v="216.90899999999999"/>
    <n v="3662.7629999999999"/>
    <d v="2024-01-05T00:00:00"/>
    <d v="2024-01-11T00:00:00"/>
    <s v="Cameron"/>
    <n v="5"/>
    <n v="1"/>
    <x v="4"/>
    <x v="1"/>
    <x v="0"/>
    <n v="1"/>
  </r>
  <r>
    <d v="2024-10-31T00:00:00"/>
    <x v="4"/>
    <x v="2"/>
    <n v="17"/>
    <n v="82.2"/>
    <x v="2"/>
    <x v="0"/>
    <n v="0"/>
    <x v="1"/>
    <n v="1397.4"/>
    <x v="4"/>
    <s v="WINTER15"/>
    <n v="0"/>
    <x v="417"/>
    <s v="Ishaan Menon"/>
    <n v="32.5"/>
    <n v="82.2"/>
    <n v="1364.9"/>
    <d v="2024-10-31T00:00:00"/>
    <d v="2024-11-10T00:00:00"/>
    <s v="Wendy"/>
    <n v="31"/>
    <n v="10"/>
    <x v="5"/>
    <x v="1"/>
    <x v="1"/>
    <n v="44"/>
  </r>
  <r>
    <d v="2024-05-08T00:00:00"/>
    <x v="4"/>
    <x v="4"/>
    <n v="16"/>
    <n v="170.77"/>
    <x v="2"/>
    <x v="1"/>
    <n v="0.1"/>
    <x v="2"/>
    <n v="2459.0880000000002"/>
    <x v="0"/>
    <s v="SAVE10"/>
    <n v="1"/>
    <x v="418"/>
    <s v="Aman Bansal"/>
    <n v="45.93"/>
    <n v="153.69300000000001"/>
    <n v="2413.1580000000004"/>
    <d v="2024-05-08T00:00:00"/>
    <d v="2024-05-14T00:00:00"/>
    <s v="Wendy"/>
    <n v="8"/>
    <n v="5"/>
    <x v="2"/>
    <x v="1"/>
    <x v="2"/>
    <n v="19"/>
  </r>
  <r>
    <d v="2024-03-05T00:00:00"/>
    <x v="3"/>
    <x v="4"/>
    <n v="1"/>
    <n v="8.1999999999999993"/>
    <x v="2"/>
    <x v="0"/>
    <n v="0.15"/>
    <x v="2"/>
    <n v="6.9699999999999989"/>
    <x v="3"/>
    <s v="nan"/>
    <n v="0"/>
    <x v="419"/>
    <s v="Kiara Shaikh"/>
    <n v="30.35"/>
    <n v="6.9699999999999989"/>
    <n v="-23.380000000000003"/>
    <d v="2024-03-05T00:00:00"/>
    <d v="2024-03-15T00:00:00"/>
    <s v="Cameron"/>
    <n v="5"/>
    <n v="3"/>
    <x v="6"/>
    <x v="1"/>
    <x v="0"/>
    <n v="10"/>
  </r>
  <r>
    <d v="2023-07-18T00:00:00"/>
    <x v="2"/>
    <x v="0"/>
    <n v="12"/>
    <n v="425.78"/>
    <x v="1"/>
    <x v="1"/>
    <n v="0.1"/>
    <x v="5"/>
    <n v="4598.424"/>
    <x v="0"/>
    <s v="nan"/>
    <n v="1"/>
    <x v="420"/>
    <s v="Ritika Hegde"/>
    <n v="25.48"/>
    <n v="383.202"/>
    <n v="4572.9440000000004"/>
    <d v="2023-07-18T00:00:00"/>
    <d v="2023-07-22T00:00:00"/>
    <s v="Ryan"/>
    <n v="18"/>
    <n v="7"/>
    <x v="8"/>
    <x v="0"/>
    <x v="3"/>
    <n v="29"/>
  </r>
  <r>
    <d v="2023-08-05T00:00:00"/>
    <x v="1"/>
    <x v="6"/>
    <n v="20"/>
    <n v="121.14"/>
    <x v="2"/>
    <x v="1"/>
    <n v="0.1"/>
    <x v="5"/>
    <n v="2180.52"/>
    <x v="2"/>
    <s v="FREESHIP"/>
    <n v="0"/>
    <x v="421"/>
    <s v="Fatima Verma"/>
    <n v="21.47"/>
    <n v="109.026"/>
    <n v="2159.0500000000002"/>
    <d v="2023-08-05T00:00:00"/>
    <d v="2023-08-14T00:00:00"/>
    <s v="Sophie"/>
    <n v="5"/>
    <n v="8"/>
    <x v="10"/>
    <x v="0"/>
    <x v="3"/>
    <n v="31"/>
  </r>
  <r>
    <d v="2023-09-18T00:00:00"/>
    <x v="4"/>
    <x v="5"/>
    <n v="19"/>
    <n v="448.13"/>
    <x v="3"/>
    <x v="0"/>
    <n v="0"/>
    <x v="1"/>
    <n v="8514.4699999999993"/>
    <x v="3"/>
    <s v="FREESHIP"/>
    <n v="0"/>
    <x v="422"/>
    <s v="Bhavna Iyer"/>
    <n v="28.29"/>
    <n v="448.12999999999994"/>
    <n v="8486.1799999999985"/>
    <d v="2023-09-18T00:00:00"/>
    <d v="2023-09-20T00:00:00"/>
    <s v="Wendy"/>
    <n v="18"/>
    <n v="9"/>
    <x v="11"/>
    <x v="0"/>
    <x v="3"/>
    <n v="38"/>
  </r>
  <r>
    <d v="2023-03-27T00:00:00"/>
    <x v="1"/>
    <x v="0"/>
    <n v="8"/>
    <n v="7.81"/>
    <x v="3"/>
    <x v="0"/>
    <n v="0.1"/>
    <x v="2"/>
    <n v="56.231999999999999"/>
    <x v="0"/>
    <s v="SAVE10"/>
    <n v="0"/>
    <x v="423"/>
    <s v="Kabir Mukherjee"/>
    <n v="25.03"/>
    <n v="7.0289999999999999"/>
    <n v="31.201999999999998"/>
    <d v="2023-03-27T00:00:00"/>
    <d v="2023-03-29T00:00:00"/>
    <s v="Sophie"/>
    <n v="27"/>
    <n v="3"/>
    <x v="6"/>
    <x v="0"/>
    <x v="0"/>
    <n v="13"/>
  </r>
  <r>
    <d v="2023-03-08T00:00:00"/>
    <x v="0"/>
    <x v="3"/>
    <n v="19"/>
    <n v="191.44"/>
    <x v="2"/>
    <x v="0"/>
    <n v="0.15"/>
    <x v="3"/>
    <n v="3091.7559999999999"/>
    <x v="4"/>
    <s v="WINTER15"/>
    <n v="1"/>
    <x v="424"/>
    <s v="Ishaan Bhatia"/>
    <n v="35.54"/>
    <n v="162.72399999999999"/>
    <n v="3056.2159999999999"/>
    <d v="2023-03-08T00:00:00"/>
    <d v="2023-03-17T00:00:00"/>
    <s v="Eric"/>
    <n v="8"/>
    <n v="3"/>
    <x v="6"/>
    <x v="0"/>
    <x v="0"/>
    <n v="10"/>
  </r>
  <r>
    <d v="2024-05-02T00:00:00"/>
    <x v="4"/>
    <x v="2"/>
    <n v="5"/>
    <n v="245.2"/>
    <x v="0"/>
    <x v="1"/>
    <n v="0.15"/>
    <x v="0"/>
    <n v="1042.0999999999999"/>
    <x v="0"/>
    <s v="nan"/>
    <n v="0"/>
    <x v="425"/>
    <s v="Myra Syed"/>
    <n v="46.37"/>
    <n v="208.42"/>
    <n v="995.7299999999999"/>
    <d v="2024-05-02T00:00:00"/>
    <d v="2024-05-06T00:00:00"/>
    <s v="Wendy"/>
    <n v="2"/>
    <n v="5"/>
    <x v="2"/>
    <x v="1"/>
    <x v="2"/>
    <n v="18"/>
  </r>
  <r>
    <d v="2023-09-16T00:00:00"/>
    <x v="2"/>
    <x v="2"/>
    <n v="17"/>
    <n v="163.37"/>
    <x v="0"/>
    <x v="0"/>
    <n v="0.15"/>
    <x v="0"/>
    <n v="2360.6965"/>
    <x v="1"/>
    <s v="SAVE10"/>
    <n v="0"/>
    <x v="426"/>
    <s v="Aarav Hussain"/>
    <n v="5.36"/>
    <n v="138.86449999999999"/>
    <n v="2355.3364999999999"/>
    <d v="2023-09-16T00:00:00"/>
    <d v="2023-09-26T00:00:00"/>
    <s v="Ryan"/>
    <n v="16"/>
    <n v="9"/>
    <x v="11"/>
    <x v="0"/>
    <x v="3"/>
    <n v="37"/>
  </r>
  <r>
    <d v="2023-06-13T00:00:00"/>
    <x v="1"/>
    <x v="5"/>
    <n v="14"/>
    <n v="583.96"/>
    <x v="2"/>
    <x v="1"/>
    <n v="0"/>
    <x v="4"/>
    <n v="8175.4400000000014"/>
    <x v="3"/>
    <s v="WINTER15"/>
    <n v="0"/>
    <x v="427"/>
    <s v="Charu Shetty"/>
    <n v="23.03"/>
    <n v="583.96000000000015"/>
    <n v="8152.4100000000017"/>
    <d v="2023-06-13T00:00:00"/>
    <d v="2023-06-22T00:00:00"/>
    <s v="Sophie"/>
    <n v="13"/>
    <n v="6"/>
    <x v="3"/>
    <x v="0"/>
    <x v="2"/>
    <n v="24"/>
  </r>
  <r>
    <d v="2023-11-05T00:00:00"/>
    <x v="2"/>
    <x v="2"/>
    <n v="16"/>
    <n v="181.08"/>
    <x v="2"/>
    <x v="1"/>
    <n v="0.1"/>
    <x v="3"/>
    <n v="2607.5520000000001"/>
    <x v="0"/>
    <s v="WINTER15"/>
    <n v="0"/>
    <x v="428"/>
    <s v="Karan Pillai"/>
    <n v="39.840000000000003"/>
    <n v="162.97200000000001"/>
    <n v="2567.712"/>
    <d v="2023-11-05T00:00:00"/>
    <d v="2023-11-08T00:00:00"/>
    <s v="Ryan"/>
    <n v="5"/>
    <n v="11"/>
    <x v="9"/>
    <x v="0"/>
    <x v="1"/>
    <n v="44"/>
  </r>
  <r>
    <d v="2024-11-23T00:00:00"/>
    <x v="1"/>
    <x v="5"/>
    <n v="8"/>
    <n v="414.94"/>
    <x v="1"/>
    <x v="0"/>
    <n v="0"/>
    <x v="1"/>
    <n v="3319.52"/>
    <x v="3"/>
    <s v="SAVE10"/>
    <n v="0"/>
    <x v="429"/>
    <s v="Ankit Thakur"/>
    <n v="46.58"/>
    <n v="414.94"/>
    <n v="3272.94"/>
    <d v="2024-11-23T00:00:00"/>
    <d v="2024-11-26T00:00:00"/>
    <s v="Sophie"/>
    <n v="23"/>
    <n v="11"/>
    <x v="9"/>
    <x v="1"/>
    <x v="1"/>
    <n v="47"/>
  </r>
  <r>
    <d v="2024-02-09T00:00:00"/>
    <x v="3"/>
    <x v="1"/>
    <n v="16"/>
    <n v="442.22"/>
    <x v="0"/>
    <x v="1"/>
    <n v="0"/>
    <x v="1"/>
    <n v="7075.52"/>
    <x v="4"/>
    <s v="FREESHIP"/>
    <n v="0"/>
    <x v="430"/>
    <s v="Rukhsar Shaikh"/>
    <n v="27.36"/>
    <n v="442.22"/>
    <n v="7048.1600000000008"/>
    <d v="2024-02-09T00:00:00"/>
    <d v="2024-02-18T00:00:00"/>
    <s v="Cameron"/>
    <n v="9"/>
    <n v="2"/>
    <x v="0"/>
    <x v="1"/>
    <x v="0"/>
    <n v="6"/>
  </r>
  <r>
    <d v="2023-11-16T00:00:00"/>
    <x v="3"/>
    <x v="6"/>
    <n v="14"/>
    <n v="595.39"/>
    <x v="1"/>
    <x v="0"/>
    <n v="0.1"/>
    <x v="5"/>
    <n v="7501.9139999999998"/>
    <x v="2"/>
    <s v="SAVE10"/>
    <n v="0"/>
    <x v="431"/>
    <s v="Trisha Kapoor"/>
    <n v="9.51"/>
    <n v="535.851"/>
    <n v="7492.4039999999995"/>
    <d v="2023-11-16T00:00:00"/>
    <d v="2023-11-22T00:00:00"/>
    <s v="Cameron"/>
    <n v="16"/>
    <n v="11"/>
    <x v="9"/>
    <x v="0"/>
    <x v="1"/>
    <n v="46"/>
  </r>
  <r>
    <d v="2025-01-24T00:00:00"/>
    <x v="3"/>
    <x v="4"/>
    <n v="6"/>
    <n v="175.3"/>
    <x v="1"/>
    <x v="0"/>
    <n v="0.15"/>
    <x v="1"/>
    <n v="894.03000000000009"/>
    <x v="4"/>
    <s v="SAVE10"/>
    <n v="1"/>
    <x v="432"/>
    <s v="Ritika Thomas"/>
    <n v="17.920000000000002"/>
    <n v="149.00500000000002"/>
    <n v="876.11000000000013"/>
    <d v="2025-01-24T00:00:00"/>
    <d v="2025-01-29T00:00:00"/>
    <s v="Cameron"/>
    <n v="24"/>
    <n v="1"/>
    <x v="4"/>
    <x v="2"/>
    <x v="0"/>
    <n v="4"/>
  </r>
  <r>
    <d v="2025-05-06T00:00:00"/>
    <x v="3"/>
    <x v="5"/>
    <n v="7"/>
    <n v="319.58999999999997"/>
    <x v="2"/>
    <x v="0"/>
    <n v="0.15"/>
    <x v="3"/>
    <n v="1901.5605"/>
    <x v="1"/>
    <s v="WINTER15"/>
    <n v="1"/>
    <x v="433"/>
    <s v="Gaurav Jain"/>
    <n v="8.4700000000000006"/>
    <n v="271.6515"/>
    <n v="1893.0905"/>
    <d v="2025-05-06T00:00:00"/>
    <d v="2025-05-09T00:00:00"/>
    <s v="Cameron"/>
    <n v="6"/>
    <n v="5"/>
    <x v="2"/>
    <x v="2"/>
    <x v="2"/>
    <n v="19"/>
  </r>
  <r>
    <d v="2025-05-17T00:00:00"/>
    <x v="0"/>
    <x v="6"/>
    <n v="15"/>
    <n v="506.81"/>
    <x v="1"/>
    <x v="1"/>
    <n v="0.15"/>
    <x v="5"/>
    <n v="6461.8274999999994"/>
    <x v="4"/>
    <s v="FREESHIP"/>
    <n v="1"/>
    <x v="434"/>
    <s v="Arjun Bose"/>
    <n v="41.03"/>
    <n v="430.78849999999994"/>
    <n v="6420.7974999999997"/>
    <d v="2025-05-17T00:00:00"/>
    <d v="2025-05-27T00:00:00"/>
    <s v="Eric"/>
    <n v="17"/>
    <n v="5"/>
    <x v="2"/>
    <x v="2"/>
    <x v="2"/>
    <n v="20"/>
  </r>
  <r>
    <d v="2023-11-29T00:00:00"/>
    <x v="3"/>
    <x v="0"/>
    <n v="17"/>
    <n v="538.08000000000004"/>
    <x v="1"/>
    <x v="1"/>
    <n v="0.05"/>
    <x v="0"/>
    <n v="8689.9920000000002"/>
    <x v="3"/>
    <s v="FREESHIP"/>
    <n v="0"/>
    <x v="435"/>
    <s v="Fatima Shetty"/>
    <n v="19.61"/>
    <n v="511.17599999999999"/>
    <n v="8670.3819999999996"/>
    <d v="2023-11-29T00:00:00"/>
    <d v="2023-12-01T00:00:00"/>
    <s v="Cameron"/>
    <n v="29"/>
    <n v="11"/>
    <x v="9"/>
    <x v="0"/>
    <x v="1"/>
    <n v="48"/>
  </r>
  <r>
    <d v="2023-02-24T00:00:00"/>
    <x v="1"/>
    <x v="3"/>
    <n v="16"/>
    <n v="187.84"/>
    <x v="1"/>
    <x v="1"/>
    <n v="0"/>
    <x v="1"/>
    <n v="3005.44"/>
    <x v="2"/>
    <s v="SAVE10"/>
    <n v="0"/>
    <x v="436"/>
    <s v="Ananya Agarwal"/>
    <n v="18.649999999999999"/>
    <n v="187.84"/>
    <n v="2986.79"/>
    <d v="2023-02-24T00:00:00"/>
    <d v="2023-02-26T00:00:00"/>
    <s v="Sophie"/>
    <n v="24"/>
    <n v="2"/>
    <x v="0"/>
    <x v="0"/>
    <x v="0"/>
    <n v="8"/>
  </r>
  <r>
    <d v="2023-11-04T00:00:00"/>
    <x v="1"/>
    <x v="0"/>
    <n v="18"/>
    <n v="426.3"/>
    <x v="1"/>
    <x v="0"/>
    <n v="0.15"/>
    <x v="3"/>
    <n v="6522.39"/>
    <x v="2"/>
    <s v="nan"/>
    <n v="1"/>
    <x v="437"/>
    <s v="Pooja Mathew"/>
    <n v="29.81"/>
    <n v="362.35500000000002"/>
    <n v="6492.58"/>
    <d v="2023-11-04T00:00:00"/>
    <d v="2023-11-10T00:00:00"/>
    <s v="Sophie"/>
    <n v="4"/>
    <n v="11"/>
    <x v="9"/>
    <x v="0"/>
    <x v="1"/>
    <n v="44"/>
  </r>
  <r>
    <d v="2024-06-15T00:00:00"/>
    <x v="0"/>
    <x v="2"/>
    <n v="1"/>
    <n v="498.35"/>
    <x v="0"/>
    <x v="1"/>
    <n v="0.1"/>
    <x v="1"/>
    <n v="448.51499999999999"/>
    <x v="0"/>
    <s v="FREESHIP"/>
    <n v="0"/>
    <x v="438"/>
    <s v="Isha Kaur"/>
    <n v="34.700000000000003"/>
    <n v="448.51499999999999"/>
    <n v="413.815"/>
    <d v="2024-06-15T00:00:00"/>
    <d v="2024-06-22T00:00:00"/>
    <s v="Eric"/>
    <n v="15"/>
    <n v="6"/>
    <x v="3"/>
    <x v="1"/>
    <x v="2"/>
    <n v="24"/>
  </r>
  <r>
    <d v="2024-10-02T00:00:00"/>
    <x v="2"/>
    <x v="5"/>
    <n v="19"/>
    <n v="385.72"/>
    <x v="1"/>
    <x v="1"/>
    <n v="0.05"/>
    <x v="3"/>
    <n v="6962.2460000000001"/>
    <x v="4"/>
    <s v="SAVE10"/>
    <n v="1"/>
    <x v="439"/>
    <s v="Pranav Tripathi"/>
    <n v="12.46"/>
    <n v="366.43400000000003"/>
    <n v="6949.7860000000001"/>
    <d v="2024-10-02T00:00:00"/>
    <d v="2024-10-06T00:00:00"/>
    <s v="Ryan"/>
    <n v="2"/>
    <n v="10"/>
    <x v="5"/>
    <x v="1"/>
    <x v="1"/>
    <n v="40"/>
  </r>
  <r>
    <d v="2023-06-03T00:00:00"/>
    <x v="4"/>
    <x v="5"/>
    <n v="3"/>
    <n v="54.37"/>
    <x v="0"/>
    <x v="0"/>
    <n v="0.1"/>
    <x v="2"/>
    <n v="146.79900000000001"/>
    <x v="2"/>
    <s v="WINTER15"/>
    <n v="0"/>
    <x v="440"/>
    <s v="Vikram Dutta"/>
    <n v="48.71"/>
    <n v="48.933"/>
    <n v="98.088999999999999"/>
    <d v="2023-06-03T00:00:00"/>
    <d v="2023-06-13T00:00:00"/>
    <s v="Wendy"/>
    <n v="3"/>
    <n v="6"/>
    <x v="3"/>
    <x v="0"/>
    <x v="2"/>
    <n v="22"/>
  </r>
  <r>
    <d v="2023-09-10T00:00:00"/>
    <x v="0"/>
    <x v="1"/>
    <n v="6"/>
    <n v="471.74"/>
    <x v="2"/>
    <x v="1"/>
    <n v="0.15"/>
    <x v="3"/>
    <n v="2405.8739999999998"/>
    <x v="0"/>
    <s v="nan"/>
    <n v="0"/>
    <x v="441"/>
    <s v="Avni Qureshi"/>
    <n v="36.79"/>
    <n v="400.97899999999998"/>
    <n v="2369.0839999999998"/>
    <d v="2023-09-10T00:00:00"/>
    <d v="2023-09-18T00:00:00"/>
    <s v="Eric"/>
    <n v="10"/>
    <n v="9"/>
    <x v="11"/>
    <x v="0"/>
    <x v="3"/>
    <n v="36"/>
  </r>
  <r>
    <d v="2025-05-20T00:00:00"/>
    <x v="3"/>
    <x v="6"/>
    <n v="19"/>
    <n v="322.31"/>
    <x v="0"/>
    <x v="1"/>
    <n v="0.15"/>
    <x v="5"/>
    <n v="5205.3065000000006"/>
    <x v="4"/>
    <s v="FREESHIP"/>
    <n v="0"/>
    <x v="442"/>
    <s v="Akash Banerjee"/>
    <n v="33.950000000000003"/>
    <n v="273.96350000000001"/>
    <n v="5171.3565000000008"/>
    <d v="2025-05-20T00:00:00"/>
    <d v="2025-05-22T00:00:00"/>
    <s v="Cameron"/>
    <n v="20"/>
    <n v="5"/>
    <x v="2"/>
    <x v="2"/>
    <x v="2"/>
    <n v="21"/>
  </r>
  <r>
    <d v="2023-09-24T00:00:00"/>
    <x v="2"/>
    <x v="5"/>
    <n v="13"/>
    <n v="115.86"/>
    <x v="1"/>
    <x v="0"/>
    <n v="0.1"/>
    <x v="4"/>
    <n v="1355.5619999999999"/>
    <x v="4"/>
    <s v="nan"/>
    <n v="1"/>
    <x v="443"/>
    <s v="Bhavna Chawla"/>
    <n v="28.52"/>
    <n v="104.27399999999999"/>
    <n v="1327.0419999999999"/>
    <d v="2023-09-24T00:00:00"/>
    <d v="2023-10-03T00:00:00"/>
    <s v="Ryan"/>
    <n v="24"/>
    <n v="9"/>
    <x v="11"/>
    <x v="0"/>
    <x v="3"/>
    <n v="38"/>
  </r>
  <r>
    <d v="2025-03-29T00:00:00"/>
    <x v="0"/>
    <x v="5"/>
    <n v="18"/>
    <n v="398.26"/>
    <x v="0"/>
    <x v="1"/>
    <n v="0.1"/>
    <x v="5"/>
    <n v="6451.8120000000008"/>
    <x v="3"/>
    <s v="nan"/>
    <n v="0"/>
    <x v="444"/>
    <s v="Atharv Pillai"/>
    <n v="16.8"/>
    <n v="358.43400000000003"/>
    <n v="6435.0120000000006"/>
    <d v="2025-03-29T00:00:00"/>
    <d v="2025-04-04T00:00:00"/>
    <s v="Eric"/>
    <n v="29"/>
    <n v="3"/>
    <x v="6"/>
    <x v="2"/>
    <x v="0"/>
    <n v="13"/>
  </r>
  <r>
    <d v="2023-06-17T00:00:00"/>
    <x v="0"/>
    <x v="3"/>
    <n v="4"/>
    <n v="584.79999999999995"/>
    <x v="0"/>
    <x v="1"/>
    <n v="0.1"/>
    <x v="0"/>
    <n v="2105.2800000000002"/>
    <x v="0"/>
    <s v="FREESHIP"/>
    <n v="0"/>
    <x v="445"/>
    <s v="Aaliyah Syed"/>
    <n v="16.440000000000001"/>
    <n v="526.32000000000005"/>
    <n v="2088.84"/>
    <d v="2023-06-17T00:00:00"/>
    <d v="2023-06-25T00:00:00"/>
    <s v="Eric"/>
    <n v="17"/>
    <n v="6"/>
    <x v="3"/>
    <x v="0"/>
    <x v="2"/>
    <n v="24"/>
  </r>
  <r>
    <d v="2024-01-28T00:00:00"/>
    <x v="4"/>
    <x v="6"/>
    <n v="20"/>
    <n v="424.7"/>
    <x v="0"/>
    <x v="0"/>
    <n v="0.15"/>
    <x v="5"/>
    <n v="7219.9"/>
    <x v="0"/>
    <s v="FREESHIP"/>
    <n v="0"/>
    <x v="446"/>
    <s v="Meera Joshi"/>
    <n v="42.03"/>
    <n v="360.995"/>
    <n v="7177.87"/>
    <d v="2024-01-28T00:00:00"/>
    <d v="2024-02-05T00:00:00"/>
    <s v="Wendy"/>
    <n v="28"/>
    <n v="1"/>
    <x v="4"/>
    <x v="1"/>
    <x v="0"/>
    <n v="4"/>
  </r>
  <r>
    <d v="2023-03-14T00:00:00"/>
    <x v="3"/>
    <x v="3"/>
    <n v="16"/>
    <n v="179.22"/>
    <x v="3"/>
    <x v="1"/>
    <n v="0.1"/>
    <x v="1"/>
    <n v="2580.768"/>
    <x v="0"/>
    <s v="WINTER15"/>
    <n v="0"/>
    <x v="447"/>
    <s v="Siddharth Dutta"/>
    <n v="45.99"/>
    <n v="161.298"/>
    <n v="2534.7780000000002"/>
    <d v="2023-03-14T00:00:00"/>
    <d v="2023-03-17T00:00:00"/>
    <s v="Cameron"/>
    <n v="14"/>
    <n v="3"/>
    <x v="6"/>
    <x v="0"/>
    <x v="0"/>
    <n v="11"/>
  </r>
  <r>
    <d v="2025-01-09T00:00:00"/>
    <x v="0"/>
    <x v="0"/>
    <n v="12"/>
    <n v="148.66"/>
    <x v="1"/>
    <x v="0"/>
    <n v="0"/>
    <x v="4"/>
    <n v="1783.92"/>
    <x v="0"/>
    <s v="nan"/>
    <n v="1"/>
    <x v="448"/>
    <s v="Aarav Roy"/>
    <n v="27.16"/>
    <n v="148.66"/>
    <n v="1756.76"/>
    <d v="2025-01-09T00:00:00"/>
    <d v="2025-01-17T00:00:00"/>
    <s v="Eric"/>
    <n v="9"/>
    <n v="1"/>
    <x v="4"/>
    <x v="2"/>
    <x v="0"/>
    <n v="2"/>
  </r>
  <r>
    <d v="2025-03-30T00:00:00"/>
    <x v="3"/>
    <x v="1"/>
    <n v="16"/>
    <n v="460.43"/>
    <x v="0"/>
    <x v="0"/>
    <n v="0.15"/>
    <x v="5"/>
    <n v="6261.848"/>
    <x v="0"/>
    <s v="WINTER15"/>
    <n v="0"/>
    <x v="449"/>
    <s v="Palak Khan"/>
    <n v="20.38"/>
    <n v="391.3655"/>
    <n v="6241.4679999999998"/>
    <d v="2025-03-30T00:00:00"/>
    <d v="2025-04-06T00:00:00"/>
    <s v="Cameron"/>
    <n v="30"/>
    <n v="3"/>
    <x v="6"/>
    <x v="2"/>
    <x v="0"/>
    <n v="13"/>
  </r>
  <r>
    <d v="2023-10-23T00:00:00"/>
    <x v="0"/>
    <x v="5"/>
    <n v="5"/>
    <n v="334.37"/>
    <x v="0"/>
    <x v="1"/>
    <n v="0.05"/>
    <x v="3"/>
    <n v="1588.2574999999999"/>
    <x v="2"/>
    <s v="nan"/>
    <n v="0"/>
    <x v="450"/>
    <s v="Simran George"/>
    <n v="32.130000000000003"/>
    <n v="317.6515"/>
    <n v="1556.1274999999998"/>
    <d v="2023-10-23T00:00:00"/>
    <d v="2023-10-28T00:00:00"/>
    <s v="Eric"/>
    <n v="23"/>
    <n v="10"/>
    <x v="5"/>
    <x v="0"/>
    <x v="1"/>
    <n v="43"/>
  </r>
  <r>
    <d v="2025-06-08T00:00:00"/>
    <x v="4"/>
    <x v="4"/>
    <n v="3"/>
    <n v="599.72"/>
    <x v="3"/>
    <x v="1"/>
    <n v="0.15"/>
    <x v="1"/>
    <n v="1529.2860000000001"/>
    <x v="0"/>
    <s v="WINTER15"/>
    <n v="1"/>
    <x v="451"/>
    <s v="Kunal Qureshi"/>
    <n v="14.93"/>
    <n v="509.762"/>
    <n v="1514.356"/>
    <d v="2025-06-08T00:00:00"/>
    <d v="2025-06-14T00:00:00"/>
    <s v="Wendy"/>
    <n v="8"/>
    <n v="6"/>
    <x v="3"/>
    <x v="2"/>
    <x v="2"/>
    <n v="23"/>
  </r>
  <r>
    <d v="2024-02-26T00:00:00"/>
    <x v="4"/>
    <x v="4"/>
    <n v="11"/>
    <n v="389.84"/>
    <x v="3"/>
    <x v="0"/>
    <n v="0"/>
    <x v="1"/>
    <n v="4288.24"/>
    <x v="1"/>
    <s v="SAVE10"/>
    <n v="1"/>
    <x v="452"/>
    <s v="Krish Bansal"/>
    <n v="10.24"/>
    <n v="389.84"/>
    <n v="4278"/>
    <d v="2024-02-26T00:00:00"/>
    <d v="2024-02-29T00:00:00"/>
    <s v="Wendy"/>
    <n v="26"/>
    <n v="2"/>
    <x v="0"/>
    <x v="1"/>
    <x v="0"/>
    <n v="9"/>
  </r>
  <r>
    <d v="2024-10-30T00:00:00"/>
    <x v="0"/>
    <x v="3"/>
    <n v="11"/>
    <n v="445.75"/>
    <x v="1"/>
    <x v="0"/>
    <n v="0.1"/>
    <x v="2"/>
    <n v="4412.9250000000002"/>
    <x v="0"/>
    <s v="SAVE10"/>
    <n v="0"/>
    <x v="453"/>
    <s v="Fatima Hussain"/>
    <n v="18.07"/>
    <n v="401.17500000000001"/>
    <n v="4394.8550000000005"/>
    <d v="2024-10-30T00:00:00"/>
    <d v="2024-11-07T00:00:00"/>
    <s v="Eric"/>
    <n v="30"/>
    <n v="10"/>
    <x v="5"/>
    <x v="1"/>
    <x v="1"/>
    <n v="44"/>
  </r>
  <r>
    <d v="2024-08-19T00:00:00"/>
    <x v="1"/>
    <x v="0"/>
    <n v="18"/>
    <n v="96.84"/>
    <x v="1"/>
    <x v="0"/>
    <n v="0.15"/>
    <x v="2"/>
    <n v="1481.652"/>
    <x v="4"/>
    <s v="SAVE10"/>
    <n v="1"/>
    <x v="454"/>
    <s v="Laksh Joseph"/>
    <n v="8.1"/>
    <n v="82.314000000000007"/>
    <n v="1473.5520000000001"/>
    <d v="2024-08-19T00:00:00"/>
    <d v="2024-08-23T00:00:00"/>
    <s v="Sophie"/>
    <n v="19"/>
    <n v="8"/>
    <x v="10"/>
    <x v="1"/>
    <x v="3"/>
    <n v="34"/>
  </r>
  <r>
    <d v="2023-07-30T00:00:00"/>
    <x v="3"/>
    <x v="3"/>
    <n v="1"/>
    <n v="528.30999999999995"/>
    <x v="2"/>
    <x v="0"/>
    <n v="0.1"/>
    <x v="1"/>
    <n v="475.47899999999998"/>
    <x v="0"/>
    <s v="FREESHIP"/>
    <n v="0"/>
    <x v="455"/>
    <s v="Ishaan Pillai"/>
    <n v="24.55"/>
    <n v="475.47899999999998"/>
    <n v="450.92899999999997"/>
    <d v="2023-07-30T00:00:00"/>
    <d v="2023-08-09T00:00:00"/>
    <s v="Cameron"/>
    <n v="30"/>
    <n v="7"/>
    <x v="8"/>
    <x v="0"/>
    <x v="3"/>
    <n v="30"/>
  </r>
  <r>
    <d v="2024-08-13T00:00:00"/>
    <x v="2"/>
    <x v="4"/>
    <n v="16"/>
    <n v="64.03"/>
    <x v="1"/>
    <x v="0"/>
    <n v="0"/>
    <x v="3"/>
    <n v="1024.48"/>
    <x v="1"/>
    <s v="WINTER15"/>
    <n v="1"/>
    <x v="456"/>
    <s v="Aisha Srivastava"/>
    <n v="16.71"/>
    <n v="64.03"/>
    <n v="1007.77"/>
    <d v="2024-08-13T00:00:00"/>
    <d v="2024-08-23T00:00:00"/>
    <s v="Ryan"/>
    <n v="13"/>
    <n v="8"/>
    <x v="10"/>
    <x v="1"/>
    <x v="3"/>
    <n v="33"/>
  </r>
  <r>
    <d v="2023-11-04T00:00:00"/>
    <x v="2"/>
    <x v="6"/>
    <n v="13"/>
    <n v="179.37"/>
    <x v="1"/>
    <x v="1"/>
    <n v="0.05"/>
    <x v="0"/>
    <n v="2215.2195000000002"/>
    <x v="0"/>
    <s v="FREESHIP"/>
    <n v="0"/>
    <x v="457"/>
    <s v="Nikhil Shetty"/>
    <n v="35.28"/>
    <n v="170.4015"/>
    <n v="2179.9395"/>
    <d v="2023-11-04T00:00:00"/>
    <d v="2023-11-12T00:00:00"/>
    <s v="Ryan"/>
    <n v="4"/>
    <n v="11"/>
    <x v="9"/>
    <x v="0"/>
    <x v="1"/>
    <n v="44"/>
  </r>
  <r>
    <d v="2025-06-05T00:00:00"/>
    <x v="0"/>
    <x v="6"/>
    <n v="19"/>
    <n v="491.15"/>
    <x v="2"/>
    <x v="1"/>
    <n v="0"/>
    <x v="2"/>
    <n v="9331.85"/>
    <x v="0"/>
    <s v="nan"/>
    <n v="0"/>
    <x v="458"/>
    <s v="Rohan Chopra"/>
    <n v="48.68"/>
    <n v="491.15000000000003"/>
    <n v="9283.17"/>
    <d v="2025-06-05T00:00:00"/>
    <d v="2025-06-15T00:00:00"/>
    <s v="Eric"/>
    <n v="5"/>
    <n v="6"/>
    <x v="3"/>
    <x v="2"/>
    <x v="2"/>
    <n v="23"/>
  </r>
  <r>
    <d v="2023-06-23T00:00:00"/>
    <x v="2"/>
    <x v="6"/>
    <n v="5"/>
    <n v="360.34"/>
    <x v="2"/>
    <x v="0"/>
    <n v="0"/>
    <x v="3"/>
    <n v="1801.7"/>
    <x v="1"/>
    <s v="nan"/>
    <n v="0"/>
    <x v="459"/>
    <s v="Akash Dubey"/>
    <n v="33.76"/>
    <n v="360.34000000000003"/>
    <n v="1767.94"/>
    <d v="2023-06-23T00:00:00"/>
    <d v="2023-06-28T00:00:00"/>
    <s v="Ryan"/>
    <n v="23"/>
    <n v="6"/>
    <x v="3"/>
    <x v="0"/>
    <x v="2"/>
    <n v="25"/>
  </r>
  <r>
    <d v="2024-09-21T00:00:00"/>
    <x v="1"/>
    <x v="0"/>
    <n v="20"/>
    <n v="296.8"/>
    <x v="1"/>
    <x v="1"/>
    <n v="0.1"/>
    <x v="2"/>
    <n v="5342.4000000000005"/>
    <x v="1"/>
    <s v="nan"/>
    <n v="0"/>
    <x v="460"/>
    <s v="Sai Kulkarni"/>
    <n v="19.57"/>
    <n v="267.12"/>
    <n v="5322.8300000000008"/>
    <d v="2024-09-21T00:00:00"/>
    <d v="2024-09-28T00:00:00"/>
    <s v="Sophie"/>
    <n v="21"/>
    <n v="9"/>
    <x v="11"/>
    <x v="1"/>
    <x v="3"/>
    <n v="38"/>
  </r>
  <r>
    <d v="2024-01-01T00:00:00"/>
    <x v="1"/>
    <x v="2"/>
    <n v="3"/>
    <n v="599.41999999999996"/>
    <x v="1"/>
    <x v="0"/>
    <n v="0.1"/>
    <x v="5"/>
    <n v="1618.434"/>
    <x v="0"/>
    <s v="SAVE10"/>
    <n v="0"/>
    <x v="461"/>
    <s v="Siddharth Bansal"/>
    <n v="48.02"/>
    <n v="539.47799999999995"/>
    <n v="1570.414"/>
    <d v="2024-01-01T00:00:00"/>
    <d v="2024-01-03T00:00:00"/>
    <s v="Sophie"/>
    <n v="1"/>
    <n v="1"/>
    <x v="4"/>
    <x v="1"/>
    <x v="0"/>
    <n v="1"/>
  </r>
  <r>
    <d v="2025-01-02T00:00:00"/>
    <x v="4"/>
    <x v="0"/>
    <n v="1"/>
    <n v="374.33"/>
    <x v="0"/>
    <x v="0"/>
    <n v="0"/>
    <x v="3"/>
    <n v="374.33"/>
    <x v="2"/>
    <s v="FREESHIP"/>
    <n v="0"/>
    <x v="462"/>
    <s v="Sneha Thomas"/>
    <n v="33.31"/>
    <n v="374.33"/>
    <n v="341.02"/>
    <d v="2025-01-02T00:00:00"/>
    <d v="2025-01-12T00:00:00"/>
    <s v="Wendy"/>
    <n v="2"/>
    <n v="1"/>
    <x v="4"/>
    <x v="2"/>
    <x v="0"/>
    <n v="1"/>
  </r>
  <r>
    <d v="2024-03-14T00:00:00"/>
    <x v="2"/>
    <x v="2"/>
    <n v="13"/>
    <n v="588.79999999999995"/>
    <x v="3"/>
    <x v="0"/>
    <n v="0.15"/>
    <x v="2"/>
    <n v="6506.24"/>
    <x v="4"/>
    <s v="SAVE10"/>
    <n v="0"/>
    <x v="463"/>
    <s v="Sneha Mirza"/>
    <n v="45.03"/>
    <n v="500.47999999999996"/>
    <n v="6461.21"/>
    <d v="2024-03-14T00:00:00"/>
    <d v="2024-03-21T00:00:00"/>
    <s v="Ryan"/>
    <n v="14"/>
    <n v="3"/>
    <x v="6"/>
    <x v="1"/>
    <x v="0"/>
    <n v="11"/>
  </r>
  <r>
    <d v="2024-05-04T00:00:00"/>
    <x v="4"/>
    <x v="4"/>
    <n v="13"/>
    <n v="198.44"/>
    <x v="3"/>
    <x v="0"/>
    <n v="0"/>
    <x v="3"/>
    <n v="2579.7199999999998"/>
    <x v="4"/>
    <s v="SAVE10"/>
    <n v="1"/>
    <x v="464"/>
    <s v="Bhavna Patel"/>
    <n v="31.51"/>
    <n v="198.44"/>
    <n v="2548.2099999999996"/>
    <d v="2024-05-04T00:00:00"/>
    <d v="2024-05-09T00:00:00"/>
    <s v="Wendy"/>
    <n v="4"/>
    <n v="5"/>
    <x v="2"/>
    <x v="1"/>
    <x v="2"/>
    <n v="18"/>
  </r>
  <r>
    <d v="2025-02-27T00:00:00"/>
    <x v="1"/>
    <x v="6"/>
    <n v="12"/>
    <n v="384.2"/>
    <x v="1"/>
    <x v="1"/>
    <n v="0"/>
    <x v="0"/>
    <n v="4610.3999999999996"/>
    <x v="4"/>
    <s v="FREESHIP"/>
    <n v="0"/>
    <x v="465"/>
    <s v="Riya Shetty"/>
    <n v="38.99"/>
    <n v="384.2"/>
    <n v="4571.41"/>
    <d v="2025-02-27T00:00:00"/>
    <d v="2025-03-02T00:00:00"/>
    <s v="Sophie"/>
    <n v="27"/>
    <n v="2"/>
    <x v="0"/>
    <x v="2"/>
    <x v="0"/>
    <n v="9"/>
  </r>
  <r>
    <d v="2024-11-13T00:00:00"/>
    <x v="3"/>
    <x v="1"/>
    <n v="4"/>
    <n v="475.49"/>
    <x v="0"/>
    <x v="0"/>
    <n v="0.15"/>
    <x v="2"/>
    <n v="1616.6659999999999"/>
    <x v="4"/>
    <s v="WINTER15"/>
    <n v="0"/>
    <x v="466"/>
    <s v="Simran Malhotra"/>
    <n v="11.6"/>
    <n v="404.16649999999998"/>
    <n v="1605.066"/>
    <d v="2024-11-13T00:00:00"/>
    <d v="2024-11-17T00:00:00"/>
    <s v="Cameron"/>
    <n v="13"/>
    <n v="11"/>
    <x v="9"/>
    <x v="1"/>
    <x v="1"/>
    <n v="46"/>
  </r>
  <r>
    <d v="2023-10-31T00:00:00"/>
    <x v="4"/>
    <x v="6"/>
    <n v="6"/>
    <n v="202.97"/>
    <x v="2"/>
    <x v="1"/>
    <n v="0.1"/>
    <x v="0"/>
    <n v="1096.038"/>
    <x v="1"/>
    <s v="WINTER15"/>
    <n v="0"/>
    <x v="467"/>
    <s v="Akash Ghosh"/>
    <n v="43.55"/>
    <n v="182.673"/>
    <n v="1052.4880000000001"/>
    <d v="2023-10-31T00:00:00"/>
    <d v="2023-11-10T00:00:00"/>
    <s v="Wendy"/>
    <n v="31"/>
    <n v="10"/>
    <x v="5"/>
    <x v="0"/>
    <x v="1"/>
    <n v="44"/>
  </r>
  <r>
    <d v="2023-12-19T00:00:00"/>
    <x v="3"/>
    <x v="5"/>
    <n v="18"/>
    <n v="135.22999999999999"/>
    <x v="2"/>
    <x v="0"/>
    <n v="0"/>
    <x v="4"/>
    <n v="2434.14"/>
    <x v="0"/>
    <s v="WINTER15"/>
    <n v="1"/>
    <x v="468"/>
    <s v="Dhruv Naidu"/>
    <n v="46.1"/>
    <n v="135.22999999999999"/>
    <n v="2388.04"/>
    <d v="2023-12-19T00:00:00"/>
    <d v="2023-12-24T00:00:00"/>
    <s v="Cameron"/>
    <n v="19"/>
    <n v="12"/>
    <x v="1"/>
    <x v="0"/>
    <x v="1"/>
    <n v="51"/>
  </r>
  <r>
    <d v="2023-11-27T00:00:00"/>
    <x v="1"/>
    <x v="5"/>
    <n v="20"/>
    <n v="356.4"/>
    <x v="2"/>
    <x v="0"/>
    <n v="0.05"/>
    <x v="4"/>
    <n v="6771.5999999999995"/>
    <x v="4"/>
    <s v="FREESHIP"/>
    <n v="1"/>
    <x v="469"/>
    <s v="Priya Bansal"/>
    <n v="26.7"/>
    <n v="338.58"/>
    <n v="6744.9"/>
    <d v="2023-11-27T00:00:00"/>
    <d v="2023-12-03T00:00:00"/>
    <s v="Sophie"/>
    <n v="27"/>
    <n v="11"/>
    <x v="9"/>
    <x v="0"/>
    <x v="1"/>
    <n v="48"/>
  </r>
  <r>
    <d v="2023-08-15T00:00:00"/>
    <x v="0"/>
    <x v="0"/>
    <n v="3"/>
    <n v="294.72000000000003"/>
    <x v="2"/>
    <x v="0"/>
    <n v="0.05"/>
    <x v="1"/>
    <n v="839.952"/>
    <x v="4"/>
    <s v="SAVE10"/>
    <n v="0"/>
    <x v="470"/>
    <s v="Kunal Dubey"/>
    <n v="45.33"/>
    <n v="279.98399999999998"/>
    <n v="794.62199999999996"/>
    <d v="2023-08-15T00:00:00"/>
    <d v="2023-08-18T00:00:00"/>
    <s v="Eric"/>
    <n v="15"/>
    <n v="8"/>
    <x v="10"/>
    <x v="0"/>
    <x v="3"/>
    <n v="33"/>
  </r>
  <r>
    <d v="2023-01-16T00:00:00"/>
    <x v="4"/>
    <x v="1"/>
    <n v="20"/>
    <n v="553.85"/>
    <x v="1"/>
    <x v="1"/>
    <n v="0"/>
    <x v="2"/>
    <n v="11077"/>
    <x v="4"/>
    <s v="WINTER15"/>
    <n v="0"/>
    <x v="471"/>
    <s v="Kabir Khan"/>
    <n v="33.21"/>
    <n v="553.85"/>
    <n v="11043.79"/>
    <d v="2023-01-16T00:00:00"/>
    <d v="2023-01-24T00:00:00"/>
    <s v="Wendy"/>
    <n v="16"/>
    <n v="1"/>
    <x v="4"/>
    <x v="0"/>
    <x v="0"/>
    <n v="3"/>
  </r>
  <r>
    <d v="2025-02-28T00:00:00"/>
    <x v="3"/>
    <x v="5"/>
    <n v="13"/>
    <n v="81.17"/>
    <x v="3"/>
    <x v="1"/>
    <n v="0.1"/>
    <x v="2"/>
    <n v="949.68900000000008"/>
    <x v="4"/>
    <s v="SAVE10"/>
    <n v="1"/>
    <x v="472"/>
    <s v="Mohit Verma"/>
    <n v="48.21"/>
    <n v="73.053000000000011"/>
    <n v="901.47900000000004"/>
    <d v="2025-02-28T00:00:00"/>
    <d v="2025-03-08T00:00:00"/>
    <s v="Cameron"/>
    <n v="28"/>
    <n v="2"/>
    <x v="0"/>
    <x v="2"/>
    <x v="0"/>
    <n v="9"/>
  </r>
  <r>
    <d v="2023-11-28T00:00:00"/>
    <x v="4"/>
    <x v="1"/>
    <n v="2"/>
    <n v="532.51"/>
    <x v="0"/>
    <x v="0"/>
    <n v="0"/>
    <x v="3"/>
    <n v="1065.02"/>
    <x v="2"/>
    <s v="WINTER15"/>
    <n v="1"/>
    <x v="473"/>
    <s v="Rukhsar Joshi"/>
    <n v="49.67"/>
    <n v="532.51"/>
    <n v="1015.35"/>
    <d v="2023-11-28T00:00:00"/>
    <d v="2023-12-01T00:00:00"/>
    <s v="Wendy"/>
    <n v="28"/>
    <n v="11"/>
    <x v="9"/>
    <x v="0"/>
    <x v="1"/>
    <n v="48"/>
  </r>
  <r>
    <d v="2023-12-04T00:00:00"/>
    <x v="4"/>
    <x v="6"/>
    <n v="1"/>
    <n v="268.19"/>
    <x v="0"/>
    <x v="0"/>
    <n v="0.1"/>
    <x v="3"/>
    <n v="241.37100000000001"/>
    <x v="1"/>
    <s v="WINTER15"/>
    <n v="0"/>
    <x v="474"/>
    <s v="Aisha Roy"/>
    <n v="9.48"/>
    <n v="241.37100000000001"/>
    <n v="231.89100000000002"/>
    <d v="2023-12-04T00:00:00"/>
    <d v="2023-12-13T00:00:00"/>
    <s v="Wendy"/>
    <n v="4"/>
    <n v="12"/>
    <x v="1"/>
    <x v="0"/>
    <x v="1"/>
    <n v="49"/>
  </r>
  <r>
    <d v="2024-06-21T00:00:00"/>
    <x v="1"/>
    <x v="6"/>
    <n v="17"/>
    <n v="432.65"/>
    <x v="1"/>
    <x v="1"/>
    <n v="0.15"/>
    <x v="2"/>
    <n v="6251.7924999999996"/>
    <x v="4"/>
    <s v="FREESHIP"/>
    <n v="0"/>
    <x v="475"/>
    <s v="Nikhil Iyer"/>
    <n v="18.850000000000001"/>
    <n v="367.7525"/>
    <n v="6232.9424999999992"/>
    <d v="2024-06-21T00:00:00"/>
    <d v="2024-06-29T00:00:00"/>
    <s v="Sophie"/>
    <n v="21"/>
    <n v="6"/>
    <x v="3"/>
    <x v="1"/>
    <x v="2"/>
    <n v="25"/>
  </r>
  <r>
    <d v="2025-03-17T00:00:00"/>
    <x v="0"/>
    <x v="2"/>
    <n v="14"/>
    <n v="123.04"/>
    <x v="1"/>
    <x v="0"/>
    <n v="0.1"/>
    <x v="4"/>
    <n v="1550.3040000000001"/>
    <x v="4"/>
    <s v="WINTER15"/>
    <n v="1"/>
    <x v="476"/>
    <s v="Ira Reddy"/>
    <n v="43.28"/>
    <n v="110.736"/>
    <n v="1507.0240000000001"/>
    <d v="2025-03-17T00:00:00"/>
    <d v="2025-03-26T00:00:00"/>
    <s v="Eric"/>
    <n v="17"/>
    <n v="3"/>
    <x v="6"/>
    <x v="2"/>
    <x v="0"/>
    <n v="12"/>
  </r>
  <r>
    <d v="2023-08-17T00:00:00"/>
    <x v="3"/>
    <x v="2"/>
    <n v="16"/>
    <n v="454.54"/>
    <x v="0"/>
    <x v="1"/>
    <n v="0.1"/>
    <x v="5"/>
    <n v="6545.3760000000002"/>
    <x v="0"/>
    <s v="FREESHIP"/>
    <n v="0"/>
    <x v="477"/>
    <s v="Palak Mehta"/>
    <n v="20.55"/>
    <n v="409.08600000000001"/>
    <n v="6524.826"/>
    <d v="2023-08-17T00:00:00"/>
    <d v="2023-08-19T00:00:00"/>
    <s v="Cameron"/>
    <n v="17"/>
    <n v="8"/>
    <x v="10"/>
    <x v="0"/>
    <x v="3"/>
    <n v="33"/>
  </r>
  <r>
    <d v="2023-08-30T00:00:00"/>
    <x v="3"/>
    <x v="4"/>
    <n v="11"/>
    <n v="414.58"/>
    <x v="3"/>
    <x v="0"/>
    <n v="0.05"/>
    <x v="4"/>
    <n v="4332.3609999999999"/>
    <x v="4"/>
    <s v="WINTER15"/>
    <n v="0"/>
    <x v="478"/>
    <s v="Rohan Saxena"/>
    <n v="25.33"/>
    <n v="393.851"/>
    <n v="4307.0309999999999"/>
    <d v="2023-08-30T00:00:00"/>
    <d v="2023-09-05T00:00:00"/>
    <s v="Cameron"/>
    <n v="30"/>
    <n v="8"/>
    <x v="10"/>
    <x v="0"/>
    <x v="3"/>
    <n v="35"/>
  </r>
  <r>
    <d v="2025-06-16T00:00:00"/>
    <x v="0"/>
    <x v="1"/>
    <n v="9"/>
    <n v="352.91"/>
    <x v="0"/>
    <x v="0"/>
    <n v="0.1"/>
    <x v="5"/>
    <n v="2858.5709999999999"/>
    <x v="4"/>
    <s v="FREESHIP"/>
    <n v="0"/>
    <x v="479"/>
    <s v="Rahul Tripathi"/>
    <n v="30.57"/>
    <n v="317.61899999999997"/>
    <n v="2828.0009999999997"/>
    <d v="2025-06-16T00:00:00"/>
    <d v="2025-06-18T00:00:00"/>
    <s v="Eric"/>
    <n v="16"/>
    <n v="6"/>
    <x v="3"/>
    <x v="2"/>
    <x v="2"/>
    <n v="25"/>
  </r>
  <r>
    <d v="2023-06-29T00:00:00"/>
    <x v="2"/>
    <x v="3"/>
    <n v="10"/>
    <n v="126.46"/>
    <x v="1"/>
    <x v="1"/>
    <n v="0.1"/>
    <x v="0"/>
    <n v="1138.1400000000001"/>
    <x v="0"/>
    <s v="WINTER15"/>
    <n v="0"/>
    <x v="480"/>
    <s v="Om Rawat"/>
    <n v="26.96"/>
    <n v="113.81400000000001"/>
    <n v="1111.18"/>
    <d v="2023-06-29T00:00:00"/>
    <d v="2023-07-09T00:00:00"/>
    <s v="Ryan"/>
    <n v="29"/>
    <n v="6"/>
    <x v="3"/>
    <x v="0"/>
    <x v="2"/>
    <n v="26"/>
  </r>
  <r>
    <d v="2023-08-13T00:00:00"/>
    <x v="2"/>
    <x v="4"/>
    <n v="7"/>
    <n v="125.02"/>
    <x v="3"/>
    <x v="0"/>
    <n v="0"/>
    <x v="3"/>
    <n v="875.14"/>
    <x v="2"/>
    <s v="FREESHIP"/>
    <n v="0"/>
    <x v="481"/>
    <s v="Ira Chawla"/>
    <n v="12.45"/>
    <n v="125.02"/>
    <n v="862.68999999999994"/>
    <d v="2023-08-13T00:00:00"/>
    <d v="2023-08-20T00:00:00"/>
    <s v="Ryan"/>
    <n v="13"/>
    <n v="8"/>
    <x v="10"/>
    <x v="0"/>
    <x v="3"/>
    <n v="32"/>
  </r>
  <r>
    <d v="2024-04-29T00:00:00"/>
    <x v="4"/>
    <x v="5"/>
    <n v="20"/>
    <n v="367.24"/>
    <x v="1"/>
    <x v="0"/>
    <n v="0.05"/>
    <x v="3"/>
    <n v="6977.5599999999986"/>
    <x v="1"/>
    <s v="FREESHIP"/>
    <n v="0"/>
    <x v="482"/>
    <s v="Diya Mirza"/>
    <n v="45.67"/>
    <n v="348.87799999999993"/>
    <n v="6931.8899999999985"/>
    <d v="2024-04-29T00:00:00"/>
    <d v="2024-05-07T00:00:00"/>
    <s v="Wendy"/>
    <n v="29"/>
    <n v="4"/>
    <x v="7"/>
    <x v="1"/>
    <x v="2"/>
    <n v="18"/>
  </r>
  <r>
    <d v="2023-07-15T00:00:00"/>
    <x v="4"/>
    <x v="4"/>
    <n v="8"/>
    <n v="432.12"/>
    <x v="0"/>
    <x v="1"/>
    <n v="0"/>
    <x v="4"/>
    <n v="3456.96"/>
    <x v="2"/>
    <s v="WINTER15"/>
    <n v="0"/>
    <x v="483"/>
    <s v="Kiara Rao"/>
    <n v="42.1"/>
    <n v="432.12"/>
    <n v="3414.86"/>
    <d v="2023-07-15T00:00:00"/>
    <d v="2023-07-25T00:00:00"/>
    <s v="Wendy"/>
    <n v="15"/>
    <n v="7"/>
    <x v="8"/>
    <x v="0"/>
    <x v="3"/>
    <n v="28"/>
  </r>
  <r>
    <d v="2025-01-17T00:00:00"/>
    <x v="2"/>
    <x v="5"/>
    <n v="3"/>
    <n v="13.33"/>
    <x v="3"/>
    <x v="1"/>
    <n v="0.1"/>
    <x v="0"/>
    <n v="35.991"/>
    <x v="4"/>
    <s v="SAVE10"/>
    <n v="0"/>
    <x v="484"/>
    <s v="Harsh Yadav"/>
    <n v="17.62"/>
    <n v="11.997"/>
    <n v="18.370999999999999"/>
    <d v="2025-01-17T00:00:00"/>
    <d v="2025-01-23T00:00:00"/>
    <s v="Ryan"/>
    <n v="17"/>
    <n v="1"/>
    <x v="4"/>
    <x v="2"/>
    <x v="0"/>
    <n v="3"/>
  </r>
  <r>
    <d v="2025-02-21T00:00:00"/>
    <x v="0"/>
    <x v="6"/>
    <n v="13"/>
    <n v="105.93"/>
    <x v="2"/>
    <x v="1"/>
    <n v="0"/>
    <x v="5"/>
    <n v="1377.09"/>
    <x v="3"/>
    <s v="FREESHIP"/>
    <n v="0"/>
    <x v="485"/>
    <s v="Priya Dubey"/>
    <n v="38.96"/>
    <n v="105.92999999999999"/>
    <n v="1338.1299999999999"/>
    <d v="2025-02-21T00:00:00"/>
    <d v="2025-03-03T00:00:00"/>
    <s v="Eric"/>
    <n v="21"/>
    <n v="2"/>
    <x v="0"/>
    <x v="2"/>
    <x v="0"/>
    <n v="8"/>
  </r>
  <r>
    <d v="2023-07-19T00:00:00"/>
    <x v="4"/>
    <x v="4"/>
    <n v="20"/>
    <n v="526.54999999999995"/>
    <x v="1"/>
    <x v="0"/>
    <n v="0"/>
    <x v="1"/>
    <n v="10531"/>
    <x v="3"/>
    <s v="FREESHIP"/>
    <n v="1"/>
    <x v="486"/>
    <s v="Rukhsar Bose"/>
    <n v="25.64"/>
    <n v="526.54999999999995"/>
    <n v="10505.36"/>
    <d v="2023-07-19T00:00:00"/>
    <d v="2023-07-26T00:00:00"/>
    <s v="Wendy"/>
    <n v="19"/>
    <n v="7"/>
    <x v="8"/>
    <x v="0"/>
    <x v="3"/>
    <n v="29"/>
  </r>
  <r>
    <d v="2024-09-29T00:00:00"/>
    <x v="4"/>
    <x v="1"/>
    <n v="11"/>
    <n v="339.78"/>
    <x v="1"/>
    <x v="1"/>
    <n v="0.05"/>
    <x v="4"/>
    <n v="3550.701"/>
    <x v="3"/>
    <s v="WINTER15"/>
    <n v="1"/>
    <x v="487"/>
    <s v="Pranav Chawla"/>
    <n v="11.56"/>
    <n v="322.791"/>
    <n v="3539.1410000000001"/>
    <d v="2024-09-29T00:00:00"/>
    <d v="2024-10-06T00:00:00"/>
    <s v="Wendy"/>
    <n v="29"/>
    <n v="9"/>
    <x v="11"/>
    <x v="1"/>
    <x v="3"/>
    <n v="39"/>
  </r>
  <r>
    <d v="2024-10-17T00:00:00"/>
    <x v="0"/>
    <x v="0"/>
    <n v="10"/>
    <n v="91.75"/>
    <x v="3"/>
    <x v="0"/>
    <n v="0.15"/>
    <x v="2"/>
    <n v="779.875"/>
    <x v="4"/>
    <s v="WINTER15"/>
    <n v="0"/>
    <x v="488"/>
    <s v="Nikhil Mathew"/>
    <n v="37.270000000000003"/>
    <n v="77.987499999999997"/>
    <n v="742.60500000000002"/>
    <d v="2024-10-17T00:00:00"/>
    <d v="2024-10-21T00:00:00"/>
    <s v="Eric"/>
    <n v="17"/>
    <n v="10"/>
    <x v="5"/>
    <x v="1"/>
    <x v="1"/>
    <n v="42"/>
  </r>
  <r>
    <d v="2025-06-11T00:00:00"/>
    <x v="0"/>
    <x v="1"/>
    <n v="15"/>
    <n v="13.66"/>
    <x v="0"/>
    <x v="1"/>
    <n v="0.1"/>
    <x v="1"/>
    <n v="184.41"/>
    <x v="3"/>
    <s v="FREESHIP"/>
    <n v="0"/>
    <x v="489"/>
    <s v="Shruti Joseph"/>
    <n v="38.04"/>
    <n v="12.294"/>
    <n v="146.37"/>
    <d v="2025-06-11T00:00:00"/>
    <d v="2025-06-17T00:00:00"/>
    <s v="Eric"/>
    <n v="11"/>
    <n v="6"/>
    <x v="3"/>
    <x v="2"/>
    <x v="2"/>
    <n v="24"/>
  </r>
  <r>
    <d v="2024-01-19T00:00:00"/>
    <x v="4"/>
    <x v="2"/>
    <n v="6"/>
    <n v="148.22999999999999"/>
    <x v="0"/>
    <x v="1"/>
    <n v="0.1"/>
    <x v="0"/>
    <n v="800.44199999999989"/>
    <x v="2"/>
    <s v="FREESHIP"/>
    <n v="0"/>
    <x v="490"/>
    <s v="Shruti Patel"/>
    <n v="19.579999999999998"/>
    <n v="133.40699999999998"/>
    <n v="780.86199999999985"/>
    <d v="2024-01-19T00:00:00"/>
    <d v="2024-01-29T00:00:00"/>
    <s v="Wendy"/>
    <n v="19"/>
    <n v="1"/>
    <x v="4"/>
    <x v="1"/>
    <x v="0"/>
    <n v="3"/>
  </r>
  <r>
    <d v="2023-12-03T00:00:00"/>
    <x v="0"/>
    <x v="3"/>
    <n v="11"/>
    <n v="495.03"/>
    <x v="3"/>
    <x v="0"/>
    <n v="0.15"/>
    <x v="2"/>
    <n v="4628.5304999999998"/>
    <x v="4"/>
    <s v="WINTER15"/>
    <n v="0"/>
    <x v="491"/>
    <s v="Charu Roy"/>
    <n v="27.37"/>
    <n v="420.77549999999997"/>
    <n v="4601.1605"/>
    <d v="2023-12-03T00:00:00"/>
    <d v="2023-12-05T00:00:00"/>
    <s v="Eric"/>
    <n v="3"/>
    <n v="12"/>
    <x v="1"/>
    <x v="0"/>
    <x v="1"/>
    <n v="48"/>
  </r>
  <r>
    <d v="2024-06-19T00:00:00"/>
    <x v="3"/>
    <x v="3"/>
    <n v="6"/>
    <n v="247.2"/>
    <x v="1"/>
    <x v="0"/>
    <n v="0.05"/>
    <x v="4"/>
    <n v="1409.04"/>
    <x v="2"/>
    <s v="FREESHIP"/>
    <n v="0"/>
    <x v="492"/>
    <s v="Mohit Sinha"/>
    <n v="18.75"/>
    <n v="234.84"/>
    <n v="1390.29"/>
    <d v="2024-06-19T00:00:00"/>
    <d v="2024-06-27T00:00:00"/>
    <s v="Cameron"/>
    <n v="19"/>
    <n v="6"/>
    <x v="3"/>
    <x v="1"/>
    <x v="2"/>
    <n v="25"/>
  </r>
  <r>
    <d v="2024-10-16T00:00:00"/>
    <x v="4"/>
    <x v="5"/>
    <n v="19"/>
    <n v="207.45"/>
    <x v="2"/>
    <x v="1"/>
    <n v="0.05"/>
    <x v="5"/>
    <n v="3744.4724999999989"/>
    <x v="3"/>
    <s v="SAVE10"/>
    <n v="0"/>
    <x v="493"/>
    <s v="Zoya Tiwari"/>
    <n v="11.5"/>
    <n v="197.07749999999996"/>
    <n v="3732.9724999999989"/>
    <d v="2024-10-16T00:00:00"/>
    <d v="2024-10-21T00:00:00"/>
    <s v="Wendy"/>
    <n v="16"/>
    <n v="10"/>
    <x v="5"/>
    <x v="1"/>
    <x v="1"/>
    <n v="42"/>
  </r>
  <r>
    <d v="2025-01-23T00:00:00"/>
    <x v="0"/>
    <x v="0"/>
    <n v="2"/>
    <n v="370.78"/>
    <x v="3"/>
    <x v="0"/>
    <n v="0.15"/>
    <x v="4"/>
    <n v="630.32599999999991"/>
    <x v="0"/>
    <s v="FREESHIP"/>
    <n v="0"/>
    <x v="494"/>
    <s v="Raina Mukherjee"/>
    <n v="20.45"/>
    <n v="315.16299999999995"/>
    <n v="609.87599999999986"/>
    <d v="2025-01-23T00:00:00"/>
    <d v="2025-01-27T00:00:00"/>
    <s v="Eric"/>
    <n v="23"/>
    <n v="1"/>
    <x v="4"/>
    <x v="2"/>
    <x v="0"/>
    <n v="4"/>
  </r>
  <r>
    <d v="2023-10-02T00:00:00"/>
    <x v="3"/>
    <x v="0"/>
    <n v="9"/>
    <n v="146.72"/>
    <x v="1"/>
    <x v="0"/>
    <n v="0.1"/>
    <x v="4"/>
    <n v="1188.432"/>
    <x v="2"/>
    <s v="nan"/>
    <n v="0"/>
    <x v="495"/>
    <s v="Bhavna Tiwari"/>
    <n v="10.45"/>
    <n v="132.048"/>
    <n v="1177.982"/>
    <d v="2023-10-02T00:00:00"/>
    <d v="2023-10-10T00:00:00"/>
    <s v="Cameron"/>
    <n v="2"/>
    <n v="10"/>
    <x v="5"/>
    <x v="0"/>
    <x v="1"/>
    <n v="40"/>
  </r>
  <r>
    <d v="2023-11-05T00:00:00"/>
    <x v="0"/>
    <x v="2"/>
    <n v="12"/>
    <n v="159.85"/>
    <x v="3"/>
    <x v="1"/>
    <n v="0.1"/>
    <x v="1"/>
    <n v="1726.38"/>
    <x v="4"/>
    <s v="WINTER15"/>
    <n v="0"/>
    <x v="496"/>
    <s v="Suresh Srivastava"/>
    <n v="32.61"/>
    <n v="143.86500000000001"/>
    <n v="1693.7700000000002"/>
    <d v="2023-11-05T00:00:00"/>
    <d v="2023-11-07T00:00:00"/>
    <s v="Eric"/>
    <n v="5"/>
    <n v="11"/>
    <x v="9"/>
    <x v="0"/>
    <x v="1"/>
    <n v="44"/>
  </r>
  <r>
    <d v="2023-06-18T00:00:00"/>
    <x v="1"/>
    <x v="6"/>
    <n v="13"/>
    <n v="181.68"/>
    <x v="2"/>
    <x v="0"/>
    <n v="0.05"/>
    <x v="4"/>
    <n v="2243.748"/>
    <x v="1"/>
    <s v="SAVE10"/>
    <n v="0"/>
    <x v="497"/>
    <s v="Abhishek Menon"/>
    <n v="14.69"/>
    <n v="172.596"/>
    <n v="2229.058"/>
    <d v="2023-06-18T00:00:00"/>
    <d v="2023-06-23T00:00:00"/>
    <s v="Sophie"/>
    <n v="18"/>
    <n v="6"/>
    <x v="3"/>
    <x v="0"/>
    <x v="2"/>
    <n v="24"/>
  </r>
  <r>
    <d v="2024-07-15T00:00:00"/>
    <x v="3"/>
    <x v="1"/>
    <n v="16"/>
    <n v="34.159999999999997"/>
    <x v="1"/>
    <x v="1"/>
    <n v="0.15"/>
    <x v="5"/>
    <n v="464.57600000000002"/>
    <x v="4"/>
    <s v="SAVE10"/>
    <n v="0"/>
    <x v="498"/>
    <s v="Aisha Dubey"/>
    <n v="36.33"/>
    <n v="29.036000000000001"/>
    <n v="428.24600000000004"/>
    <d v="2024-07-15T00:00:00"/>
    <d v="2024-07-21T00:00:00"/>
    <s v="Cameron"/>
    <n v="15"/>
    <n v="7"/>
    <x v="8"/>
    <x v="1"/>
    <x v="3"/>
    <n v="29"/>
  </r>
  <r>
    <d v="2024-06-14T00:00:00"/>
    <x v="3"/>
    <x v="0"/>
    <n v="2"/>
    <n v="287.43"/>
    <x v="2"/>
    <x v="0"/>
    <n v="0.1"/>
    <x v="4"/>
    <n v="517.37400000000002"/>
    <x v="4"/>
    <s v="WINTER15"/>
    <n v="0"/>
    <x v="499"/>
    <s v="Sara Solanki"/>
    <n v="25.34"/>
    <n v="258.68700000000001"/>
    <n v="492.03400000000005"/>
    <d v="2024-06-14T00:00:00"/>
    <d v="2024-06-23T00:00:00"/>
    <s v="Cameron"/>
    <n v="14"/>
    <n v="6"/>
    <x v="3"/>
    <x v="1"/>
    <x v="2"/>
    <n v="24"/>
  </r>
  <r>
    <d v="2024-04-05T00:00:00"/>
    <x v="0"/>
    <x v="4"/>
    <n v="15"/>
    <n v="405.95"/>
    <x v="3"/>
    <x v="0"/>
    <n v="0.15"/>
    <x v="0"/>
    <n v="5175.8625000000002"/>
    <x v="1"/>
    <s v="nan"/>
    <n v="0"/>
    <x v="500"/>
    <s v="Sara Tripathi"/>
    <n v="32.04"/>
    <n v="345.0575"/>
    <n v="5143.8225000000002"/>
    <d v="2024-04-05T00:00:00"/>
    <d v="2024-04-10T00:00:00"/>
    <s v="Eric"/>
    <n v="5"/>
    <n v="4"/>
    <x v="7"/>
    <x v="1"/>
    <x v="2"/>
    <n v="14"/>
  </r>
  <r>
    <d v="2023-02-27T00:00:00"/>
    <x v="2"/>
    <x v="0"/>
    <n v="1"/>
    <n v="430.61"/>
    <x v="0"/>
    <x v="1"/>
    <n v="0"/>
    <x v="1"/>
    <n v="430.61"/>
    <x v="1"/>
    <s v="WINTER15"/>
    <n v="0"/>
    <x v="501"/>
    <s v="Aditi Singh"/>
    <n v="14.53"/>
    <n v="430.61"/>
    <n v="416.08000000000004"/>
    <d v="2023-02-27T00:00:00"/>
    <d v="2023-03-07T00:00:00"/>
    <s v="Ryan"/>
    <n v="27"/>
    <n v="2"/>
    <x v="0"/>
    <x v="0"/>
    <x v="0"/>
    <n v="9"/>
  </r>
  <r>
    <d v="2023-07-31T00:00:00"/>
    <x v="4"/>
    <x v="0"/>
    <n v="5"/>
    <n v="508.05"/>
    <x v="3"/>
    <x v="1"/>
    <n v="0"/>
    <x v="2"/>
    <n v="2540.25"/>
    <x v="2"/>
    <s v="WINTER15"/>
    <n v="1"/>
    <x v="502"/>
    <s v="Zara Sen"/>
    <n v="35.630000000000003"/>
    <n v="508.05"/>
    <n v="2504.62"/>
    <d v="2023-07-31T00:00:00"/>
    <d v="2023-08-09T00:00:00"/>
    <s v="Wendy"/>
    <n v="31"/>
    <n v="7"/>
    <x v="8"/>
    <x v="0"/>
    <x v="3"/>
    <n v="31"/>
  </r>
  <r>
    <d v="2023-03-03T00:00:00"/>
    <x v="4"/>
    <x v="0"/>
    <n v="13"/>
    <n v="522.97"/>
    <x v="2"/>
    <x v="1"/>
    <n v="0.15"/>
    <x v="3"/>
    <n v="5778.8185000000003"/>
    <x v="3"/>
    <s v="FREESHIP"/>
    <n v="0"/>
    <x v="503"/>
    <s v="Vivaan Kapoor"/>
    <n v="33.9"/>
    <n v="444.52450000000005"/>
    <n v="5744.9185000000007"/>
    <d v="2023-03-03T00:00:00"/>
    <d v="2023-03-10T00:00:00"/>
    <s v="Wendy"/>
    <n v="3"/>
    <n v="3"/>
    <x v="6"/>
    <x v="0"/>
    <x v="0"/>
    <n v="9"/>
  </r>
  <r>
    <d v="2023-04-26T00:00:00"/>
    <x v="1"/>
    <x v="0"/>
    <n v="17"/>
    <n v="260.25"/>
    <x v="3"/>
    <x v="0"/>
    <n v="0.1"/>
    <x v="2"/>
    <n v="3981.8249999999998"/>
    <x v="2"/>
    <s v="SAVE10"/>
    <n v="0"/>
    <x v="504"/>
    <s v="Sana Shaikh"/>
    <n v="23.26"/>
    <n v="234.22499999999999"/>
    <n v="3958.5649999999996"/>
    <d v="2023-04-26T00:00:00"/>
    <d v="2023-04-28T00:00:00"/>
    <s v="Sophie"/>
    <n v="26"/>
    <n v="4"/>
    <x v="7"/>
    <x v="0"/>
    <x v="2"/>
    <n v="17"/>
  </r>
  <r>
    <d v="2024-10-19T00:00:00"/>
    <x v="0"/>
    <x v="1"/>
    <n v="6"/>
    <n v="549.21"/>
    <x v="0"/>
    <x v="1"/>
    <n v="0.1"/>
    <x v="0"/>
    <n v="2965.7339999999999"/>
    <x v="2"/>
    <s v="WINTER15"/>
    <n v="1"/>
    <x v="505"/>
    <s v="Ritika Mishra"/>
    <n v="12.29"/>
    <n v="494.28899999999999"/>
    <n v="2953.444"/>
    <d v="2024-10-19T00:00:00"/>
    <d v="2024-10-27T00:00:00"/>
    <s v="Eric"/>
    <n v="19"/>
    <n v="10"/>
    <x v="5"/>
    <x v="1"/>
    <x v="1"/>
    <n v="42"/>
  </r>
  <r>
    <d v="2024-06-30T00:00:00"/>
    <x v="3"/>
    <x v="6"/>
    <n v="17"/>
    <n v="472.33"/>
    <x v="2"/>
    <x v="1"/>
    <n v="0.15"/>
    <x v="3"/>
    <n v="6825.1684999999998"/>
    <x v="3"/>
    <s v="WINTER15"/>
    <n v="0"/>
    <x v="506"/>
    <s v="Sana Solanki"/>
    <n v="22.63"/>
    <n v="401.48050000000001"/>
    <n v="6802.5384999999997"/>
    <d v="2024-06-30T00:00:00"/>
    <d v="2024-07-04T00:00:00"/>
    <s v="Cameron"/>
    <n v="30"/>
    <n v="6"/>
    <x v="3"/>
    <x v="1"/>
    <x v="2"/>
    <n v="26"/>
  </r>
  <r>
    <d v="2024-10-11T00:00:00"/>
    <x v="4"/>
    <x v="0"/>
    <n v="9"/>
    <n v="596.83000000000004"/>
    <x v="1"/>
    <x v="1"/>
    <n v="0"/>
    <x v="0"/>
    <n v="5371.47"/>
    <x v="4"/>
    <s v="WINTER15"/>
    <n v="0"/>
    <x v="507"/>
    <s v="Devansh Pillai"/>
    <n v="6.43"/>
    <n v="596.83000000000004"/>
    <n v="5365.04"/>
    <d v="2024-10-11T00:00:00"/>
    <d v="2024-10-19T00:00:00"/>
    <s v="Wendy"/>
    <n v="11"/>
    <n v="10"/>
    <x v="5"/>
    <x v="1"/>
    <x v="1"/>
    <n v="41"/>
  </r>
  <r>
    <d v="2025-06-14T00:00:00"/>
    <x v="3"/>
    <x v="4"/>
    <n v="15"/>
    <n v="154.04"/>
    <x v="3"/>
    <x v="1"/>
    <n v="0.1"/>
    <x v="1"/>
    <n v="2079.54"/>
    <x v="4"/>
    <s v="FREESHIP"/>
    <n v="1"/>
    <x v="508"/>
    <s v="Rukhsar Mukherjee"/>
    <n v="24.53"/>
    <n v="138.636"/>
    <n v="2055.0099999999998"/>
    <d v="2025-06-14T00:00:00"/>
    <d v="2025-06-23T00:00:00"/>
    <s v="Cameron"/>
    <n v="14"/>
    <n v="6"/>
    <x v="3"/>
    <x v="2"/>
    <x v="2"/>
    <n v="24"/>
  </r>
  <r>
    <d v="2024-12-22T00:00:00"/>
    <x v="0"/>
    <x v="0"/>
    <n v="18"/>
    <n v="500.44"/>
    <x v="3"/>
    <x v="0"/>
    <n v="0.1"/>
    <x v="5"/>
    <n v="8107.1280000000006"/>
    <x v="2"/>
    <s v="nan"/>
    <n v="0"/>
    <x v="509"/>
    <s v="Meera Reddy"/>
    <n v="8.8699999999999992"/>
    <n v="450.39600000000002"/>
    <n v="8098.2580000000007"/>
    <d v="2024-12-22T00:00:00"/>
    <d v="2024-12-30T00:00:00"/>
    <s v="Eric"/>
    <n v="22"/>
    <n v="12"/>
    <x v="1"/>
    <x v="1"/>
    <x v="1"/>
    <n v="51"/>
  </r>
  <r>
    <d v="2024-04-22T00:00:00"/>
    <x v="4"/>
    <x v="5"/>
    <n v="5"/>
    <n v="382.17"/>
    <x v="2"/>
    <x v="0"/>
    <n v="0"/>
    <x v="4"/>
    <n v="1910.85"/>
    <x v="2"/>
    <s v="FREESHIP"/>
    <n v="0"/>
    <x v="510"/>
    <s v="Sai Thakur"/>
    <n v="17.72"/>
    <n v="382.16999999999996"/>
    <n v="1893.1299999999999"/>
    <d v="2024-04-22T00:00:00"/>
    <d v="2024-04-25T00:00:00"/>
    <s v="Wendy"/>
    <n v="22"/>
    <n v="4"/>
    <x v="7"/>
    <x v="1"/>
    <x v="2"/>
    <n v="17"/>
  </r>
  <r>
    <d v="2025-01-25T00:00:00"/>
    <x v="2"/>
    <x v="3"/>
    <n v="3"/>
    <n v="365.54"/>
    <x v="0"/>
    <x v="1"/>
    <n v="0.15"/>
    <x v="2"/>
    <n v="932.12700000000007"/>
    <x v="0"/>
    <s v="nan"/>
    <n v="0"/>
    <x v="511"/>
    <s v="Nisha Iyer"/>
    <n v="45.89"/>
    <n v="310.709"/>
    <n v="886.23700000000008"/>
    <d v="2025-01-25T00:00:00"/>
    <d v="2025-01-29T00:00:00"/>
    <s v="Ryan"/>
    <n v="25"/>
    <n v="1"/>
    <x v="4"/>
    <x v="2"/>
    <x v="0"/>
    <n v="4"/>
  </r>
  <r>
    <d v="2024-11-13T00:00:00"/>
    <x v="2"/>
    <x v="0"/>
    <n v="5"/>
    <n v="270.13"/>
    <x v="2"/>
    <x v="1"/>
    <n v="0.15"/>
    <x v="0"/>
    <n v="1148.0525"/>
    <x v="2"/>
    <s v="nan"/>
    <n v="0"/>
    <x v="512"/>
    <s v="Aditi Saxena"/>
    <n v="15.74"/>
    <n v="229.6105"/>
    <n v="1132.3125"/>
    <d v="2024-11-13T00:00:00"/>
    <d v="2024-11-19T00:00:00"/>
    <s v="Ryan"/>
    <n v="13"/>
    <n v="11"/>
    <x v="9"/>
    <x v="1"/>
    <x v="1"/>
    <n v="46"/>
  </r>
  <r>
    <d v="2023-03-16T00:00:00"/>
    <x v="0"/>
    <x v="5"/>
    <n v="2"/>
    <n v="480.15"/>
    <x v="3"/>
    <x v="1"/>
    <n v="0.15"/>
    <x v="4"/>
    <n v="816.255"/>
    <x v="0"/>
    <s v="nan"/>
    <n v="0"/>
    <x v="513"/>
    <s v="Avni Yadav"/>
    <n v="42.07"/>
    <n v="408.1275"/>
    <n v="774.18499999999995"/>
    <d v="2023-03-16T00:00:00"/>
    <d v="2023-03-21T00:00:00"/>
    <s v="Eric"/>
    <n v="16"/>
    <n v="3"/>
    <x v="6"/>
    <x v="0"/>
    <x v="0"/>
    <n v="11"/>
  </r>
  <r>
    <d v="2023-05-06T00:00:00"/>
    <x v="2"/>
    <x v="0"/>
    <n v="18"/>
    <n v="414.77"/>
    <x v="2"/>
    <x v="0"/>
    <n v="0.1"/>
    <x v="0"/>
    <n v="6719.2739999999994"/>
    <x v="2"/>
    <s v="nan"/>
    <n v="1"/>
    <x v="514"/>
    <s v="Suresh Kulkarni"/>
    <n v="28.55"/>
    <n v="373.29299999999995"/>
    <n v="6690.7239999999993"/>
    <d v="2023-05-06T00:00:00"/>
    <d v="2023-05-15T00:00:00"/>
    <s v="Ryan"/>
    <n v="6"/>
    <n v="5"/>
    <x v="2"/>
    <x v="0"/>
    <x v="2"/>
    <n v="18"/>
  </r>
  <r>
    <d v="2024-11-15T00:00:00"/>
    <x v="0"/>
    <x v="4"/>
    <n v="10"/>
    <n v="98.24"/>
    <x v="2"/>
    <x v="0"/>
    <n v="0"/>
    <x v="2"/>
    <n v="982.4"/>
    <x v="2"/>
    <s v="FREESHIP"/>
    <n v="1"/>
    <x v="515"/>
    <s v="Mohit Thakur"/>
    <n v="21.01"/>
    <n v="98.24"/>
    <n v="961.39"/>
    <d v="2024-11-15T00:00:00"/>
    <d v="2024-11-17T00:00:00"/>
    <s v="Eric"/>
    <n v="15"/>
    <n v="11"/>
    <x v="9"/>
    <x v="1"/>
    <x v="1"/>
    <n v="46"/>
  </r>
  <r>
    <d v="2024-06-28T00:00:00"/>
    <x v="3"/>
    <x v="0"/>
    <n v="6"/>
    <n v="227.6"/>
    <x v="3"/>
    <x v="1"/>
    <n v="0.05"/>
    <x v="3"/>
    <n v="1297.32"/>
    <x v="3"/>
    <s v="FREESHIP"/>
    <n v="0"/>
    <x v="516"/>
    <s v="Ashwin Pathan"/>
    <n v="38.22"/>
    <n v="216.22"/>
    <n v="1259.0999999999999"/>
    <d v="2024-06-28T00:00:00"/>
    <d v="2024-07-05T00:00:00"/>
    <s v="Cameron"/>
    <n v="28"/>
    <n v="6"/>
    <x v="3"/>
    <x v="1"/>
    <x v="2"/>
    <n v="26"/>
  </r>
  <r>
    <d v="2025-05-11T00:00:00"/>
    <x v="3"/>
    <x v="4"/>
    <n v="5"/>
    <n v="136.13"/>
    <x v="2"/>
    <x v="1"/>
    <n v="0.15"/>
    <x v="3"/>
    <n v="578.55250000000001"/>
    <x v="0"/>
    <s v="nan"/>
    <n v="0"/>
    <x v="517"/>
    <s v="Neha Vora"/>
    <n v="10.02"/>
    <n v="115.7105"/>
    <n v="568.53250000000003"/>
    <d v="2025-05-11T00:00:00"/>
    <d v="2025-05-20T00:00:00"/>
    <s v="Cameron"/>
    <n v="11"/>
    <n v="5"/>
    <x v="2"/>
    <x v="2"/>
    <x v="2"/>
    <n v="19"/>
  </r>
  <r>
    <d v="2023-02-26T00:00:00"/>
    <x v="3"/>
    <x v="5"/>
    <n v="5"/>
    <n v="489.13"/>
    <x v="2"/>
    <x v="1"/>
    <n v="0.1"/>
    <x v="4"/>
    <n v="2201.085"/>
    <x v="1"/>
    <s v="FREESHIP"/>
    <n v="0"/>
    <x v="518"/>
    <s v="Aditi Bhargava"/>
    <n v="44.73"/>
    <n v="440.21699999999998"/>
    <n v="2156.355"/>
    <d v="2023-02-26T00:00:00"/>
    <d v="2023-03-04T00:00:00"/>
    <s v="Cameron"/>
    <n v="26"/>
    <n v="2"/>
    <x v="0"/>
    <x v="0"/>
    <x v="0"/>
    <n v="8"/>
  </r>
  <r>
    <d v="2024-04-30T00:00:00"/>
    <x v="1"/>
    <x v="0"/>
    <n v="4"/>
    <n v="414.36"/>
    <x v="1"/>
    <x v="1"/>
    <n v="0"/>
    <x v="5"/>
    <n v="1657.44"/>
    <x v="3"/>
    <s v="FREESHIP"/>
    <n v="0"/>
    <x v="519"/>
    <s v="Riya Agarwal"/>
    <n v="8.02"/>
    <n v="414.36"/>
    <n v="1649.42"/>
    <d v="2024-04-30T00:00:00"/>
    <d v="2024-05-07T00:00:00"/>
    <s v="Sophie"/>
    <n v="30"/>
    <n v="4"/>
    <x v="7"/>
    <x v="1"/>
    <x v="2"/>
    <n v="18"/>
  </r>
  <r>
    <d v="2025-03-11T00:00:00"/>
    <x v="0"/>
    <x v="0"/>
    <n v="6"/>
    <n v="138.26"/>
    <x v="0"/>
    <x v="1"/>
    <n v="0.15"/>
    <x v="0"/>
    <n v="705.12599999999998"/>
    <x v="0"/>
    <s v="nan"/>
    <n v="1"/>
    <x v="520"/>
    <s v="Zara Thakur"/>
    <n v="31.4"/>
    <n v="117.521"/>
    <n v="673.726"/>
    <d v="2025-03-11T00:00:00"/>
    <d v="2025-03-13T00:00:00"/>
    <s v="Eric"/>
    <n v="11"/>
    <n v="3"/>
    <x v="6"/>
    <x v="2"/>
    <x v="0"/>
    <n v="11"/>
  </r>
  <r>
    <d v="2025-06-30T00:00:00"/>
    <x v="0"/>
    <x v="1"/>
    <n v="12"/>
    <n v="487.57"/>
    <x v="1"/>
    <x v="0"/>
    <n v="0.05"/>
    <x v="0"/>
    <n v="5558.2979999999998"/>
    <x v="4"/>
    <s v="nan"/>
    <n v="0"/>
    <x v="521"/>
    <s v="Ananya Naidu"/>
    <n v="37.33"/>
    <n v="463.19149999999996"/>
    <n v="5520.9679999999998"/>
    <d v="2025-06-30T00:00:00"/>
    <d v="2025-07-10T00:00:00"/>
    <s v="Eric"/>
    <n v="30"/>
    <n v="6"/>
    <x v="3"/>
    <x v="2"/>
    <x v="2"/>
    <n v="27"/>
  </r>
  <r>
    <d v="2024-06-02T00:00:00"/>
    <x v="2"/>
    <x v="3"/>
    <n v="20"/>
    <n v="427.3"/>
    <x v="2"/>
    <x v="0"/>
    <n v="0.05"/>
    <x v="2"/>
    <n v="8118.7"/>
    <x v="1"/>
    <s v="FREESHIP"/>
    <n v="1"/>
    <x v="522"/>
    <s v="Vivaan Ghosh"/>
    <n v="25.19"/>
    <n v="405.935"/>
    <n v="8093.51"/>
    <d v="2024-06-02T00:00:00"/>
    <d v="2024-06-08T00:00:00"/>
    <s v="Ryan"/>
    <n v="2"/>
    <n v="6"/>
    <x v="3"/>
    <x v="1"/>
    <x v="2"/>
    <n v="22"/>
  </r>
  <r>
    <d v="2024-09-01T00:00:00"/>
    <x v="1"/>
    <x v="0"/>
    <n v="16"/>
    <n v="588.91999999999996"/>
    <x v="3"/>
    <x v="0"/>
    <n v="0.15"/>
    <x v="1"/>
    <n v="8009.311999999999"/>
    <x v="4"/>
    <s v="FREESHIP"/>
    <n v="0"/>
    <x v="523"/>
    <s v="Ved Menon"/>
    <n v="7.89"/>
    <n v="500.58199999999994"/>
    <n v="8001.4219999999987"/>
    <d v="2024-09-01T00:00:00"/>
    <d v="2024-09-05T00:00:00"/>
    <s v="Sophie"/>
    <n v="1"/>
    <n v="9"/>
    <x v="11"/>
    <x v="1"/>
    <x v="3"/>
    <n v="35"/>
  </r>
  <r>
    <d v="2025-01-11T00:00:00"/>
    <x v="1"/>
    <x v="0"/>
    <n v="6"/>
    <n v="429.45"/>
    <x v="0"/>
    <x v="1"/>
    <n v="0.1"/>
    <x v="1"/>
    <n v="2319.0300000000002"/>
    <x v="4"/>
    <s v="nan"/>
    <n v="0"/>
    <x v="524"/>
    <s v="Nikhil Ansari"/>
    <n v="47.18"/>
    <n v="386.50500000000005"/>
    <n v="2271.8500000000004"/>
    <d v="2025-01-11T00:00:00"/>
    <d v="2025-01-18T00:00:00"/>
    <s v="Sophie"/>
    <n v="11"/>
    <n v="1"/>
    <x v="4"/>
    <x v="2"/>
    <x v="0"/>
    <n v="2"/>
  </r>
  <r>
    <d v="2025-03-31T00:00:00"/>
    <x v="1"/>
    <x v="1"/>
    <n v="1"/>
    <n v="476"/>
    <x v="1"/>
    <x v="0"/>
    <n v="0.15"/>
    <x v="3"/>
    <n v="404.6"/>
    <x v="4"/>
    <s v="FREESHIP"/>
    <n v="0"/>
    <x v="525"/>
    <s v="Arjun Saxena"/>
    <n v="18.95"/>
    <n v="404.6"/>
    <n v="385.65000000000003"/>
    <d v="2025-03-31T00:00:00"/>
    <d v="2025-04-03T00:00:00"/>
    <s v="Sophie"/>
    <n v="31"/>
    <n v="3"/>
    <x v="6"/>
    <x v="2"/>
    <x v="0"/>
    <n v="14"/>
  </r>
  <r>
    <d v="2024-11-28T00:00:00"/>
    <x v="1"/>
    <x v="1"/>
    <n v="13"/>
    <n v="141.26"/>
    <x v="0"/>
    <x v="1"/>
    <n v="0"/>
    <x v="2"/>
    <n v="1836.38"/>
    <x v="0"/>
    <s v="nan"/>
    <n v="0"/>
    <x v="526"/>
    <s v="Nazia Agarwal"/>
    <n v="23.68"/>
    <n v="141.26000000000002"/>
    <n v="1812.7"/>
    <d v="2024-11-28T00:00:00"/>
    <d v="2024-12-05T00:00:00"/>
    <s v="Sophie"/>
    <n v="28"/>
    <n v="11"/>
    <x v="9"/>
    <x v="1"/>
    <x v="1"/>
    <n v="48"/>
  </r>
  <r>
    <d v="2023-07-05T00:00:00"/>
    <x v="2"/>
    <x v="3"/>
    <n v="3"/>
    <n v="250.65"/>
    <x v="3"/>
    <x v="1"/>
    <n v="0.15"/>
    <x v="0"/>
    <n v="639.15750000000003"/>
    <x v="2"/>
    <s v="SAVE10"/>
    <n v="0"/>
    <x v="527"/>
    <s v="Neel Mathew"/>
    <n v="44.46"/>
    <n v="213.05250000000001"/>
    <n v="594.69749999999999"/>
    <d v="2023-07-05T00:00:00"/>
    <d v="2023-07-07T00:00:00"/>
    <s v="Ryan"/>
    <n v="5"/>
    <n v="7"/>
    <x v="8"/>
    <x v="0"/>
    <x v="3"/>
    <n v="27"/>
  </r>
  <r>
    <d v="2024-10-24T00:00:00"/>
    <x v="4"/>
    <x v="4"/>
    <n v="19"/>
    <n v="301.17"/>
    <x v="3"/>
    <x v="1"/>
    <n v="0.05"/>
    <x v="1"/>
    <n v="5436.1184999999996"/>
    <x v="3"/>
    <s v="WINTER15"/>
    <n v="0"/>
    <x v="528"/>
    <s v="Palak Shetty"/>
    <n v="5.71"/>
    <n v="286.11149999999998"/>
    <n v="5430.4084999999995"/>
    <d v="2024-10-24T00:00:00"/>
    <d v="2024-11-03T00:00:00"/>
    <s v="Wendy"/>
    <n v="24"/>
    <n v="10"/>
    <x v="5"/>
    <x v="1"/>
    <x v="1"/>
    <n v="43"/>
  </r>
  <r>
    <d v="2025-04-08T00:00:00"/>
    <x v="2"/>
    <x v="3"/>
    <n v="7"/>
    <n v="30.79"/>
    <x v="2"/>
    <x v="1"/>
    <n v="0.1"/>
    <x v="5"/>
    <n v="193.977"/>
    <x v="4"/>
    <s v="WINTER15"/>
    <n v="1"/>
    <x v="529"/>
    <s v="Pooja Shah"/>
    <n v="11.39"/>
    <n v="27.711000000000002"/>
    <n v="182.58699999999999"/>
    <d v="2025-04-08T00:00:00"/>
    <d v="2025-04-16T00:00:00"/>
    <s v="Ryan"/>
    <n v="8"/>
    <n v="4"/>
    <x v="7"/>
    <x v="2"/>
    <x v="2"/>
    <n v="15"/>
  </r>
  <r>
    <d v="2024-06-05T00:00:00"/>
    <x v="0"/>
    <x v="0"/>
    <n v="1"/>
    <n v="561.6"/>
    <x v="1"/>
    <x v="0"/>
    <n v="0.15"/>
    <x v="1"/>
    <n v="477.36"/>
    <x v="3"/>
    <s v="SAVE10"/>
    <n v="0"/>
    <x v="530"/>
    <s v="Rohan Verma"/>
    <n v="38.020000000000003"/>
    <n v="477.36"/>
    <n v="439.34000000000003"/>
    <d v="2024-06-05T00:00:00"/>
    <d v="2024-06-10T00:00:00"/>
    <s v="Eric"/>
    <n v="5"/>
    <n v="6"/>
    <x v="3"/>
    <x v="1"/>
    <x v="2"/>
    <n v="23"/>
  </r>
  <r>
    <d v="2025-01-23T00:00:00"/>
    <x v="4"/>
    <x v="1"/>
    <n v="16"/>
    <n v="193.7"/>
    <x v="1"/>
    <x v="1"/>
    <n v="0.15"/>
    <x v="5"/>
    <n v="2634.32"/>
    <x v="2"/>
    <s v="SAVE10"/>
    <n v="0"/>
    <x v="531"/>
    <s v="Palak Shaikh"/>
    <n v="6.83"/>
    <n v="164.64500000000001"/>
    <n v="2627.4900000000002"/>
    <d v="2025-01-23T00:00:00"/>
    <d v="2025-01-29T00:00:00"/>
    <s v="Wendy"/>
    <n v="23"/>
    <n v="1"/>
    <x v="4"/>
    <x v="2"/>
    <x v="0"/>
    <n v="4"/>
  </r>
  <r>
    <d v="2024-11-04T00:00:00"/>
    <x v="3"/>
    <x v="5"/>
    <n v="17"/>
    <n v="310.02999999999997"/>
    <x v="3"/>
    <x v="1"/>
    <n v="0.05"/>
    <x v="3"/>
    <n v="5006.9844999999987"/>
    <x v="0"/>
    <s v="FREESHIP"/>
    <n v="0"/>
    <x v="532"/>
    <s v="Pooja Reddy"/>
    <n v="8.06"/>
    <n v="294.52849999999989"/>
    <n v="4998.9244999999983"/>
    <d v="2024-11-04T00:00:00"/>
    <d v="2024-11-12T00:00:00"/>
    <s v="Cameron"/>
    <n v="4"/>
    <n v="11"/>
    <x v="9"/>
    <x v="1"/>
    <x v="1"/>
    <n v="45"/>
  </r>
  <r>
    <d v="2024-01-01T00:00:00"/>
    <x v="4"/>
    <x v="6"/>
    <n v="13"/>
    <n v="204.67"/>
    <x v="1"/>
    <x v="1"/>
    <n v="0.15"/>
    <x v="1"/>
    <n v="2261.6035000000002"/>
    <x v="0"/>
    <s v="nan"/>
    <n v="0"/>
    <x v="533"/>
    <s v="Aisha Malik"/>
    <n v="6.76"/>
    <n v="173.96950000000001"/>
    <n v="2254.8434999999999"/>
    <d v="2024-01-01T00:00:00"/>
    <d v="2024-01-05T00:00:00"/>
    <s v="Wendy"/>
    <n v="1"/>
    <n v="1"/>
    <x v="4"/>
    <x v="1"/>
    <x v="0"/>
    <n v="1"/>
  </r>
  <r>
    <d v="2024-04-09T00:00:00"/>
    <x v="3"/>
    <x v="6"/>
    <n v="3"/>
    <n v="250.11"/>
    <x v="3"/>
    <x v="0"/>
    <n v="0"/>
    <x v="1"/>
    <n v="750.33"/>
    <x v="1"/>
    <s v="FREESHIP"/>
    <n v="0"/>
    <x v="534"/>
    <s v="Meera Srivastava"/>
    <n v="36.35"/>
    <n v="250.11"/>
    <n v="713.98"/>
    <d v="2024-04-09T00:00:00"/>
    <d v="2024-04-17T00:00:00"/>
    <s v="Cameron"/>
    <n v="9"/>
    <n v="4"/>
    <x v="7"/>
    <x v="1"/>
    <x v="2"/>
    <n v="15"/>
  </r>
  <r>
    <d v="2025-01-17T00:00:00"/>
    <x v="2"/>
    <x v="2"/>
    <n v="12"/>
    <n v="526.82000000000005"/>
    <x v="1"/>
    <x v="1"/>
    <n v="0"/>
    <x v="2"/>
    <n v="6321.84"/>
    <x v="2"/>
    <s v="WINTER15"/>
    <n v="0"/>
    <x v="535"/>
    <s v="Bhavna Rawat"/>
    <n v="29.75"/>
    <n v="526.82000000000005"/>
    <n v="6292.09"/>
    <d v="2025-01-17T00:00:00"/>
    <d v="2025-01-25T00:00:00"/>
    <s v="Ryan"/>
    <n v="17"/>
    <n v="1"/>
    <x v="4"/>
    <x v="2"/>
    <x v="0"/>
    <n v="3"/>
  </r>
  <r>
    <d v="2024-09-22T00:00:00"/>
    <x v="0"/>
    <x v="3"/>
    <n v="18"/>
    <n v="575.1"/>
    <x v="3"/>
    <x v="0"/>
    <n v="0"/>
    <x v="5"/>
    <n v="10351.799999999999"/>
    <x v="0"/>
    <s v="FREESHIP"/>
    <n v="0"/>
    <x v="536"/>
    <s v="Simran Pai"/>
    <n v="35.32"/>
    <n v="575.09999999999991"/>
    <n v="10316.48"/>
    <d v="2024-09-22T00:00:00"/>
    <d v="2024-09-29T00:00:00"/>
    <s v="Eric"/>
    <n v="22"/>
    <n v="9"/>
    <x v="11"/>
    <x v="1"/>
    <x v="3"/>
    <n v="38"/>
  </r>
  <r>
    <d v="2023-01-20T00:00:00"/>
    <x v="0"/>
    <x v="4"/>
    <n v="8"/>
    <n v="325.52"/>
    <x v="2"/>
    <x v="1"/>
    <n v="0.1"/>
    <x v="2"/>
    <n v="2343.7440000000001"/>
    <x v="3"/>
    <s v="WINTER15"/>
    <n v="0"/>
    <x v="537"/>
    <s v="Sneha Khan"/>
    <n v="45.59"/>
    <n v="292.96800000000002"/>
    <n v="2298.154"/>
    <d v="2023-01-20T00:00:00"/>
    <d v="2023-01-25T00:00:00"/>
    <s v="Eric"/>
    <n v="20"/>
    <n v="1"/>
    <x v="4"/>
    <x v="0"/>
    <x v="0"/>
    <n v="3"/>
  </r>
  <r>
    <d v="2024-01-12T00:00:00"/>
    <x v="2"/>
    <x v="4"/>
    <n v="14"/>
    <n v="157.13999999999999"/>
    <x v="1"/>
    <x v="0"/>
    <n v="0.15"/>
    <x v="4"/>
    <n v="1869.9659999999999"/>
    <x v="1"/>
    <s v="SAVE10"/>
    <n v="0"/>
    <x v="538"/>
    <s v="Nazia Shetty"/>
    <n v="36.04"/>
    <n v="133.56899999999999"/>
    <n v="1833.9259999999999"/>
    <d v="2024-01-12T00:00:00"/>
    <d v="2024-01-22T00:00:00"/>
    <s v="Ryan"/>
    <n v="12"/>
    <n v="1"/>
    <x v="4"/>
    <x v="1"/>
    <x v="0"/>
    <n v="2"/>
  </r>
  <r>
    <d v="2024-04-08T00:00:00"/>
    <x v="3"/>
    <x v="0"/>
    <n v="10"/>
    <n v="100.26"/>
    <x v="3"/>
    <x v="0"/>
    <n v="0.05"/>
    <x v="3"/>
    <n v="952.47"/>
    <x v="1"/>
    <s v="SAVE10"/>
    <n v="0"/>
    <x v="539"/>
    <s v="Sanya Verma"/>
    <n v="36.71"/>
    <n v="95.247"/>
    <n v="915.76"/>
    <d v="2024-04-08T00:00:00"/>
    <d v="2024-04-15T00:00:00"/>
    <s v="Cameron"/>
    <n v="8"/>
    <n v="4"/>
    <x v="7"/>
    <x v="1"/>
    <x v="2"/>
    <n v="15"/>
  </r>
  <r>
    <d v="2023-04-27T00:00:00"/>
    <x v="3"/>
    <x v="0"/>
    <n v="9"/>
    <n v="554.48"/>
    <x v="2"/>
    <x v="0"/>
    <n v="0"/>
    <x v="3"/>
    <n v="4990.32"/>
    <x v="0"/>
    <s v="nan"/>
    <n v="0"/>
    <x v="540"/>
    <s v="Ved Khanna"/>
    <n v="48.26"/>
    <n v="554.48"/>
    <n v="4942.0599999999995"/>
    <d v="2023-04-27T00:00:00"/>
    <d v="2023-05-01T00:00:00"/>
    <s v="Cameron"/>
    <n v="27"/>
    <n v="4"/>
    <x v="7"/>
    <x v="0"/>
    <x v="2"/>
    <n v="17"/>
  </r>
  <r>
    <d v="2024-07-17T00:00:00"/>
    <x v="2"/>
    <x v="1"/>
    <n v="4"/>
    <n v="375.96"/>
    <x v="2"/>
    <x v="1"/>
    <n v="0.15"/>
    <x v="3"/>
    <n v="1278.2639999999999"/>
    <x v="3"/>
    <s v="nan"/>
    <n v="0"/>
    <x v="541"/>
    <s v="Trisha Thomas"/>
    <n v="44.99"/>
    <n v="319.56599999999997"/>
    <n v="1233.2739999999999"/>
    <d v="2024-07-17T00:00:00"/>
    <d v="2024-07-25T00:00:00"/>
    <s v="Ryan"/>
    <n v="17"/>
    <n v="7"/>
    <x v="8"/>
    <x v="1"/>
    <x v="3"/>
    <n v="29"/>
  </r>
  <r>
    <d v="2024-02-17T00:00:00"/>
    <x v="3"/>
    <x v="4"/>
    <n v="14"/>
    <n v="485.21"/>
    <x v="1"/>
    <x v="1"/>
    <n v="0"/>
    <x v="2"/>
    <n v="6792.94"/>
    <x v="0"/>
    <s v="FREESHIP"/>
    <n v="0"/>
    <x v="542"/>
    <s v="Aisha Thakur"/>
    <n v="41.72"/>
    <n v="485.21"/>
    <n v="6751.2199999999993"/>
    <d v="2024-02-17T00:00:00"/>
    <d v="2024-02-23T00:00:00"/>
    <s v="Cameron"/>
    <n v="17"/>
    <n v="2"/>
    <x v="0"/>
    <x v="1"/>
    <x v="0"/>
    <n v="7"/>
  </r>
  <r>
    <d v="2024-01-25T00:00:00"/>
    <x v="1"/>
    <x v="4"/>
    <n v="9"/>
    <n v="372.44"/>
    <x v="1"/>
    <x v="0"/>
    <n v="0.05"/>
    <x v="4"/>
    <n v="3184.3620000000001"/>
    <x v="1"/>
    <s v="FREESHIP"/>
    <n v="0"/>
    <x v="543"/>
    <s v="Sneha Rawat"/>
    <n v="41.87"/>
    <n v="353.81799999999998"/>
    <n v="3142.4920000000002"/>
    <d v="2024-01-25T00:00:00"/>
    <d v="2024-02-02T00:00:00"/>
    <s v="Sophie"/>
    <n v="25"/>
    <n v="1"/>
    <x v="4"/>
    <x v="1"/>
    <x v="0"/>
    <n v="4"/>
  </r>
  <r>
    <d v="2024-03-24T00:00:00"/>
    <x v="3"/>
    <x v="0"/>
    <n v="7"/>
    <n v="140.53"/>
    <x v="3"/>
    <x v="1"/>
    <n v="0"/>
    <x v="2"/>
    <n v="983.71"/>
    <x v="3"/>
    <s v="nan"/>
    <n v="1"/>
    <x v="544"/>
    <s v="Mohit Solanki"/>
    <n v="24.53"/>
    <n v="140.53"/>
    <n v="959.18000000000006"/>
    <d v="2024-03-24T00:00:00"/>
    <d v="2024-04-02T00:00:00"/>
    <s v="Cameron"/>
    <n v="24"/>
    <n v="3"/>
    <x v="6"/>
    <x v="1"/>
    <x v="0"/>
    <n v="12"/>
  </r>
  <r>
    <d v="2023-06-25T00:00:00"/>
    <x v="2"/>
    <x v="2"/>
    <n v="15"/>
    <n v="365.61"/>
    <x v="3"/>
    <x v="1"/>
    <n v="0.15"/>
    <x v="5"/>
    <n v="4661.5275000000001"/>
    <x v="4"/>
    <s v="FREESHIP"/>
    <n v="0"/>
    <x v="545"/>
    <s v="Rahul Naidu"/>
    <n v="35.840000000000003"/>
    <n v="310.76850000000002"/>
    <n v="4625.6875"/>
    <d v="2023-06-25T00:00:00"/>
    <d v="2023-06-27T00:00:00"/>
    <s v="Ryan"/>
    <n v="25"/>
    <n v="6"/>
    <x v="3"/>
    <x v="0"/>
    <x v="2"/>
    <n v="25"/>
  </r>
  <r>
    <d v="2023-04-17T00:00:00"/>
    <x v="1"/>
    <x v="0"/>
    <n v="20"/>
    <n v="353.97"/>
    <x v="0"/>
    <x v="0"/>
    <n v="0.15"/>
    <x v="2"/>
    <n v="6017.4900000000007"/>
    <x v="4"/>
    <s v="WINTER15"/>
    <n v="1"/>
    <x v="546"/>
    <s v="Sanya Pillai"/>
    <n v="22.05"/>
    <n v="300.87450000000001"/>
    <n v="5995.4400000000005"/>
    <d v="2023-04-17T00:00:00"/>
    <d v="2023-04-20T00:00:00"/>
    <s v="Sophie"/>
    <n v="17"/>
    <n v="4"/>
    <x v="7"/>
    <x v="0"/>
    <x v="2"/>
    <n v="16"/>
  </r>
  <r>
    <d v="2023-06-28T00:00:00"/>
    <x v="0"/>
    <x v="3"/>
    <n v="14"/>
    <n v="293.31"/>
    <x v="3"/>
    <x v="0"/>
    <n v="0"/>
    <x v="1"/>
    <n v="4106.34"/>
    <x v="1"/>
    <s v="nan"/>
    <n v="0"/>
    <x v="547"/>
    <s v="Tanishq Singh"/>
    <n v="21.61"/>
    <n v="293.31"/>
    <n v="4084.73"/>
    <d v="2023-06-28T00:00:00"/>
    <d v="2023-06-30T00:00:00"/>
    <s v="Eric"/>
    <n v="28"/>
    <n v="6"/>
    <x v="3"/>
    <x v="0"/>
    <x v="2"/>
    <n v="26"/>
  </r>
  <r>
    <d v="2024-04-06T00:00:00"/>
    <x v="3"/>
    <x v="3"/>
    <n v="10"/>
    <n v="397.39"/>
    <x v="3"/>
    <x v="1"/>
    <n v="0.15"/>
    <x v="1"/>
    <n v="3377.8150000000001"/>
    <x v="1"/>
    <s v="nan"/>
    <n v="0"/>
    <x v="548"/>
    <s v="Karan Bansal"/>
    <n v="25.27"/>
    <n v="337.78149999999999"/>
    <n v="3352.5450000000001"/>
    <d v="2024-04-06T00:00:00"/>
    <d v="2024-04-16T00:00:00"/>
    <s v="Cameron"/>
    <n v="6"/>
    <n v="4"/>
    <x v="7"/>
    <x v="1"/>
    <x v="2"/>
    <n v="14"/>
  </r>
  <r>
    <d v="2025-02-17T00:00:00"/>
    <x v="1"/>
    <x v="3"/>
    <n v="2"/>
    <n v="98.35"/>
    <x v="2"/>
    <x v="1"/>
    <n v="0"/>
    <x v="0"/>
    <n v="196.7"/>
    <x v="3"/>
    <s v="FREESHIP"/>
    <n v="0"/>
    <x v="549"/>
    <s v="Diya Kulkarni"/>
    <n v="28.65"/>
    <n v="98.35"/>
    <n v="168.04999999999998"/>
    <d v="2025-02-17T00:00:00"/>
    <d v="2025-02-19T00:00:00"/>
    <s v="Sophie"/>
    <n v="17"/>
    <n v="2"/>
    <x v="0"/>
    <x v="2"/>
    <x v="0"/>
    <n v="8"/>
  </r>
  <r>
    <d v="2023-01-08T00:00:00"/>
    <x v="1"/>
    <x v="2"/>
    <n v="6"/>
    <n v="581.66999999999996"/>
    <x v="1"/>
    <x v="0"/>
    <n v="0"/>
    <x v="2"/>
    <n v="3490.02"/>
    <x v="3"/>
    <s v="nan"/>
    <n v="0"/>
    <x v="550"/>
    <s v="Alina Arora"/>
    <n v="39.4"/>
    <n v="581.66999999999996"/>
    <n v="3450.62"/>
    <d v="2023-01-08T00:00:00"/>
    <d v="2023-01-11T00:00:00"/>
    <s v="Sophie"/>
    <n v="8"/>
    <n v="1"/>
    <x v="4"/>
    <x v="0"/>
    <x v="0"/>
    <n v="1"/>
  </r>
  <r>
    <d v="2023-12-21T00:00:00"/>
    <x v="1"/>
    <x v="1"/>
    <n v="19"/>
    <n v="30.41"/>
    <x v="3"/>
    <x v="1"/>
    <n v="0.05"/>
    <x v="2"/>
    <n v="548.90049999999997"/>
    <x v="3"/>
    <s v="FREESHIP"/>
    <n v="0"/>
    <x v="551"/>
    <s v="Neel Arora"/>
    <n v="48.33"/>
    <n v="28.889499999999998"/>
    <n v="500.57049999999998"/>
    <d v="2023-12-21T00:00:00"/>
    <d v="2023-12-31T00:00:00"/>
    <s v="Sophie"/>
    <n v="21"/>
    <n v="12"/>
    <x v="1"/>
    <x v="0"/>
    <x v="1"/>
    <n v="51"/>
  </r>
  <r>
    <d v="2024-07-13T00:00:00"/>
    <x v="2"/>
    <x v="4"/>
    <n v="15"/>
    <n v="368.79"/>
    <x v="2"/>
    <x v="0"/>
    <n v="0.1"/>
    <x v="5"/>
    <n v="4978.6650000000009"/>
    <x v="1"/>
    <s v="WINTER15"/>
    <n v="0"/>
    <x v="552"/>
    <s v="Zoya Khanna"/>
    <n v="16.899999999999999"/>
    <n v="331.91100000000006"/>
    <n v="4961.7650000000012"/>
    <d v="2024-07-13T00:00:00"/>
    <d v="2024-07-15T00:00:00"/>
    <s v="Ryan"/>
    <n v="13"/>
    <n v="7"/>
    <x v="8"/>
    <x v="1"/>
    <x v="3"/>
    <n v="28"/>
  </r>
  <r>
    <d v="2024-03-23T00:00:00"/>
    <x v="4"/>
    <x v="4"/>
    <n v="4"/>
    <n v="56.06"/>
    <x v="3"/>
    <x v="1"/>
    <n v="0.15"/>
    <x v="3"/>
    <n v="190.60400000000001"/>
    <x v="4"/>
    <s v="SAVE10"/>
    <n v="0"/>
    <x v="553"/>
    <s v="Nikhil Bansal"/>
    <n v="10.77"/>
    <n v="47.651000000000003"/>
    <n v="179.834"/>
    <d v="2024-03-23T00:00:00"/>
    <d v="2024-04-01T00:00:00"/>
    <s v="Wendy"/>
    <n v="23"/>
    <n v="3"/>
    <x v="6"/>
    <x v="1"/>
    <x v="0"/>
    <n v="12"/>
  </r>
  <r>
    <d v="2024-03-19T00:00:00"/>
    <x v="4"/>
    <x v="3"/>
    <n v="7"/>
    <n v="15.65"/>
    <x v="3"/>
    <x v="0"/>
    <n v="0"/>
    <x v="3"/>
    <n v="109.55"/>
    <x v="3"/>
    <s v="nan"/>
    <n v="0"/>
    <x v="554"/>
    <s v="Riya Kulkarni"/>
    <n v="13.28"/>
    <n v="15.65"/>
    <n v="96.27"/>
    <d v="2024-03-19T00:00:00"/>
    <d v="2024-03-25T00:00:00"/>
    <s v="Wendy"/>
    <n v="19"/>
    <n v="3"/>
    <x v="6"/>
    <x v="1"/>
    <x v="0"/>
    <n v="12"/>
  </r>
  <r>
    <d v="2025-05-20T00:00:00"/>
    <x v="3"/>
    <x v="5"/>
    <n v="9"/>
    <n v="380.85"/>
    <x v="0"/>
    <x v="0"/>
    <n v="0"/>
    <x v="3"/>
    <n v="3427.65"/>
    <x v="4"/>
    <s v="FREESHIP"/>
    <n v="0"/>
    <x v="555"/>
    <s v="Mohit Mukherjee"/>
    <n v="33.4"/>
    <n v="380.85"/>
    <n v="3394.25"/>
    <d v="2025-05-20T00:00:00"/>
    <d v="2025-05-29T00:00:00"/>
    <s v="Cameron"/>
    <n v="20"/>
    <n v="5"/>
    <x v="2"/>
    <x v="2"/>
    <x v="2"/>
    <n v="21"/>
  </r>
  <r>
    <d v="2025-01-19T00:00:00"/>
    <x v="1"/>
    <x v="3"/>
    <n v="11"/>
    <n v="587.21"/>
    <x v="2"/>
    <x v="0"/>
    <n v="0"/>
    <x v="3"/>
    <n v="6459.31"/>
    <x v="3"/>
    <s v="WINTER15"/>
    <n v="0"/>
    <x v="556"/>
    <s v="Raj Bhatia"/>
    <n v="34.32"/>
    <n v="587.21"/>
    <n v="6424.9900000000007"/>
    <d v="2025-01-19T00:00:00"/>
    <d v="2025-01-26T00:00:00"/>
    <s v="Sophie"/>
    <n v="19"/>
    <n v="1"/>
    <x v="4"/>
    <x v="2"/>
    <x v="0"/>
    <n v="3"/>
  </r>
  <r>
    <d v="2023-05-28T00:00:00"/>
    <x v="1"/>
    <x v="6"/>
    <n v="17"/>
    <n v="554.25"/>
    <x v="1"/>
    <x v="0"/>
    <n v="0.1"/>
    <x v="4"/>
    <n v="8480.0249999999996"/>
    <x v="3"/>
    <s v="nan"/>
    <n v="0"/>
    <x v="557"/>
    <s v="Arjun Kulkarni"/>
    <n v="8.66"/>
    <n v="498.82499999999999"/>
    <n v="8471.3649999999998"/>
    <d v="2023-05-28T00:00:00"/>
    <d v="2023-06-01T00:00:00"/>
    <s v="Sophie"/>
    <n v="28"/>
    <n v="5"/>
    <x v="2"/>
    <x v="0"/>
    <x v="2"/>
    <n v="21"/>
  </r>
  <r>
    <d v="2023-10-28T00:00:00"/>
    <x v="0"/>
    <x v="6"/>
    <n v="3"/>
    <n v="410.23"/>
    <x v="1"/>
    <x v="0"/>
    <n v="0.15"/>
    <x v="4"/>
    <n v="1046.0864999999999"/>
    <x v="2"/>
    <s v="FREESHIP"/>
    <n v="0"/>
    <x v="558"/>
    <s v="Vivaan Solanki"/>
    <n v="6.04"/>
    <n v="348.69549999999998"/>
    <n v="1040.0464999999999"/>
    <d v="2023-10-28T00:00:00"/>
    <d v="2023-11-03T00:00:00"/>
    <s v="Eric"/>
    <n v="28"/>
    <n v="10"/>
    <x v="5"/>
    <x v="0"/>
    <x v="1"/>
    <n v="43"/>
  </r>
  <r>
    <d v="2023-11-25T00:00:00"/>
    <x v="4"/>
    <x v="4"/>
    <n v="5"/>
    <n v="99.23"/>
    <x v="0"/>
    <x v="1"/>
    <n v="0"/>
    <x v="0"/>
    <n v="496.15"/>
    <x v="3"/>
    <s v="nan"/>
    <n v="0"/>
    <x v="559"/>
    <s v="Aisha Saxena"/>
    <n v="37.659999999999997"/>
    <n v="99.22999999999999"/>
    <n v="458.49"/>
    <d v="2023-11-25T00:00:00"/>
    <d v="2023-12-02T00:00:00"/>
    <s v="Wendy"/>
    <n v="25"/>
    <n v="11"/>
    <x v="9"/>
    <x v="0"/>
    <x v="1"/>
    <n v="47"/>
  </r>
  <r>
    <d v="2024-11-17T00:00:00"/>
    <x v="1"/>
    <x v="4"/>
    <n v="9"/>
    <n v="503.18"/>
    <x v="0"/>
    <x v="0"/>
    <n v="0"/>
    <x v="4"/>
    <n v="4528.62"/>
    <x v="1"/>
    <s v="SAVE10"/>
    <n v="1"/>
    <x v="560"/>
    <s v="Aditya Yadav"/>
    <n v="46.02"/>
    <n v="503.18"/>
    <n v="4482.5999999999995"/>
    <d v="2024-11-17T00:00:00"/>
    <d v="2024-11-24T00:00:00"/>
    <s v="Sophie"/>
    <n v="17"/>
    <n v="11"/>
    <x v="9"/>
    <x v="1"/>
    <x v="1"/>
    <n v="46"/>
  </r>
  <r>
    <d v="2024-01-24T00:00:00"/>
    <x v="3"/>
    <x v="4"/>
    <n v="17"/>
    <n v="155.31"/>
    <x v="2"/>
    <x v="1"/>
    <n v="0.15"/>
    <x v="5"/>
    <n v="2244.2294999999999"/>
    <x v="2"/>
    <s v="WINTER15"/>
    <n v="0"/>
    <x v="561"/>
    <s v="Tanvi Kapoor"/>
    <n v="27.1"/>
    <n v="132.01349999999999"/>
    <n v="2217.1295"/>
    <d v="2024-01-24T00:00:00"/>
    <d v="2024-01-29T00:00:00"/>
    <s v="Cameron"/>
    <n v="24"/>
    <n v="1"/>
    <x v="4"/>
    <x v="1"/>
    <x v="0"/>
    <n v="4"/>
  </r>
  <r>
    <d v="2023-06-19T00:00:00"/>
    <x v="2"/>
    <x v="3"/>
    <n v="7"/>
    <n v="303.79000000000002"/>
    <x v="3"/>
    <x v="0"/>
    <n v="0.15"/>
    <x v="2"/>
    <n v="1807.5505000000001"/>
    <x v="2"/>
    <s v="SAVE10"/>
    <n v="0"/>
    <x v="562"/>
    <s v="Nisha Pai"/>
    <n v="38.85"/>
    <n v="258.22149999999999"/>
    <n v="1768.7005000000001"/>
    <d v="2023-06-19T00:00:00"/>
    <d v="2023-06-29T00:00:00"/>
    <s v="Ryan"/>
    <n v="19"/>
    <n v="6"/>
    <x v="3"/>
    <x v="0"/>
    <x v="2"/>
    <n v="25"/>
  </r>
  <r>
    <d v="2025-01-13T00:00:00"/>
    <x v="0"/>
    <x v="1"/>
    <n v="17"/>
    <n v="263.75"/>
    <x v="0"/>
    <x v="1"/>
    <n v="0"/>
    <x v="1"/>
    <n v="4483.75"/>
    <x v="0"/>
    <s v="nan"/>
    <n v="1"/>
    <x v="563"/>
    <s v="Ashwin Bhatia"/>
    <n v="12.97"/>
    <n v="263.75"/>
    <n v="4470.78"/>
    <d v="2025-01-13T00:00:00"/>
    <d v="2025-01-18T00:00:00"/>
    <s v="Eric"/>
    <n v="13"/>
    <n v="1"/>
    <x v="4"/>
    <x v="2"/>
    <x v="0"/>
    <n v="3"/>
  </r>
  <r>
    <d v="2024-01-24T00:00:00"/>
    <x v="0"/>
    <x v="1"/>
    <n v="4"/>
    <n v="179.92"/>
    <x v="3"/>
    <x v="1"/>
    <n v="0.1"/>
    <x v="4"/>
    <n v="647.71199999999999"/>
    <x v="0"/>
    <s v="WINTER15"/>
    <n v="0"/>
    <x v="564"/>
    <s v="Neel Ansari"/>
    <n v="35.26"/>
    <n v="161.928"/>
    <n v="612.452"/>
    <d v="2024-01-24T00:00:00"/>
    <d v="2024-02-01T00:00:00"/>
    <s v="Eric"/>
    <n v="24"/>
    <n v="1"/>
    <x v="4"/>
    <x v="1"/>
    <x v="0"/>
    <n v="4"/>
  </r>
  <r>
    <d v="2025-01-06T00:00:00"/>
    <x v="1"/>
    <x v="6"/>
    <n v="2"/>
    <n v="264"/>
    <x v="3"/>
    <x v="1"/>
    <n v="0"/>
    <x v="5"/>
    <n v="528"/>
    <x v="1"/>
    <s v="SAVE10"/>
    <n v="0"/>
    <x v="565"/>
    <s v="Mitali Thakur"/>
    <n v="26.73"/>
    <n v="264"/>
    <n v="501.27"/>
    <d v="2025-01-06T00:00:00"/>
    <d v="2025-01-14T00:00:00"/>
    <s v="Sophie"/>
    <n v="6"/>
    <n v="1"/>
    <x v="4"/>
    <x v="2"/>
    <x v="0"/>
    <n v="2"/>
  </r>
  <r>
    <d v="2025-01-02T00:00:00"/>
    <x v="3"/>
    <x v="0"/>
    <n v="4"/>
    <n v="403.97"/>
    <x v="1"/>
    <x v="0"/>
    <n v="0.05"/>
    <x v="1"/>
    <n v="1535.086"/>
    <x v="4"/>
    <s v="WINTER15"/>
    <n v="0"/>
    <x v="566"/>
    <s v="Vikram Menon"/>
    <n v="39.92"/>
    <n v="383.7715"/>
    <n v="1495.1659999999999"/>
    <d v="2025-01-02T00:00:00"/>
    <d v="2025-01-09T00:00:00"/>
    <s v="Cameron"/>
    <n v="2"/>
    <n v="1"/>
    <x v="4"/>
    <x v="2"/>
    <x v="0"/>
    <n v="1"/>
  </r>
  <r>
    <d v="2023-02-22T00:00:00"/>
    <x v="2"/>
    <x v="2"/>
    <n v="4"/>
    <n v="85.96"/>
    <x v="1"/>
    <x v="1"/>
    <n v="0.1"/>
    <x v="2"/>
    <n v="309.45600000000002"/>
    <x v="2"/>
    <s v="nan"/>
    <n v="0"/>
    <x v="567"/>
    <s v="Mitali Pathan"/>
    <n v="32.119999999999997"/>
    <n v="77.364000000000004"/>
    <n v="277.33600000000001"/>
    <d v="2023-02-22T00:00:00"/>
    <d v="2023-03-03T00:00:00"/>
    <s v="Ryan"/>
    <n v="22"/>
    <n v="2"/>
    <x v="0"/>
    <x v="0"/>
    <x v="0"/>
    <n v="8"/>
  </r>
  <r>
    <d v="2025-02-06T00:00:00"/>
    <x v="0"/>
    <x v="2"/>
    <n v="2"/>
    <n v="93.49"/>
    <x v="1"/>
    <x v="0"/>
    <n v="0.1"/>
    <x v="1"/>
    <n v="168.28200000000001"/>
    <x v="3"/>
    <s v="WINTER15"/>
    <n v="0"/>
    <x v="568"/>
    <s v="Devansh Gupta"/>
    <n v="26.31"/>
    <n v="84.141000000000005"/>
    <n v="141.97200000000001"/>
    <d v="2025-02-06T00:00:00"/>
    <d v="2025-02-16T00:00:00"/>
    <s v="Eric"/>
    <n v="6"/>
    <n v="2"/>
    <x v="0"/>
    <x v="2"/>
    <x v="0"/>
    <n v="6"/>
  </r>
  <r>
    <d v="2024-09-26T00:00:00"/>
    <x v="0"/>
    <x v="2"/>
    <n v="11"/>
    <n v="144.29"/>
    <x v="0"/>
    <x v="1"/>
    <n v="0.05"/>
    <x v="5"/>
    <n v="1507.8305"/>
    <x v="2"/>
    <s v="WINTER15"/>
    <n v="0"/>
    <x v="569"/>
    <s v="Ankit Tiwari"/>
    <n v="11.91"/>
    <n v="137.07550000000001"/>
    <n v="1495.9204999999999"/>
    <d v="2024-09-26T00:00:00"/>
    <d v="2024-09-30T00:00:00"/>
    <s v="Eric"/>
    <n v="26"/>
    <n v="9"/>
    <x v="11"/>
    <x v="1"/>
    <x v="3"/>
    <n v="39"/>
  </r>
  <r>
    <d v="2025-03-28T00:00:00"/>
    <x v="2"/>
    <x v="3"/>
    <n v="18"/>
    <n v="553.23"/>
    <x v="3"/>
    <x v="0"/>
    <n v="0"/>
    <x v="2"/>
    <n v="9958.14"/>
    <x v="4"/>
    <s v="FREESHIP"/>
    <n v="0"/>
    <x v="570"/>
    <s v="Bhavna Mehta"/>
    <n v="31.76"/>
    <n v="553.23"/>
    <n v="9926.3799999999992"/>
    <d v="2025-03-28T00:00:00"/>
    <d v="2025-04-01T00:00:00"/>
    <s v="Ryan"/>
    <n v="28"/>
    <n v="3"/>
    <x v="6"/>
    <x v="2"/>
    <x v="0"/>
    <n v="13"/>
  </r>
  <r>
    <d v="2023-07-01T00:00:00"/>
    <x v="0"/>
    <x v="3"/>
    <n v="9"/>
    <n v="228.3"/>
    <x v="0"/>
    <x v="1"/>
    <n v="0.05"/>
    <x v="0"/>
    <n v="1951.9649999999999"/>
    <x v="3"/>
    <s v="FREESHIP"/>
    <n v="0"/>
    <x v="571"/>
    <s v="Rahul Qureshi"/>
    <n v="8.75"/>
    <n v="216.88499999999999"/>
    <n v="1943.2149999999999"/>
    <d v="2023-07-01T00:00:00"/>
    <d v="2023-07-09T00:00:00"/>
    <s v="Eric"/>
    <n v="1"/>
    <n v="7"/>
    <x v="8"/>
    <x v="0"/>
    <x v="3"/>
    <n v="26"/>
  </r>
  <r>
    <d v="2023-04-29T00:00:00"/>
    <x v="4"/>
    <x v="2"/>
    <n v="7"/>
    <n v="235.94"/>
    <x v="3"/>
    <x v="0"/>
    <n v="0.1"/>
    <x v="1"/>
    <n v="1486.422"/>
    <x v="1"/>
    <s v="FREESHIP"/>
    <n v="0"/>
    <x v="572"/>
    <s v="Myra Fernandes"/>
    <n v="8.44"/>
    <n v="212.346"/>
    <n v="1477.982"/>
    <d v="2023-04-29T00:00:00"/>
    <d v="2023-05-04T00:00:00"/>
    <s v="Wendy"/>
    <n v="29"/>
    <n v="4"/>
    <x v="7"/>
    <x v="0"/>
    <x v="2"/>
    <n v="17"/>
  </r>
  <r>
    <d v="2023-04-30T00:00:00"/>
    <x v="0"/>
    <x v="6"/>
    <n v="17"/>
    <n v="369.52"/>
    <x v="2"/>
    <x v="0"/>
    <n v="0"/>
    <x v="3"/>
    <n v="6281.84"/>
    <x v="1"/>
    <s v="nan"/>
    <n v="0"/>
    <x v="573"/>
    <s v="Kavya Khan"/>
    <n v="17.12"/>
    <n v="369.52"/>
    <n v="6264.72"/>
    <d v="2023-04-30T00:00:00"/>
    <d v="2023-05-06T00:00:00"/>
    <s v="Eric"/>
    <n v="30"/>
    <n v="4"/>
    <x v="7"/>
    <x v="0"/>
    <x v="2"/>
    <n v="17"/>
  </r>
  <r>
    <d v="2024-03-14T00:00:00"/>
    <x v="4"/>
    <x v="1"/>
    <n v="8"/>
    <n v="142.09"/>
    <x v="1"/>
    <x v="0"/>
    <n v="0"/>
    <x v="0"/>
    <n v="1136.72"/>
    <x v="2"/>
    <s v="WINTER15"/>
    <n v="0"/>
    <x v="574"/>
    <s v="Ishaan Chawla"/>
    <n v="38.97"/>
    <n v="142.09"/>
    <n v="1097.75"/>
    <d v="2024-03-14T00:00:00"/>
    <d v="2024-03-20T00:00:00"/>
    <s v="Wendy"/>
    <n v="14"/>
    <n v="3"/>
    <x v="6"/>
    <x v="1"/>
    <x v="0"/>
    <n v="11"/>
  </r>
  <r>
    <d v="2023-06-27T00:00:00"/>
    <x v="3"/>
    <x v="3"/>
    <n v="3"/>
    <n v="497.61"/>
    <x v="0"/>
    <x v="0"/>
    <n v="0.15"/>
    <x v="1"/>
    <n v="1268.9055000000001"/>
    <x v="4"/>
    <s v="FREESHIP"/>
    <n v="1"/>
    <x v="575"/>
    <s v="Neel Kulkarni"/>
    <n v="13.97"/>
    <n v="422.96850000000001"/>
    <n v="1254.9355"/>
    <d v="2023-06-27T00:00:00"/>
    <d v="2023-07-02T00:00:00"/>
    <s v="Cameron"/>
    <n v="27"/>
    <n v="6"/>
    <x v="3"/>
    <x v="0"/>
    <x v="2"/>
    <n v="26"/>
  </r>
  <r>
    <d v="2024-04-10T00:00:00"/>
    <x v="2"/>
    <x v="0"/>
    <n v="19"/>
    <n v="9.48"/>
    <x v="1"/>
    <x v="0"/>
    <n v="0"/>
    <x v="3"/>
    <n v="180.12"/>
    <x v="0"/>
    <s v="nan"/>
    <n v="0"/>
    <x v="576"/>
    <s v="Sanya Saxena"/>
    <n v="22.33"/>
    <n v="9.48"/>
    <n v="157.79000000000002"/>
    <d v="2024-04-10T00:00:00"/>
    <d v="2024-04-12T00:00:00"/>
    <s v="Ryan"/>
    <n v="10"/>
    <n v="4"/>
    <x v="7"/>
    <x v="1"/>
    <x v="2"/>
    <n v="15"/>
  </r>
  <r>
    <d v="2023-08-30T00:00:00"/>
    <x v="3"/>
    <x v="6"/>
    <n v="8"/>
    <n v="55.27"/>
    <x v="1"/>
    <x v="0"/>
    <n v="0.15"/>
    <x v="5"/>
    <n v="375.83600000000001"/>
    <x v="4"/>
    <s v="WINTER15"/>
    <n v="0"/>
    <x v="577"/>
    <s v="Laksh Mirza"/>
    <n v="16.84"/>
    <n v="46.979500000000002"/>
    <n v="358.99600000000004"/>
    <d v="2023-08-30T00:00:00"/>
    <d v="2023-09-01T00:00:00"/>
    <s v="Cameron"/>
    <n v="30"/>
    <n v="8"/>
    <x v="10"/>
    <x v="0"/>
    <x v="3"/>
    <n v="35"/>
  </r>
  <r>
    <d v="2023-10-23T00:00:00"/>
    <x v="4"/>
    <x v="0"/>
    <n v="17"/>
    <n v="25.95"/>
    <x v="0"/>
    <x v="0"/>
    <n v="0.05"/>
    <x v="5"/>
    <n v="419.09249999999997"/>
    <x v="1"/>
    <s v="nan"/>
    <n v="0"/>
    <x v="578"/>
    <s v="Aditi Joseph"/>
    <n v="27.68"/>
    <n v="24.6525"/>
    <n v="391.41249999999997"/>
    <d v="2023-10-23T00:00:00"/>
    <d v="2023-10-30T00:00:00"/>
    <s v="Wendy"/>
    <n v="23"/>
    <n v="10"/>
    <x v="5"/>
    <x v="0"/>
    <x v="1"/>
    <n v="43"/>
  </r>
  <r>
    <d v="2023-03-23T00:00:00"/>
    <x v="2"/>
    <x v="2"/>
    <n v="18"/>
    <n v="209.65"/>
    <x v="1"/>
    <x v="0"/>
    <n v="0.1"/>
    <x v="3"/>
    <n v="3396.33"/>
    <x v="3"/>
    <s v="nan"/>
    <n v="0"/>
    <x v="579"/>
    <s v="Siddharth D'Souza"/>
    <n v="42.04"/>
    <n v="188.685"/>
    <n v="3354.29"/>
    <d v="2023-03-23T00:00:00"/>
    <d v="2023-03-30T00:00:00"/>
    <s v="Ryan"/>
    <n v="23"/>
    <n v="3"/>
    <x v="6"/>
    <x v="0"/>
    <x v="0"/>
    <n v="12"/>
  </r>
  <r>
    <d v="2024-09-21T00:00:00"/>
    <x v="3"/>
    <x v="0"/>
    <n v="13"/>
    <n v="75.77"/>
    <x v="0"/>
    <x v="0"/>
    <n v="0.15"/>
    <x v="2"/>
    <n v="837.25850000000003"/>
    <x v="3"/>
    <s v="SAVE10"/>
    <n v="0"/>
    <x v="580"/>
    <s v="Sneha Bhatia"/>
    <n v="41.94"/>
    <n v="64.404499999999999"/>
    <n v="795.31850000000009"/>
    <d v="2024-09-21T00:00:00"/>
    <d v="2024-09-30T00:00:00"/>
    <s v="Cameron"/>
    <n v="21"/>
    <n v="9"/>
    <x v="11"/>
    <x v="1"/>
    <x v="3"/>
    <n v="38"/>
  </r>
  <r>
    <d v="2024-12-26T00:00:00"/>
    <x v="4"/>
    <x v="5"/>
    <n v="5"/>
    <n v="307.83999999999997"/>
    <x v="0"/>
    <x v="0"/>
    <n v="0.1"/>
    <x v="5"/>
    <n v="1385.28"/>
    <x v="0"/>
    <s v="SAVE10"/>
    <n v="0"/>
    <x v="581"/>
    <s v="Fatima Khanna"/>
    <n v="13.61"/>
    <n v="277.05599999999998"/>
    <n v="1371.67"/>
    <d v="2024-12-26T00:00:00"/>
    <d v="2025-01-03T00:00:00"/>
    <s v="Wendy"/>
    <n v="26"/>
    <n v="12"/>
    <x v="1"/>
    <x v="1"/>
    <x v="1"/>
    <n v="52"/>
  </r>
  <r>
    <d v="2023-02-26T00:00:00"/>
    <x v="0"/>
    <x v="1"/>
    <n v="13"/>
    <n v="6.5"/>
    <x v="1"/>
    <x v="0"/>
    <n v="0"/>
    <x v="4"/>
    <n v="84.5"/>
    <x v="4"/>
    <s v="nan"/>
    <n v="0"/>
    <x v="582"/>
    <s v="Ira George"/>
    <n v="20.02"/>
    <n v="6.5"/>
    <n v="64.48"/>
    <d v="2023-02-26T00:00:00"/>
    <d v="2023-03-03T00:00:00"/>
    <s v="Eric"/>
    <n v="26"/>
    <n v="2"/>
    <x v="0"/>
    <x v="0"/>
    <x v="0"/>
    <n v="8"/>
  </r>
  <r>
    <d v="2024-12-10T00:00:00"/>
    <x v="2"/>
    <x v="4"/>
    <n v="8"/>
    <n v="70.790000000000006"/>
    <x v="0"/>
    <x v="0"/>
    <n v="0"/>
    <x v="4"/>
    <n v="566.32000000000005"/>
    <x v="0"/>
    <s v="nan"/>
    <n v="0"/>
    <x v="583"/>
    <s v="Bhavna Hegde"/>
    <n v="46.35"/>
    <n v="70.790000000000006"/>
    <n v="519.97"/>
    <d v="2024-12-10T00:00:00"/>
    <d v="2024-12-14T00:00:00"/>
    <s v="Ryan"/>
    <n v="10"/>
    <n v="12"/>
    <x v="1"/>
    <x v="1"/>
    <x v="1"/>
    <n v="50"/>
  </r>
  <r>
    <d v="2025-01-01T00:00:00"/>
    <x v="0"/>
    <x v="0"/>
    <n v="17"/>
    <n v="584.70000000000005"/>
    <x v="3"/>
    <x v="1"/>
    <n v="0.1"/>
    <x v="0"/>
    <n v="8945.9100000000017"/>
    <x v="0"/>
    <s v="nan"/>
    <n v="1"/>
    <x v="584"/>
    <s v="Avni Reddy"/>
    <n v="46.59"/>
    <n v="526.23000000000013"/>
    <n v="8899.3200000000015"/>
    <d v="2025-01-01T00:00:00"/>
    <d v="2025-01-03T00:00:00"/>
    <s v="Eric"/>
    <n v="1"/>
    <n v="1"/>
    <x v="4"/>
    <x v="2"/>
    <x v="0"/>
    <n v="1"/>
  </r>
  <r>
    <d v="2025-03-14T00:00:00"/>
    <x v="0"/>
    <x v="1"/>
    <n v="4"/>
    <n v="23.27"/>
    <x v="2"/>
    <x v="0"/>
    <n v="0.15"/>
    <x v="4"/>
    <n v="79.117999999999995"/>
    <x v="0"/>
    <s v="SAVE10"/>
    <n v="0"/>
    <x v="585"/>
    <s v="Kabir Fernandes"/>
    <n v="32.86"/>
    <n v="19.779499999999999"/>
    <n v="46.257999999999996"/>
    <d v="2025-03-14T00:00:00"/>
    <d v="2025-03-21T00:00:00"/>
    <s v="Eric"/>
    <n v="14"/>
    <n v="3"/>
    <x v="6"/>
    <x v="2"/>
    <x v="0"/>
    <n v="11"/>
  </r>
  <r>
    <d v="2024-01-16T00:00:00"/>
    <x v="1"/>
    <x v="5"/>
    <n v="5"/>
    <n v="440.93"/>
    <x v="0"/>
    <x v="0"/>
    <n v="0.1"/>
    <x v="3"/>
    <n v="1984.1849999999999"/>
    <x v="1"/>
    <s v="nan"/>
    <n v="0"/>
    <x v="586"/>
    <s v="Simran Ansari"/>
    <n v="23.84"/>
    <n v="396.83699999999999"/>
    <n v="1960.345"/>
    <d v="2024-01-16T00:00:00"/>
    <d v="2024-01-20T00:00:00"/>
    <s v="Sophie"/>
    <n v="16"/>
    <n v="1"/>
    <x v="4"/>
    <x v="1"/>
    <x v="0"/>
    <n v="3"/>
  </r>
  <r>
    <d v="2024-04-19T00:00:00"/>
    <x v="4"/>
    <x v="5"/>
    <n v="10"/>
    <n v="278.45"/>
    <x v="3"/>
    <x v="0"/>
    <n v="0"/>
    <x v="0"/>
    <n v="2784.5"/>
    <x v="2"/>
    <s v="SAVE10"/>
    <n v="0"/>
    <x v="587"/>
    <s v="Neel Iyer"/>
    <n v="11.13"/>
    <n v="278.45"/>
    <n v="2773.37"/>
    <d v="2024-04-19T00:00:00"/>
    <d v="2024-04-25T00:00:00"/>
    <s v="Wendy"/>
    <n v="19"/>
    <n v="4"/>
    <x v="7"/>
    <x v="1"/>
    <x v="2"/>
    <n v="16"/>
  </r>
  <r>
    <d v="2023-12-08T00:00:00"/>
    <x v="2"/>
    <x v="4"/>
    <n v="14"/>
    <n v="382.19"/>
    <x v="0"/>
    <x v="0"/>
    <n v="0.05"/>
    <x v="2"/>
    <n v="5083.1269999999986"/>
    <x v="4"/>
    <s v="FREESHIP"/>
    <n v="1"/>
    <x v="588"/>
    <s v="Priya Iyer"/>
    <n v="49.12"/>
    <n v="363.08049999999992"/>
    <n v="5034.0069999999987"/>
    <d v="2023-12-08T00:00:00"/>
    <d v="2023-12-11T00:00:00"/>
    <s v="Ryan"/>
    <n v="8"/>
    <n v="12"/>
    <x v="1"/>
    <x v="0"/>
    <x v="1"/>
    <n v="49"/>
  </r>
  <r>
    <d v="2023-03-15T00:00:00"/>
    <x v="2"/>
    <x v="4"/>
    <n v="14"/>
    <n v="232.49"/>
    <x v="3"/>
    <x v="0"/>
    <n v="0.05"/>
    <x v="4"/>
    <n v="3092.1170000000002"/>
    <x v="0"/>
    <s v="SAVE10"/>
    <n v="1"/>
    <x v="589"/>
    <s v="Ved Kulkarni"/>
    <n v="5.32"/>
    <n v="220.86550000000003"/>
    <n v="3086.797"/>
    <d v="2023-03-15T00:00:00"/>
    <d v="2023-03-19T00:00:00"/>
    <s v="Ryan"/>
    <n v="15"/>
    <n v="3"/>
    <x v="6"/>
    <x v="0"/>
    <x v="0"/>
    <n v="11"/>
  </r>
  <r>
    <d v="2025-02-07T00:00:00"/>
    <x v="1"/>
    <x v="0"/>
    <n v="17"/>
    <n v="15.01"/>
    <x v="3"/>
    <x v="0"/>
    <n v="0.15"/>
    <x v="4"/>
    <n v="216.89449999999999"/>
    <x v="3"/>
    <s v="SAVE10"/>
    <n v="1"/>
    <x v="590"/>
    <s v="Noor Nair"/>
    <n v="22"/>
    <n v="12.7585"/>
    <n v="194.89449999999999"/>
    <d v="2025-02-07T00:00:00"/>
    <d v="2025-02-13T00:00:00"/>
    <s v="Sophie"/>
    <n v="7"/>
    <n v="2"/>
    <x v="0"/>
    <x v="2"/>
    <x v="0"/>
    <n v="6"/>
  </r>
  <r>
    <d v="2025-06-27T00:00:00"/>
    <x v="2"/>
    <x v="4"/>
    <n v="11"/>
    <n v="29.41"/>
    <x v="3"/>
    <x v="1"/>
    <n v="0.05"/>
    <x v="3"/>
    <n v="307.33449999999999"/>
    <x v="2"/>
    <s v="SAVE10"/>
    <n v="0"/>
    <x v="591"/>
    <s v="Zoya Bansal"/>
    <n v="6.16"/>
    <n v="27.939499999999999"/>
    <n v="301.17449999999997"/>
    <d v="2025-06-27T00:00:00"/>
    <d v="2025-07-02T00:00:00"/>
    <s v="Ryan"/>
    <n v="27"/>
    <n v="6"/>
    <x v="3"/>
    <x v="2"/>
    <x v="2"/>
    <n v="26"/>
  </r>
  <r>
    <d v="2024-12-17T00:00:00"/>
    <x v="3"/>
    <x v="5"/>
    <n v="1"/>
    <n v="486.19"/>
    <x v="0"/>
    <x v="1"/>
    <n v="0.05"/>
    <x v="2"/>
    <n v="461.88049999999998"/>
    <x v="0"/>
    <s v="SAVE10"/>
    <n v="0"/>
    <x v="592"/>
    <s v="Isha Shetty"/>
    <n v="41.73"/>
    <n v="461.88049999999998"/>
    <n v="420.15049999999997"/>
    <d v="2024-12-17T00:00:00"/>
    <d v="2024-12-20T00:00:00"/>
    <s v="Cameron"/>
    <n v="17"/>
    <n v="12"/>
    <x v="1"/>
    <x v="1"/>
    <x v="1"/>
    <n v="51"/>
  </r>
  <r>
    <d v="2024-05-03T00:00:00"/>
    <x v="1"/>
    <x v="0"/>
    <n v="6"/>
    <n v="266.67"/>
    <x v="0"/>
    <x v="0"/>
    <n v="0.05"/>
    <x v="0"/>
    <n v="1520.019"/>
    <x v="3"/>
    <s v="nan"/>
    <n v="0"/>
    <x v="593"/>
    <s v="Om Fernandes"/>
    <n v="48.49"/>
    <n v="253.3365"/>
    <n v="1471.529"/>
    <d v="2024-05-03T00:00:00"/>
    <d v="2024-05-11T00:00:00"/>
    <s v="Sophie"/>
    <n v="3"/>
    <n v="5"/>
    <x v="2"/>
    <x v="1"/>
    <x v="2"/>
    <n v="18"/>
  </r>
  <r>
    <d v="2023-12-26T00:00:00"/>
    <x v="1"/>
    <x v="6"/>
    <n v="3"/>
    <n v="300.8"/>
    <x v="0"/>
    <x v="0"/>
    <n v="0.1"/>
    <x v="3"/>
    <n v="812.16000000000008"/>
    <x v="4"/>
    <s v="nan"/>
    <n v="1"/>
    <x v="594"/>
    <s v="Karan Roy"/>
    <n v="15.98"/>
    <n v="270.72000000000003"/>
    <n v="796.18000000000006"/>
    <d v="2023-12-26T00:00:00"/>
    <d v="2024-01-01T00:00:00"/>
    <s v="Sophie"/>
    <n v="26"/>
    <n v="12"/>
    <x v="1"/>
    <x v="0"/>
    <x v="1"/>
    <n v="52"/>
  </r>
  <r>
    <d v="2024-05-13T00:00:00"/>
    <x v="3"/>
    <x v="6"/>
    <n v="11"/>
    <n v="79.63"/>
    <x v="0"/>
    <x v="0"/>
    <n v="0.05"/>
    <x v="2"/>
    <n v="832.13349999999991"/>
    <x v="0"/>
    <s v="nan"/>
    <n v="0"/>
    <x v="595"/>
    <s v="Aaliyah Pandey"/>
    <n v="43.84"/>
    <n v="75.648499999999999"/>
    <n v="788.29349999999988"/>
    <d v="2024-05-13T00:00:00"/>
    <d v="2024-05-19T00:00:00"/>
    <s v="Cameron"/>
    <n v="13"/>
    <n v="5"/>
    <x v="2"/>
    <x v="1"/>
    <x v="2"/>
    <n v="20"/>
  </r>
  <r>
    <d v="2023-10-07T00:00:00"/>
    <x v="1"/>
    <x v="0"/>
    <n v="6"/>
    <n v="505.7"/>
    <x v="2"/>
    <x v="1"/>
    <n v="0"/>
    <x v="1"/>
    <n v="3034.2"/>
    <x v="4"/>
    <s v="nan"/>
    <n v="0"/>
    <x v="596"/>
    <s v="Om Menon"/>
    <n v="40.380000000000003"/>
    <n v="505.7"/>
    <n v="2993.8199999999997"/>
    <d v="2023-10-07T00:00:00"/>
    <d v="2023-10-16T00:00:00"/>
    <s v="Sophie"/>
    <n v="7"/>
    <n v="10"/>
    <x v="5"/>
    <x v="0"/>
    <x v="1"/>
    <n v="40"/>
  </r>
  <r>
    <d v="2023-07-11T00:00:00"/>
    <x v="4"/>
    <x v="6"/>
    <n v="5"/>
    <n v="569.62"/>
    <x v="2"/>
    <x v="0"/>
    <n v="0"/>
    <x v="4"/>
    <n v="2848.1"/>
    <x v="3"/>
    <s v="FREESHIP"/>
    <n v="0"/>
    <x v="597"/>
    <s v="Sara Pathan"/>
    <n v="48.8"/>
    <n v="569.62"/>
    <n v="2799.2999999999997"/>
    <d v="2023-07-11T00:00:00"/>
    <d v="2023-07-13T00:00:00"/>
    <s v="Wendy"/>
    <n v="11"/>
    <n v="7"/>
    <x v="8"/>
    <x v="0"/>
    <x v="3"/>
    <n v="28"/>
  </r>
  <r>
    <d v="2025-01-31T00:00:00"/>
    <x v="1"/>
    <x v="5"/>
    <n v="19"/>
    <n v="90.85"/>
    <x v="2"/>
    <x v="1"/>
    <n v="0.05"/>
    <x v="1"/>
    <n v="1639.8425"/>
    <x v="2"/>
    <s v="SAVE10"/>
    <n v="0"/>
    <x v="598"/>
    <s v="Tanishq Kaur"/>
    <n v="22.28"/>
    <n v="86.307500000000005"/>
    <n v="1617.5625"/>
    <d v="2025-01-31T00:00:00"/>
    <d v="2025-02-06T00:00:00"/>
    <s v="Sophie"/>
    <n v="31"/>
    <n v="1"/>
    <x v="4"/>
    <x v="2"/>
    <x v="0"/>
    <n v="5"/>
  </r>
  <r>
    <d v="2023-02-04T00:00:00"/>
    <x v="1"/>
    <x v="3"/>
    <n v="2"/>
    <n v="296.91000000000003"/>
    <x v="1"/>
    <x v="0"/>
    <n v="0.05"/>
    <x v="3"/>
    <n v="564.12900000000002"/>
    <x v="3"/>
    <s v="WINTER15"/>
    <n v="0"/>
    <x v="599"/>
    <s v="Abhishek Agarwal"/>
    <n v="44.35"/>
    <n v="282.06450000000001"/>
    <n v="519.779"/>
    <d v="2023-02-04T00:00:00"/>
    <d v="2023-02-07T00:00:00"/>
    <s v="Sophie"/>
    <n v="4"/>
    <n v="2"/>
    <x v="0"/>
    <x v="0"/>
    <x v="0"/>
    <n v="5"/>
  </r>
  <r>
    <d v="2023-09-02T00:00:00"/>
    <x v="1"/>
    <x v="6"/>
    <n v="2"/>
    <n v="6.19"/>
    <x v="0"/>
    <x v="1"/>
    <n v="0.1"/>
    <x v="2"/>
    <n v="11.141999999999999"/>
    <x v="2"/>
    <s v="FREESHIP"/>
    <n v="1"/>
    <x v="600"/>
    <s v="Kavya Chaudhary"/>
    <n v="47.24"/>
    <n v="5.5709999999999997"/>
    <n v="-36.097999999999999"/>
    <d v="2023-09-02T00:00:00"/>
    <d v="2023-09-12T00:00:00"/>
    <s v="Sophie"/>
    <n v="2"/>
    <n v="9"/>
    <x v="11"/>
    <x v="0"/>
    <x v="3"/>
    <n v="35"/>
  </r>
  <r>
    <d v="2024-12-13T00:00:00"/>
    <x v="3"/>
    <x v="4"/>
    <n v="18"/>
    <n v="207.35"/>
    <x v="3"/>
    <x v="0"/>
    <n v="0.15"/>
    <x v="1"/>
    <n v="3172.454999999999"/>
    <x v="3"/>
    <s v="FREESHIP"/>
    <n v="0"/>
    <x v="601"/>
    <s v="Noor Rawat"/>
    <n v="11.17"/>
    <n v="176.24749999999995"/>
    <n v="3161.2849999999989"/>
    <d v="2024-12-13T00:00:00"/>
    <d v="2024-12-15T00:00:00"/>
    <s v="Cameron"/>
    <n v="13"/>
    <n v="12"/>
    <x v="1"/>
    <x v="1"/>
    <x v="1"/>
    <n v="50"/>
  </r>
  <r>
    <d v="2023-10-13T00:00:00"/>
    <x v="3"/>
    <x v="5"/>
    <n v="5"/>
    <n v="75.27"/>
    <x v="1"/>
    <x v="0"/>
    <n v="0"/>
    <x v="3"/>
    <n v="376.35"/>
    <x v="4"/>
    <s v="nan"/>
    <n v="0"/>
    <x v="602"/>
    <s v="Pooja Sen"/>
    <n v="31.61"/>
    <n v="75.27000000000001"/>
    <n v="344.74"/>
    <d v="2023-10-13T00:00:00"/>
    <d v="2023-10-22T00:00:00"/>
    <s v="Cameron"/>
    <n v="13"/>
    <n v="10"/>
    <x v="5"/>
    <x v="0"/>
    <x v="1"/>
    <n v="41"/>
  </r>
  <r>
    <d v="2024-10-03T00:00:00"/>
    <x v="1"/>
    <x v="4"/>
    <n v="3"/>
    <n v="136.15"/>
    <x v="1"/>
    <x v="1"/>
    <n v="0.1"/>
    <x v="4"/>
    <n v="367.60500000000008"/>
    <x v="1"/>
    <s v="SAVE10"/>
    <n v="0"/>
    <x v="603"/>
    <s v="Sara Agarwal"/>
    <n v="48.38"/>
    <n v="122.53500000000003"/>
    <n v="319.22500000000008"/>
    <d v="2024-10-03T00:00:00"/>
    <d v="2024-10-07T00:00:00"/>
    <s v="Sophie"/>
    <n v="3"/>
    <n v="10"/>
    <x v="5"/>
    <x v="1"/>
    <x v="1"/>
    <n v="40"/>
  </r>
  <r>
    <d v="2024-04-28T00:00:00"/>
    <x v="3"/>
    <x v="2"/>
    <n v="5"/>
    <n v="544.66"/>
    <x v="0"/>
    <x v="1"/>
    <n v="0.1"/>
    <x v="4"/>
    <n v="2450.9699999999998"/>
    <x v="0"/>
    <s v="SAVE10"/>
    <n v="0"/>
    <x v="604"/>
    <s v="Raina Mehta"/>
    <n v="8.39"/>
    <n v="490.19399999999996"/>
    <n v="2442.58"/>
    <d v="2024-04-28T00:00:00"/>
    <d v="2024-05-04T00:00:00"/>
    <s v="Cameron"/>
    <n v="28"/>
    <n v="4"/>
    <x v="7"/>
    <x v="1"/>
    <x v="2"/>
    <n v="17"/>
  </r>
  <r>
    <d v="2024-02-07T00:00:00"/>
    <x v="3"/>
    <x v="2"/>
    <n v="8"/>
    <n v="561.9"/>
    <x v="1"/>
    <x v="1"/>
    <n v="0.15"/>
    <x v="5"/>
    <n v="3820.92"/>
    <x v="0"/>
    <s v="FREESHIP"/>
    <n v="1"/>
    <x v="605"/>
    <s v="Sana Dutta"/>
    <n v="15.97"/>
    <n v="477.61500000000001"/>
    <n v="3804.9500000000003"/>
    <d v="2024-02-07T00:00:00"/>
    <d v="2024-02-14T00:00:00"/>
    <s v="Cameron"/>
    <n v="7"/>
    <n v="2"/>
    <x v="0"/>
    <x v="1"/>
    <x v="0"/>
    <n v="6"/>
  </r>
  <r>
    <d v="2023-02-08T00:00:00"/>
    <x v="1"/>
    <x v="3"/>
    <n v="20"/>
    <n v="313.47000000000003"/>
    <x v="2"/>
    <x v="1"/>
    <n v="0.15"/>
    <x v="1"/>
    <n v="5328.9900000000007"/>
    <x v="0"/>
    <s v="FREESHIP"/>
    <n v="0"/>
    <x v="606"/>
    <s v="Arjun Rao"/>
    <n v="18.170000000000002"/>
    <n v="266.44950000000006"/>
    <n v="5310.8200000000006"/>
    <d v="2023-02-08T00:00:00"/>
    <d v="2023-02-11T00:00:00"/>
    <s v="Sophie"/>
    <n v="8"/>
    <n v="2"/>
    <x v="0"/>
    <x v="0"/>
    <x v="0"/>
    <n v="6"/>
  </r>
  <r>
    <d v="2023-06-17T00:00:00"/>
    <x v="1"/>
    <x v="1"/>
    <n v="1"/>
    <n v="418.45"/>
    <x v="2"/>
    <x v="1"/>
    <n v="0.15"/>
    <x v="4"/>
    <n v="355.6825"/>
    <x v="4"/>
    <s v="WINTER15"/>
    <n v="0"/>
    <x v="607"/>
    <s v="Krish Sharma"/>
    <n v="35.58"/>
    <n v="355.6825"/>
    <n v="320.10250000000002"/>
    <d v="2023-06-17T00:00:00"/>
    <d v="2023-06-19T00:00:00"/>
    <s v="Sophie"/>
    <n v="17"/>
    <n v="6"/>
    <x v="3"/>
    <x v="0"/>
    <x v="2"/>
    <n v="24"/>
  </r>
  <r>
    <d v="2024-07-29T00:00:00"/>
    <x v="4"/>
    <x v="4"/>
    <n v="8"/>
    <n v="420.75"/>
    <x v="0"/>
    <x v="0"/>
    <n v="0.1"/>
    <x v="5"/>
    <n v="3029.4"/>
    <x v="0"/>
    <s v="SAVE10"/>
    <n v="1"/>
    <x v="608"/>
    <s v="Deepak Chawla"/>
    <n v="44.61"/>
    <n v="378.67500000000001"/>
    <n v="2984.79"/>
    <d v="2024-07-29T00:00:00"/>
    <d v="2024-08-01T00:00:00"/>
    <s v="Wendy"/>
    <n v="29"/>
    <n v="7"/>
    <x v="8"/>
    <x v="1"/>
    <x v="3"/>
    <n v="31"/>
  </r>
  <r>
    <d v="2024-01-29T00:00:00"/>
    <x v="4"/>
    <x v="6"/>
    <n v="16"/>
    <n v="514.36"/>
    <x v="3"/>
    <x v="0"/>
    <n v="0"/>
    <x v="1"/>
    <n v="8229.76"/>
    <x v="0"/>
    <s v="SAVE10"/>
    <n v="0"/>
    <x v="609"/>
    <s v="Alina Hegde"/>
    <n v="40.75"/>
    <n v="514.36"/>
    <n v="8189.01"/>
    <d v="2024-01-29T00:00:00"/>
    <d v="2024-02-01T00:00:00"/>
    <s v="Wendy"/>
    <n v="29"/>
    <n v="1"/>
    <x v="4"/>
    <x v="1"/>
    <x v="0"/>
    <n v="5"/>
  </r>
  <r>
    <d v="2024-01-18T00:00:00"/>
    <x v="0"/>
    <x v="1"/>
    <n v="2"/>
    <n v="297.2"/>
    <x v="0"/>
    <x v="1"/>
    <n v="0.1"/>
    <x v="2"/>
    <n v="534.96"/>
    <x v="1"/>
    <s v="FREESHIP"/>
    <n v="0"/>
    <x v="610"/>
    <s v="Neel Chawla"/>
    <n v="8.7100000000000009"/>
    <n v="267.48"/>
    <n v="526.25"/>
    <d v="2024-01-18T00:00:00"/>
    <d v="2024-01-23T00:00:00"/>
    <s v="Eric"/>
    <n v="18"/>
    <n v="1"/>
    <x v="4"/>
    <x v="1"/>
    <x v="0"/>
    <n v="3"/>
  </r>
  <r>
    <d v="2024-08-12T00:00:00"/>
    <x v="2"/>
    <x v="3"/>
    <n v="10"/>
    <n v="278"/>
    <x v="2"/>
    <x v="1"/>
    <n v="0"/>
    <x v="5"/>
    <n v="2780"/>
    <x v="2"/>
    <s v="nan"/>
    <n v="0"/>
    <x v="611"/>
    <s v="Tanishq Dubey"/>
    <n v="24.25"/>
    <n v="278"/>
    <n v="2755.75"/>
    <d v="2024-08-12T00:00:00"/>
    <d v="2024-08-22T00:00:00"/>
    <s v="Ryan"/>
    <n v="12"/>
    <n v="8"/>
    <x v="10"/>
    <x v="1"/>
    <x v="3"/>
    <n v="33"/>
  </r>
  <r>
    <d v="2025-04-16T00:00:00"/>
    <x v="4"/>
    <x v="4"/>
    <n v="8"/>
    <n v="583.16999999999996"/>
    <x v="3"/>
    <x v="0"/>
    <n v="0.1"/>
    <x v="2"/>
    <n v="4198.8239999999996"/>
    <x v="2"/>
    <s v="WINTER15"/>
    <n v="0"/>
    <x v="612"/>
    <s v="Avni Joseph"/>
    <n v="49.18"/>
    <n v="524.85299999999995"/>
    <n v="4149.6439999999993"/>
    <d v="2025-04-16T00:00:00"/>
    <d v="2025-04-20T00:00:00"/>
    <s v="Wendy"/>
    <n v="16"/>
    <n v="4"/>
    <x v="7"/>
    <x v="2"/>
    <x v="2"/>
    <n v="16"/>
  </r>
  <r>
    <d v="2023-02-26T00:00:00"/>
    <x v="3"/>
    <x v="2"/>
    <n v="16"/>
    <n v="75.62"/>
    <x v="3"/>
    <x v="1"/>
    <n v="0.1"/>
    <x v="4"/>
    <n v="1088.9280000000001"/>
    <x v="4"/>
    <s v="WINTER15"/>
    <n v="0"/>
    <x v="613"/>
    <s v="Dhruv Sinha"/>
    <n v="27.39"/>
    <n v="68.058000000000007"/>
    <n v="1061.538"/>
    <d v="2023-02-26T00:00:00"/>
    <d v="2023-03-02T00:00:00"/>
    <s v="Cameron"/>
    <n v="26"/>
    <n v="2"/>
    <x v="0"/>
    <x v="0"/>
    <x v="0"/>
    <n v="8"/>
  </r>
  <r>
    <d v="2023-01-07T00:00:00"/>
    <x v="0"/>
    <x v="2"/>
    <n v="13"/>
    <n v="561.62"/>
    <x v="2"/>
    <x v="0"/>
    <n v="0.05"/>
    <x v="2"/>
    <n v="6936.0069999999996"/>
    <x v="1"/>
    <s v="FREESHIP"/>
    <n v="0"/>
    <x v="614"/>
    <s v="Ved Pandey"/>
    <n v="12.91"/>
    <n v="533.53899999999999"/>
    <n v="6923.0969999999998"/>
    <d v="2023-01-07T00:00:00"/>
    <d v="2023-01-11T00:00:00"/>
    <s v="Eric"/>
    <n v="7"/>
    <n v="1"/>
    <x v="4"/>
    <x v="0"/>
    <x v="0"/>
    <n v="1"/>
  </r>
  <r>
    <d v="2023-10-24T00:00:00"/>
    <x v="1"/>
    <x v="2"/>
    <n v="5"/>
    <n v="359.61"/>
    <x v="1"/>
    <x v="1"/>
    <n v="0"/>
    <x v="5"/>
    <n v="1798.05"/>
    <x v="0"/>
    <s v="FREESHIP"/>
    <n v="0"/>
    <x v="615"/>
    <s v="Ishaan Desai"/>
    <n v="41.31"/>
    <n v="359.61"/>
    <n v="1756.74"/>
    <d v="2023-10-24T00:00:00"/>
    <d v="2023-11-03T00:00:00"/>
    <s v="Sophie"/>
    <n v="24"/>
    <n v="10"/>
    <x v="5"/>
    <x v="0"/>
    <x v="1"/>
    <n v="43"/>
  </r>
  <r>
    <d v="2024-01-02T00:00:00"/>
    <x v="2"/>
    <x v="5"/>
    <n v="15"/>
    <n v="115.48"/>
    <x v="1"/>
    <x v="1"/>
    <n v="0.15"/>
    <x v="2"/>
    <n v="1472.37"/>
    <x v="2"/>
    <s v="nan"/>
    <n v="0"/>
    <x v="616"/>
    <s v="Karan Kaur"/>
    <n v="6.04"/>
    <n v="98.157999999999987"/>
    <n v="1466.33"/>
    <d v="2024-01-02T00:00:00"/>
    <d v="2024-01-12T00:00:00"/>
    <s v="Ryan"/>
    <n v="2"/>
    <n v="1"/>
    <x v="4"/>
    <x v="1"/>
    <x v="0"/>
    <n v="1"/>
  </r>
  <r>
    <d v="2024-09-17T00:00:00"/>
    <x v="1"/>
    <x v="0"/>
    <n v="12"/>
    <n v="596.26"/>
    <x v="3"/>
    <x v="0"/>
    <n v="0.15"/>
    <x v="0"/>
    <n v="6081.8519999999999"/>
    <x v="1"/>
    <s v="WINTER15"/>
    <n v="0"/>
    <x v="617"/>
    <s v="Aman Kapoor"/>
    <n v="28.27"/>
    <n v="506.82099999999997"/>
    <n v="6053.5819999999994"/>
    <d v="2024-09-17T00:00:00"/>
    <d v="2024-09-25T00:00:00"/>
    <s v="Sophie"/>
    <n v="17"/>
    <n v="9"/>
    <x v="11"/>
    <x v="1"/>
    <x v="3"/>
    <n v="38"/>
  </r>
  <r>
    <d v="2024-05-05T00:00:00"/>
    <x v="3"/>
    <x v="5"/>
    <n v="19"/>
    <n v="401.68"/>
    <x v="2"/>
    <x v="0"/>
    <n v="0.05"/>
    <x v="1"/>
    <n v="7250.3239999999996"/>
    <x v="3"/>
    <s v="WINTER15"/>
    <n v="1"/>
    <x v="618"/>
    <s v="Priya Dutta"/>
    <n v="37.770000000000003"/>
    <n v="381.596"/>
    <n v="7212.5539999999992"/>
    <d v="2024-05-05T00:00:00"/>
    <d v="2024-05-11T00:00:00"/>
    <s v="Cameron"/>
    <n v="5"/>
    <n v="5"/>
    <x v="2"/>
    <x v="1"/>
    <x v="2"/>
    <n v="18"/>
  </r>
  <r>
    <d v="2025-06-27T00:00:00"/>
    <x v="4"/>
    <x v="2"/>
    <n v="13"/>
    <n v="112.88"/>
    <x v="3"/>
    <x v="1"/>
    <n v="0"/>
    <x v="2"/>
    <n v="1467.44"/>
    <x v="3"/>
    <s v="nan"/>
    <n v="0"/>
    <x v="619"/>
    <s v="Trisha Pai"/>
    <n v="12.39"/>
    <n v="112.88000000000001"/>
    <n v="1455.05"/>
    <d v="2025-06-27T00:00:00"/>
    <d v="2025-06-29T00:00:00"/>
    <s v="Wendy"/>
    <n v="27"/>
    <n v="6"/>
    <x v="3"/>
    <x v="2"/>
    <x v="2"/>
    <n v="26"/>
  </r>
  <r>
    <d v="2024-05-14T00:00:00"/>
    <x v="4"/>
    <x v="1"/>
    <n v="6"/>
    <n v="370.08"/>
    <x v="3"/>
    <x v="1"/>
    <n v="0.15"/>
    <x v="1"/>
    <n v="1887.4079999999999"/>
    <x v="0"/>
    <s v="SAVE10"/>
    <n v="0"/>
    <x v="620"/>
    <s v="Neha Khanna"/>
    <n v="7.39"/>
    <n v="314.56799999999998"/>
    <n v="1880.0179999999998"/>
    <d v="2024-05-14T00:00:00"/>
    <d v="2024-05-22T00:00:00"/>
    <s v="Wendy"/>
    <n v="14"/>
    <n v="5"/>
    <x v="2"/>
    <x v="1"/>
    <x v="2"/>
    <n v="20"/>
  </r>
  <r>
    <d v="2024-02-29T00:00:00"/>
    <x v="2"/>
    <x v="3"/>
    <n v="15"/>
    <n v="119.86"/>
    <x v="1"/>
    <x v="0"/>
    <n v="0.15"/>
    <x v="5"/>
    <n v="1528.2149999999999"/>
    <x v="3"/>
    <s v="nan"/>
    <n v="1"/>
    <x v="621"/>
    <s v="Vikram Bhatia"/>
    <n v="30.78"/>
    <n v="101.881"/>
    <n v="1497.4349999999999"/>
    <d v="2024-02-29T00:00:00"/>
    <d v="2024-03-05T00:00:00"/>
    <s v="Ryan"/>
    <n v="29"/>
    <n v="2"/>
    <x v="0"/>
    <x v="1"/>
    <x v="0"/>
    <n v="9"/>
  </r>
  <r>
    <d v="2025-05-19T00:00:00"/>
    <x v="0"/>
    <x v="1"/>
    <n v="5"/>
    <n v="271.44"/>
    <x v="1"/>
    <x v="0"/>
    <n v="0.15"/>
    <x v="4"/>
    <n v="1153.6199999999999"/>
    <x v="3"/>
    <s v="FREESHIP"/>
    <n v="0"/>
    <x v="622"/>
    <s v="Krish D'Souza"/>
    <n v="5.98"/>
    <n v="230.72399999999999"/>
    <n v="1147.6399999999999"/>
    <d v="2025-05-19T00:00:00"/>
    <d v="2025-05-27T00:00:00"/>
    <s v="Eric"/>
    <n v="19"/>
    <n v="5"/>
    <x v="2"/>
    <x v="2"/>
    <x v="2"/>
    <n v="21"/>
  </r>
  <r>
    <d v="2024-12-02T00:00:00"/>
    <x v="0"/>
    <x v="2"/>
    <n v="9"/>
    <n v="363.39"/>
    <x v="0"/>
    <x v="0"/>
    <n v="0.05"/>
    <x v="4"/>
    <n v="3106.9845"/>
    <x v="1"/>
    <s v="nan"/>
    <n v="0"/>
    <x v="623"/>
    <s v="Pooja Roy"/>
    <n v="41.64"/>
    <n v="345.22050000000002"/>
    <n v="3065.3445000000002"/>
    <d v="2024-12-02T00:00:00"/>
    <d v="2024-12-04T00:00:00"/>
    <s v="Eric"/>
    <n v="2"/>
    <n v="12"/>
    <x v="1"/>
    <x v="1"/>
    <x v="1"/>
    <n v="49"/>
  </r>
  <r>
    <d v="2024-07-30T00:00:00"/>
    <x v="4"/>
    <x v="6"/>
    <n v="12"/>
    <n v="533.77"/>
    <x v="3"/>
    <x v="0"/>
    <n v="0.15"/>
    <x v="1"/>
    <n v="5444.4539999999997"/>
    <x v="4"/>
    <s v="SAVE10"/>
    <n v="0"/>
    <x v="624"/>
    <s v="Zoya Khan"/>
    <n v="48.71"/>
    <n v="453.7045"/>
    <n v="5395.7439999999997"/>
    <d v="2024-07-30T00:00:00"/>
    <d v="2024-08-04T00:00:00"/>
    <s v="Wendy"/>
    <n v="30"/>
    <n v="7"/>
    <x v="8"/>
    <x v="1"/>
    <x v="3"/>
    <n v="31"/>
  </r>
  <r>
    <d v="2023-06-25T00:00:00"/>
    <x v="1"/>
    <x v="2"/>
    <n v="12"/>
    <n v="192.03"/>
    <x v="0"/>
    <x v="0"/>
    <n v="0.1"/>
    <x v="3"/>
    <n v="2073.924"/>
    <x v="2"/>
    <s v="nan"/>
    <n v="0"/>
    <x v="625"/>
    <s v="Ashwin Pandey"/>
    <n v="41.08"/>
    <n v="172.827"/>
    <n v="2032.8440000000001"/>
    <d v="2023-06-25T00:00:00"/>
    <d v="2023-07-03T00:00:00"/>
    <s v="Sophie"/>
    <n v="25"/>
    <n v="6"/>
    <x v="3"/>
    <x v="0"/>
    <x v="2"/>
    <n v="25"/>
  </r>
  <r>
    <d v="2024-07-10T00:00:00"/>
    <x v="1"/>
    <x v="3"/>
    <n v="20"/>
    <n v="504.22"/>
    <x v="3"/>
    <x v="0"/>
    <n v="0"/>
    <x v="2"/>
    <n v="10084.4"/>
    <x v="0"/>
    <s v="WINTER15"/>
    <n v="0"/>
    <x v="626"/>
    <s v="Rohan Agarwal"/>
    <n v="14.61"/>
    <n v="504.21999999999997"/>
    <n v="10069.789999999999"/>
    <d v="2024-07-10T00:00:00"/>
    <d v="2024-07-19T00:00:00"/>
    <s v="Sophie"/>
    <n v="10"/>
    <n v="7"/>
    <x v="8"/>
    <x v="1"/>
    <x v="3"/>
    <n v="28"/>
  </r>
  <r>
    <d v="2023-01-06T00:00:00"/>
    <x v="0"/>
    <x v="0"/>
    <n v="7"/>
    <n v="193.66"/>
    <x v="1"/>
    <x v="0"/>
    <n v="0.1"/>
    <x v="4"/>
    <n v="1220.058"/>
    <x v="2"/>
    <s v="FREESHIP"/>
    <n v="0"/>
    <x v="627"/>
    <s v="Zara Nair"/>
    <n v="39.01"/>
    <n v="174.29400000000001"/>
    <n v="1181.048"/>
    <d v="2023-01-06T00:00:00"/>
    <d v="2023-01-15T00:00:00"/>
    <s v="Eric"/>
    <n v="6"/>
    <n v="1"/>
    <x v="4"/>
    <x v="0"/>
    <x v="0"/>
    <n v="1"/>
  </r>
  <r>
    <d v="2024-02-24T00:00:00"/>
    <x v="1"/>
    <x v="3"/>
    <n v="3"/>
    <n v="270.83"/>
    <x v="0"/>
    <x v="0"/>
    <n v="0.1"/>
    <x v="3"/>
    <n v="731.24099999999999"/>
    <x v="0"/>
    <s v="SAVE10"/>
    <n v="1"/>
    <x v="628"/>
    <s v="Aarav Arora"/>
    <n v="17.2"/>
    <n v="243.74699999999999"/>
    <n v="714.04099999999994"/>
    <d v="2024-02-24T00:00:00"/>
    <d v="2024-02-29T00:00:00"/>
    <s v="Sophie"/>
    <n v="24"/>
    <n v="2"/>
    <x v="0"/>
    <x v="1"/>
    <x v="0"/>
    <n v="8"/>
  </r>
  <r>
    <d v="2023-12-11T00:00:00"/>
    <x v="3"/>
    <x v="5"/>
    <n v="18"/>
    <n v="62.08"/>
    <x v="0"/>
    <x v="1"/>
    <n v="0"/>
    <x v="4"/>
    <n v="1117.44"/>
    <x v="2"/>
    <s v="SAVE10"/>
    <n v="1"/>
    <x v="629"/>
    <s v="Palak Khanna"/>
    <n v="8.67"/>
    <n v="62.080000000000005"/>
    <n v="1108.77"/>
    <d v="2023-12-11T00:00:00"/>
    <d v="2023-12-20T00:00:00"/>
    <s v="Cameron"/>
    <n v="11"/>
    <n v="12"/>
    <x v="1"/>
    <x v="0"/>
    <x v="1"/>
    <n v="50"/>
  </r>
  <r>
    <d v="2025-02-19T00:00:00"/>
    <x v="1"/>
    <x v="6"/>
    <n v="11"/>
    <n v="505.96"/>
    <x v="2"/>
    <x v="0"/>
    <n v="0.15"/>
    <x v="0"/>
    <n v="4730.7259999999997"/>
    <x v="3"/>
    <s v="FREESHIP"/>
    <n v="1"/>
    <x v="630"/>
    <s v="Meera Mukherjee"/>
    <n v="22.84"/>
    <n v="430.06599999999997"/>
    <n v="4707.8859999999995"/>
    <d v="2025-02-19T00:00:00"/>
    <d v="2025-02-23T00:00:00"/>
    <s v="Sophie"/>
    <n v="19"/>
    <n v="2"/>
    <x v="0"/>
    <x v="2"/>
    <x v="0"/>
    <n v="8"/>
  </r>
  <r>
    <d v="2025-03-18T00:00:00"/>
    <x v="4"/>
    <x v="5"/>
    <n v="4"/>
    <n v="62.46"/>
    <x v="3"/>
    <x v="0"/>
    <n v="0.15"/>
    <x v="1"/>
    <n v="212.364"/>
    <x v="3"/>
    <s v="WINTER15"/>
    <n v="0"/>
    <x v="631"/>
    <s v="Pranav D'Souza"/>
    <n v="31.91"/>
    <n v="53.091000000000001"/>
    <n v="180.45400000000001"/>
    <d v="2025-03-18T00:00:00"/>
    <d v="2025-03-26T00:00:00"/>
    <s v="Wendy"/>
    <n v="18"/>
    <n v="3"/>
    <x v="6"/>
    <x v="2"/>
    <x v="0"/>
    <n v="12"/>
  </r>
  <r>
    <d v="2023-09-22T00:00:00"/>
    <x v="1"/>
    <x v="1"/>
    <n v="7"/>
    <n v="480.08"/>
    <x v="0"/>
    <x v="0"/>
    <n v="0.1"/>
    <x v="4"/>
    <n v="3024.5039999999999"/>
    <x v="0"/>
    <s v="nan"/>
    <n v="1"/>
    <x v="632"/>
    <s v="Raj Kulkarni"/>
    <n v="44.37"/>
    <n v="432.072"/>
    <n v="2980.134"/>
    <d v="2023-09-22T00:00:00"/>
    <d v="2023-09-27T00:00:00"/>
    <s v="Sophie"/>
    <n v="22"/>
    <n v="9"/>
    <x v="11"/>
    <x v="0"/>
    <x v="3"/>
    <n v="38"/>
  </r>
  <r>
    <d v="2023-12-23T00:00:00"/>
    <x v="4"/>
    <x v="5"/>
    <n v="18"/>
    <n v="60.66"/>
    <x v="1"/>
    <x v="1"/>
    <n v="0"/>
    <x v="5"/>
    <n v="1091.8800000000001"/>
    <x v="0"/>
    <s v="FREESHIP"/>
    <n v="1"/>
    <x v="633"/>
    <s v="Laksh Malik"/>
    <n v="10.08"/>
    <n v="60.660000000000004"/>
    <n v="1081.8000000000002"/>
    <d v="2023-12-23T00:00:00"/>
    <d v="2023-12-28T00:00:00"/>
    <s v="Wendy"/>
    <n v="23"/>
    <n v="12"/>
    <x v="1"/>
    <x v="0"/>
    <x v="1"/>
    <n v="51"/>
  </r>
  <r>
    <d v="2025-05-04T00:00:00"/>
    <x v="2"/>
    <x v="2"/>
    <n v="6"/>
    <n v="249.09"/>
    <x v="0"/>
    <x v="1"/>
    <n v="0.05"/>
    <x v="2"/>
    <n v="1419.8130000000001"/>
    <x v="4"/>
    <s v="nan"/>
    <n v="0"/>
    <x v="634"/>
    <s v="Om Malhotra"/>
    <n v="20.38"/>
    <n v="236.63550000000001"/>
    <n v="1399.433"/>
    <d v="2025-05-04T00:00:00"/>
    <d v="2025-05-10T00:00:00"/>
    <s v="Ryan"/>
    <n v="4"/>
    <n v="5"/>
    <x v="2"/>
    <x v="2"/>
    <x v="2"/>
    <n v="18"/>
  </r>
  <r>
    <d v="2025-01-11T00:00:00"/>
    <x v="0"/>
    <x v="1"/>
    <n v="20"/>
    <n v="400.05"/>
    <x v="3"/>
    <x v="0"/>
    <n v="0.1"/>
    <x v="4"/>
    <n v="7200.9000000000005"/>
    <x v="3"/>
    <s v="WINTER15"/>
    <n v="0"/>
    <x v="635"/>
    <s v="Zara Gupta"/>
    <n v="24.41"/>
    <n v="360.04500000000002"/>
    <n v="7176.4900000000007"/>
    <d v="2025-01-11T00:00:00"/>
    <d v="2025-01-13T00:00:00"/>
    <s v="Eric"/>
    <n v="11"/>
    <n v="1"/>
    <x v="4"/>
    <x v="2"/>
    <x v="0"/>
    <n v="2"/>
  </r>
  <r>
    <d v="2025-04-21T00:00:00"/>
    <x v="1"/>
    <x v="6"/>
    <n v="1"/>
    <n v="130.87"/>
    <x v="0"/>
    <x v="1"/>
    <n v="0.05"/>
    <x v="4"/>
    <n v="124.3265"/>
    <x v="0"/>
    <s v="WINTER15"/>
    <n v="0"/>
    <x v="636"/>
    <s v="Ira Singh"/>
    <n v="43.21"/>
    <n v="124.3265"/>
    <n v="81.116500000000002"/>
    <d v="2025-04-21T00:00:00"/>
    <d v="2025-04-24T00:00:00"/>
    <s v="Sophie"/>
    <n v="21"/>
    <n v="4"/>
    <x v="7"/>
    <x v="2"/>
    <x v="2"/>
    <n v="17"/>
  </r>
  <r>
    <d v="2023-12-13T00:00:00"/>
    <x v="3"/>
    <x v="5"/>
    <n v="11"/>
    <n v="133.08000000000001"/>
    <x v="1"/>
    <x v="0"/>
    <n v="0.15"/>
    <x v="2"/>
    <n v="1244.298"/>
    <x v="2"/>
    <s v="WINTER15"/>
    <n v="0"/>
    <x v="637"/>
    <s v="Bhavna Malhotra"/>
    <n v="44.61"/>
    <n v="113.11799999999999"/>
    <n v="1199.6880000000001"/>
    <d v="2023-12-13T00:00:00"/>
    <d v="2023-12-22T00:00:00"/>
    <s v="Cameron"/>
    <n v="13"/>
    <n v="12"/>
    <x v="1"/>
    <x v="0"/>
    <x v="1"/>
    <n v="50"/>
  </r>
  <r>
    <d v="2024-02-07T00:00:00"/>
    <x v="0"/>
    <x v="3"/>
    <n v="13"/>
    <n v="448.68"/>
    <x v="0"/>
    <x v="0"/>
    <n v="0.1"/>
    <x v="4"/>
    <n v="5249.5559999999996"/>
    <x v="2"/>
    <s v="FREESHIP"/>
    <n v="1"/>
    <x v="638"/>
    <s v="Avni Tripathi"/>
    <n v="16.82"/>
    <n v="403.81199999999995"/>
    <n v="5232.7359999999999"/>
    <d v="2024-02-07T00:00:00"/>
    <d v="2024-02-11T00:00:00"/>
    <s v="Eric"/>
    <n v="7"/>
    <n v="2"/>
    <x v="0"/>
    <x v="1"/>
    <x v="0"/>
    <n v="6"/>
  </r>
  <r>
    <d v="2024-04-24T00:00:00"/>
    <x v="2"/>
    <x v="5"/>
    <n v="19"/>
    <n v="36.229999999999997"/>
    <x v="0"/>
    <x v="0"/>
    <n v="0"/>
    <x v="4"/>
    <n v="688.36999999999989"/>
    <x v="3"/>
    <s v="WINTER15"/>
    <n v="0"/>
    <x v="639"/>
    <s v="Pooja Hegde"/>
    <n v="33.94"/>
    <n v="36.229999999999997"/>
    <n v="654.42999999999984"/>
    <d v="2024-04-24T00:00:00"/>
    <d v="2024-04-27T00:00:00"/>
    <s v="Ryan"/>
    <n v="24"/>
    <n v="4"/>
    <x v="7"/>
    <x v="1"/>
    <x v="2"/>
    <n v="17"/>
  </r>
  <r>
    <d v="2023-09-11T00:00:00"/>
    <x v="4"/>
    <x v="3"/>
    <n v="14"/>
    <n v="113.77"/>
    <x v="2"/>
    <x v="1"/>
    <n v="0"/>
    <x v="0"/>
    <n v="1592.78"/>
    <x v="4"/>
    <s v="FREESHIP"/>
    <n v="0"/>
    <x v="640"/>
    <s v="Aditya Saxena"/>
    <n v="25.35"/>
    <n v="113.77"/>
    <n v="1567.43"/>
    <d v="2023-09-11T00:00:00"/>
    <d v="2023-09-16T00:00:00"/>
    <s v="Wendy"/>
    <n v="11"/>
    <n v="9"/>
    <x v="11"/>
    <x v="0"/>
    <x v="3"/>
    <n v="37"/>
  </r>
  <r>
    <d v="2025-06-09T00:00:00"/>
    <x v="3"/>
    <x v="6"/>
    <n v="2"/>
    <n v="89.6"/>
    <x v="1"/>
    <x v="1"/>
    <n v="0"/>
    <x v="4"/>
    <n v="179.2"/>
    <x v="1"/>
    <s v="FREESHIP"/>
    <n v="0"/>
    <x v="641"/>
    <s v="Harsh Joseph"/>
    <n v="23.69"/>
    <n v="89.6"/>
    <n v="155.51"/>
    <d v="2025-06-09T00:00:00"/>
    <d v="2025-06-12T00:00:00"/>
    <s v="Cameron"/>
    <n v="9"/>
    <n v="6"/>
    <x v="3"/>
    <x v="2"/>
    <x v="2"/>
    <n v="24"/>
  </r>
  <r>
    <d v="2025-06-06T00:00:00"/>
    <x v="0"/>
    <x v="2"/>
    <n v="3"/>
    <n v="391.92"/>
    <x v="1"/>
    <x v="0"/>
    <n v="0.15"/>
    <x v="1"/>
    <n v="999.39599999999996"/>
    <x v="3"/>
    <s v="SAVE10"/>
    <n v="0"/>
    <x v="642"/>
    <s v="Parth Iyer"/>
    <n v="9.86"/>
    <n v="333.13200000000001"/>
    <n v="989.53599999999994"/>
    <d v="2025-06-06T00:00:00"/>
    <d v="2025-06-16T00:00:00"/>
    <s v="Eric"/>
    <n v="6"/>
    <n v="6"/>
    <x v="3"/>
    <x v="2"/>
    <x v="2"/>
    <n v="23"/>
  </r>
  <r>
    <d v="2024-12-23T00:00:00"/>
    <x v="1"/>
    <x v="3"/>
    <n v="10"/>
    <n v="418.93"/>
    <x v="2"/>
    <x v="0"/>
    <n v="0.1"/>
    <x v="5"/>
    <n v="3770.37"/>
    <x v="2"/>
    <s v="FREESHIP"/>
    <n v="0"/>
    <x v="643"/>
    <s v="Ira Menon"/>
    <n v="45.63"/>
    <n v="377.03699999999998"/>
    <n v="3724.74"/>
    <d v="2024-12-23T00:00:00"/>
    <d v="2024-12-28T00:00:00"/>
    <s v="Sophie"/>
    <n v="23"/>
    <n v="12"/>
    <x v="1"/>
    <x v="1"/>
    <x v="1"/>
    <n v="52"/>
  </r>
  <r>
    <d v="2023-08-27T00:00:00"/>
    <x v="0"/>
    <x v="4"/>
    <n v="12"/>
    <n v="303.08999999999997"/>
    <x v="0"/>
    <x v="0"/>
    <n v="0"/>
    <x v="1"/>
    <n v="3637.08"/>
    <x v="1"/>
    <s v="WINTER15"/>
    <n v="1"/>
    <x v="644"/>
    <s v="Diya D'Souza"/>
    <n v="5.48"/>
    <n v="303.08999999999997"/>
    <n v="3631.6"/>
    <d v="2023-08-27T00:00:00"/>
    <d v="2023-09-03T00:00:00"/>
    <s v="Eric"/>
    <n v="27"/>
    <n v="8"/>
    <x v="10"/>
    <x v="0"/>
    <x v="3"/>
    <n v="34"/>
  </r>
  <r>
    <d v="2023-01-09T00:00:00"/>
    <x v="0"/>
    <x v="4"/>
    <n v="10"/>
    <n v="209.95"/>
    <x v="1"/>
    <x v="0"/>
    <n v="0.1"/>
    <x v="0"/>
    <n v="1889.55"/>
    <x v="4"/>
    <s v="WINTER15"/>
    <n v="0"/>
    <x v="645"/>
    <s v="Zoya Hegde"/>
    <n v="10.99"/>
    <n v="188.95499999999998"/>
    <n v="1878.56"/>
    <d v="2023-01-09T00:00:00"/>
    <d v="2023-01-13T00:00:00"/>
    <s v="Eric"/>
    <n v="9"/>
    <n v="1"/>
    <x v="4"/>
    <x v="0"/>
    <x v="0"/>
    <n v="2"/>
  </r>
  <r>
    <d v="2025-04-22T00:00:00"/>
    <x v="0"/>
    <x v="0"/>
    <n v="8"/>
    <n v="283.63"/>
    <x v="2"/>
    <x v="0"/>
    <n v="0.1"/>
    <x v="1"/>
    <n v="2042.136"/>
    <x v="4"/>
    <s v="SAVE10"/>
    <n v="0"/>
    <x v="646"/>
    <s v="Ashwin Desai"/>
    <n v="49.91"/>
    <n v="255.267"/>
    <n v="1992.2259999999999"/>
    <d v="2025-04-22T00:00:00"/>
    <d v="2025-04-25T00:00:00"/>
    <s v="Eric"/>
    <n v="22"/>
    <n v="4"/>
    <x v="7"/>
    <x v="2"/>
    <x v="2"/>
    <n v="17"/>
  </r>
  <r>
    <d v="2023-09-06T00:00:00"/>
    <x v="1"/>
    <x v="1"/>
    <n v="7"/>
    <n v="18.36"/>
    <x v="3"/>
    <x v="1"/>
    <n v="0.1"/>
    <x v="1"/>
    <n v="115.66800000000001"/>
    <x v="0"/>
    <s v="nan"/>
    <n v="0"/>
    <x v="647"/>
    <s v="Zara Pandey"/>
    <n v="48.92"/>
    <n v="16.524000000000001"/>
    <n v="66.748000000000005"/>
    <d v="2023-09-06T00:00:00"/>
    <d v="2023-09-11T00:00:00"/>
    <s v="Sophie"/>
    <n v="6"/>
    <n v="9"/>
    <x v="11"/>
    <x v="0"/>
    <x v="3"/>
    <n v="36"/>
  </r>
  <r>
    <d v="2023-01-21T00:00:00"/>
    <x v="0"/>
    <x v="4"/>
    <n v="9"/>
    <n v="475.38"/>
    <x v="1"/>
    <x v="0"/>
    <n v="0.1"/>
    <x v="3"/>
    <n v="3850.578"/>
    <x v="3"/>
    <s v="SAVE10"/>
    <n v="0"/>
    <x v="648"/>
    <s v="Dhruv Agarwal"/>
    <n v="39.979999999999997"/>
    <n v="427.84199999999998"/>
    <n v="3810.598"/>
    <d v="2023-01-21T00:00:00"/>
    <d v="2023-01-27T00:00:00"/>
    <s v="Eric"/>
    <n v="21"/>
    <n v="1"/>
    <x v="4"/>
    <x v="0"/>
    <x v="0"/>
    <n v="3"/>
  </r>
  <r>
    <d v="2024-04-26T00:00:00"/>
    <x v="3"/>
    <x v="3"/>
    <n v="12"/>
    <n v="591.91999999999996"/>
    <x v="3"/>
    <x v="1"/>
    <n v="0"/>
    <x v="0"/>
    <n v="7103.0399999999991"/>
    <x v="3"/>
    <s v="SAVE10"/>
    <n v="0"/>
    <x v="649"/>
    <s v="Aryan Vora"/>
    <n v="25.2"/>
    <n v="591.91999999999996"/>
    <n v="7077.8399999999992"/>
    <d v="2024-04-26T00:00:00"/>
    <d v="2024-05-06T00:00:00"/>
    <s v="Cameron"/>
    <n v="26"/>
    <n v="4"/>
    <x v="7"/>
    <x v="1"/>
    <x v="2"/>
    <n v="17"/>
  </r>
  <r>
    <d v="2023-06-27T00:00:00"/>
    <x v="2"/>
    <x v="1"/>
    <n v="7"/>
    <n v="93.23"/>
    <x v="0"/>
    <x v="1"/>
    <n v="0.05"/>
    <x v="1"/>
    <n v="619.97950000000003"/>
    <x v="2"/>
    <s v="FREESHIP"/>
    <n v="1"/>
    <x v="650"/>
    <s v="Yash Syed"/>
    <n v="6.47"/>
    <n v="88.5685"/>
    <n v="613.5095"/>
    <d v="2023-06-27T00:00:00"/>
    <d v="2023-06-30T00:00:00"/>
    <s v="Ryan"/>
    <n v="27"/>
    <n v="6"/>
    <x v="3"/>
    <x v="0"/>
    <x v="2"/>
    <n v="26"/>
  </r>
  <r>
    <d v="2023-01-01T00:00:00"/>
    <x v="0"/>
    <x v="5"/>
    <n v="15"/>
    <n v="298.70999999999998"/>
    <x v="2"/>
    <x v="1"/>
    <n v="0"/>
    <x v="5"/>
    <n v="4480.6499999999996"/>
    <x v="3"/>
    <s v="SAVE10"/>
    <n v="0"/>
    <x v="651"/>
    <s v="Pooja Mirza"/>
    <n v="11.38"/>
    <n v="298.70999999999998"/>
    <n v="4469.2699999999995"/>
    <d v="2023-01-01T00:00:00"/>
    <d v="2023-01-08T00:00:00"/>
    <s v="Eric"/>
    <n v="1"/>
    <n v="1"/>
    <x v="4"/>
    <x v="0"/>
    <x v="0"/>
    <n v="52"/>
  </r>
  <r>
    <d v="2023-12-30T00:00:00"/>
    <x v="4"/>
    <x v="5"/>
    <n v="15"/>
    <n v="52.37"/>
    <x v="1"/>
    <x v="1"/>
    <n v="0.15"/>
    <x v="4"/>
    <n v="667.71749999999997"/>
    <x v="0"/>
    <s v="SAVE10"/>
    <n v="0"/>
    <x v="652"/>
    <s v="Vikram Pillai"/>
    <n v="8.93"/>
    <n v="44.514499999999998"/>
    <n v="658.78750000000002"/>
    <d v="2023-12-30T00:00:00"/>
    <d v="2024-01-02T00:00:00"/>
    <s v="Wendy"/>
    <n v="30"/>
    <n v="12"/>
    <x v="1"/>
    <x v="0"/>
    <x v="1"/>
    <n v="52"/>
  </r>
  <r>
    <d v="2023-01-22T00:00:00"/>
    <x v="3"/>
    <x v="1"/>
    <n v="6"/>
    <n v="104.19"/>
    <x v="2"/>
    <x v="1"/>
    <n v="0.1"/>
    <x v="4"/>
    <n v="562.62599999999998"/>
    <x v="0"/>
    <s v="nan"/>
    <n v="0"/>
    <x v="653"/>
    <s v="Krish Chaudhary"/>
    <n v="8.6199999999999992"/>
    <n v="93.771000000000001"/>
    <n v="554.00599999999997"/>
    <d v="2023-01-22T00:00:00"/>
    <d v="2023-01-24T00:00:00"/>
    <s v="Cameron"/>
    <n v="22"/>
    <n v="1"/>
    <x v="4"/>
    <x v="0"/>
    <x v="0"/>
    <n v="3"/>
  </r>
  <r>
    <d v="2024-07-27T00:00:00"/>
    <x v="1"/>
    <x v="0"/>
    <n v="8"/>
    <n v="493.09"/>
    <x v="1"/>
    <x v="1"/>
    <n v="0.05"/>
    <x v="4"/>
    <n v="3747.483999999999"/>
    <x v="2"/>
    <s v="FREESHIP"/>
    <n v="0"/>
    <x v="654"/>
    <s v="Riya Bose"/>
    <n v="11.49"/>
    <n v="468.43549999999988"/>
    <n v="3735.9939999999992"/>
    <d v="2024-07-27T00:00:00"/>
    <d v="2024-08-05T00:00:00"/>
    <s v="Sophie"/>
    <n v="27"/>
    <n v="7"/>
    <x v="8"/>
    <x v="1"/>
    <x v="3"/>
    <n v="30"/>
  </r>
  <r>
    <d v="2024-01-15T00:00:00"/>
    <x v="1"/>
    <x v="3"/>
    <n v="6"/>
    <n v="291.58"/>
    <x v="0"/>
    <x v="0"/>
    <n v="0"/>
    <x v="2"/>
    <n v="1749.48"/>
    <x v="2"/>
    <s v="FREESHIP"/>
    <n v="0"/>
    <x v="655"/>
    <s v="Kavya Chawla"/>
    <n v="30.25"/>
    <n v="291.58"/>
    <n v="1719.23"/>
    <d v="2024-01-15T00:00:00"/>
    <d v="2024-01-17T00:00:00"/>
    <s v="Sophie"/>
    <n v="15"/>
    <n v="1"/>
    <x v="4"/>
    <x v="1"/>
    <x v="0"/>
    <n v="3"/>
  </r>
  <r>
    <d v="2024-01-04T00:00:00"/>
    <x v="4"/>
    <x v="5"/>
    <n v="1"/>
    <n v="103.13"/>
    <x v="0"/>
    <x v="0"/>
    <n v="0"/>
    <x v="5"/>
    <n v="103.13"/>
    <x v="0"/>
    <s v="FREESHIP"/>
    <n v="0"/>
    <x v="656"/>
    <s v="Shruti Das"/>
    <n v="42.38"/>
    <n v="103.13"/>
    <n v="60.749999999999993"/>
    <d v="2024-01-04T00:00:00"/>
    <d v="2024-01-14T00:00:00"/>
    <s v="Wendy"/>
    <n v="4"/>
    <n v="1"/>
    <x v="4"/>
    <x v="1"/>
    <x v="0"/>
    <n v="1"/>
  </r>
  <r>
    <d v="2023-02-09T00:00:00"/>
    <x v="0"/>
    <x v="4"/>
    <n v="1"/>
    <n v="541.9"/>
    <x v="1"/>
    <x v="1"/>
    <n v="0.05"/>
    <x v="0"/>
    <n v="514.80499999999995"/>
    <x v="4"/>
    <s v="WINTER15"/>
    <n v="0"/>
    <x v="657"/>
    <s v="Raj Kaur"/>
    <n v="40.35"/>
    <n v="514.80499999999995"/>
    <n v="474.45499999999993"/>
    <d v="2023-02-09T00:00:00"/>
    <d v="2023-02-19T00:00:00"/>
    <s v="Eric"/>
    <n v="9"/>
    <n v="2"/>
    <x v="0"/>
    <x v="0"/>
    <x v="0"/>
    <n v="6"/>
  </r>
  <r>
    <d v="2024-06-20T00:00:00"/>
    <x v="2"/>
    <x v="1"/>
    <n v="11"/>
    <n v="303.08999999999997"/>
    <x v="3"/>
    <x v="0"/>
    <n v="0.1"/>
    <x v="4"/>
    <n v="3000.5909999999999"/>
    <x v="0"/>
    <s v="SAVE10"/>
    <n v="0"/>
    <x v="658"/>
    <s v="Yash Yadav"/>
    <n v="21.88"/>
    <n v="272.78100000000001"/>
    <n v="2978.7109999999998"/>
    <d v="2024-06-20T00:00:00"/>
    <d v="2024-06-24T00:00:00"/>
    <s v="Ryan"/>
    <n v="20"/>
    <n v="6"/>
    <x v="3"/>
    <x v="1"/>
    <x v="2"/>
    <n v="25"/>
  </r>
  <r>
    <d v="2023-02-21T00:00:00"/>
    <x v="3"/>
    <x v="2"/>
    <n v="11"/>
    <n v="61.81"/>
    <x v="2"/>
    <x v="1"/>
    <n v="0.05"/>
    <x v="5"/>
    <n v="645.91450000000009"/>
    <x v="1"/>
    <s v="WINTER15"/>
    <n v="0"/>
    <x v="659"/>
    <s v="Pranav Mathew"/>
    <n v="47.95"/>
    <n v="58.719500000000011"/>
    <n v="597.96450000000004"/>
    <d v="2023-02-21T00:00:00"/>
    <d v="2023-03-03T00:00:00"/>
    <s v="Cameron"/>
    <n v="21"/>
    <n v="2"/>
    <x v="0"/>
    <x v="0"/>
    <x v="0"/>
    <n v="8"/>
  </r>
  <r>
    <d v="2023-08-16T00:00:00"/>
    <x v="3"/>
    <x v="2"/>
    <n v="8"/>
    <n v="355.15"/>
    <x v="0"/>
    <x v="1"/>
    <n v="0.1"/>
    <x v="3"/>
    <n v="2557.08"/>
    <x v="0"/>
    <s v="nan"/>
    <n v="1"/>
    <x v="660"/>
    <s v="Alina George"/>
    <n v="38.590000000000003"/>
    <n v="319.63499999999999"/>
    <n v="2518.4899999999998"/>
    <d v="2023-08-16T00:00:00"/>
    <d v="2023-08-24T00:00:00"/>
    <s v="Cameron"/>
    <n v="16"/>
    <n v="8"/>
    <x v="10"/>
    <x v="0"/>
    <x v="3"/>
    <n v="33"/>
  </r>
  <r>
    <d v="2023-11-03T00:00:00"/>
    <x v="4"/>
    <x v="4"/>
    <n v="11"/>
    <n v="119.84"/>
    <x v="3"/>
    <x v="0"/>
    <n v="0.1"/>
    <x v="0"/>
    <n v="1186.4159999999999"/>
    <x v="0"/>
    <s v="SAVE10"/>
    <n v="0"/>
    <x v="661"/>
    <s v="Alina Saxena"/>
    <n v="16.64"/>
    <n v="107.85599999999999"/>
    <n v="1169.7759999999998"/>
    <d v="2023-11-03T00:00:00"/>
    <d v="2023-11-11T00:00:00"/>
    <s v="Wendy"/>
    <n v="3"/>
    <n v="11"/>
    <x v="9"/>
    <x v="0"/>
    <x v="1"/>
    <n v="44"/>
  </r>
  <r>
    <d v="2024-04-26T00:00:00"/>
    <x v="1"/>
    <x v="0"/>
    <n v="16"/>
    <n v="318.32"/>
    <x v="2"/>
    <x v="0"/>
    <n v="0.05"/>
    <x v="4"/>
    <n v="4838.4639999999999"/>
    <x v="2"/>
    <s v="FREESHIP"/>
    <n v="0"/>
    <x v="662"/>
    <s v="Kabir Kaur"/>
    <n v="40.78"/>
    <n v="302.404"/>
    <n v="4797.6840000000002"/>
    <d v="2024-04-26T00:00:00"/>
    <d v="2024-05-01T00:00:00"/>
    <s v="Sophie"/>
    <n v="26"/>
    <n v="4"/>
    <x v="7"/>
    <x v="1"/>
    <x v="2"/>
    <n v="17"/>
  </r>
  <r>
    <d v="2024-10-08T00:00:00"/>
    <x v="1"/>
    <x v="2"/>
    <n v="9"/>
    <n v="446.49"/>
    <x v="3"/>
    <x v="0"/>
    <n v="0.15"/>
    <x v="3"/>
    <n v="3415.6484999999998"/>
    <x v="4"/>
    <s v="FREESHIP"/>
    <n v="0"/>
    <x v="663"/>
    <s v="Trisha Joshi"/>
    <n v="5.77"/>
    <n v="379.51649999999995"/>
    <n v="3409.8784999999998"/>
    <d v="2024-10-08T00:00:00"/>
    <d v="2024-10-17T00:00:00"/>
    <s v="Sophie"/>
    <n v="8"/>
    <n v="10"/>
    <x v="5"/>
    <x v="1"/>
    <x v="1"/>
    <n v="41"/>
  </r>
  <r>
    <d v="2023-01-09T00:00:00"/>
    <x v="1"/>
    <x v="2"/>
    <n v="16"/>
    <n v="258.82"/>
    <x v="3"/>
    <x v="1"/>
    <n v="0.1"/>
    <x v="4"/>
    <n v="3727.0079999999998"/>
    <x v="0"/>
    <s v="SAVE10"/>
    <n v="0"/>
    <x v="664"/>
    <s v="Akash Thomas"/>
    <n v="46.93"/>
    <n v="232.93799999999999"/>
    <n v="3680.078"/>
    <d v="2023-01-09T00:00:00"/>
    <d v="2023-01-17T00:00:00"/>
    <s v="Sophie"/>
    <n v="9"/>
    <n v="1"/>
    <x v="4"/>
    <x v="0"/>
    <x v="0"/>
    <n v="2"/>
  </r>
  <r>
    <d v="2023-12-25T00:00:00"/>
    <x v="2"/>
    <x v="6"/>
    <n v="9"/>
    <n v="272.68"/>
    <x v="3"/>
    <x v="0"/>
    <n v="0.05"/>
    <x v="0"/>
    <n v="2331.4140000000002"/>
    <x v="0"/>
    <s v="SAVE10"/>
    <n v="0"/>
    <x v="665"/>
    <s v="Palak Sen"/>
    <n v="16.43"/>
    <n v="259.04600000000005"/>
    <n v="2314.9840000000004"/>
    <d v="2023-12-25T00:00:00"/>
    <d v="2024-01-02T00:00:00"/>
    <s v="Ryan"/>
    <n v="25"/>
    <n v="12"/>
    <x v="1"/>
    <x v="0"/>
    <x v="1"/>
    <n v="52"/>
  </r>
  <r>
    <d v="2024-05-11T00:00:00"/>
    <x v="3"/>
    <x v="4"/>
    <n v="12"/>
    <n v="438.77"/>
    <x v="2"/>
    <x v="1"/>
    <n v="0"/>
    <x v="0"/>
    <n v="5265.24"/>
    <x v="3"/>
    <s v="SAVE10"/>
    <n v="0"/>
    <x v="666"/>
    <s v="Zoya Nair"/>
    <n v="9.31"/>
    <n v="438.77"/>
    <n v="5255.9299999999994"/>
    <d v="2024-05-11T00:00:00"/>
    <d v="2024-05-20T00:00:00"/>
    <s v="Cameron"/>
    <n v="11"/>
    <n v="5"/>
    <x v="2"/>
    <x v="1"/>
    <x v="2"/>
    <n v="19"/>
  </r>
  <r>
    <d v="2023-11-23T00:00:00"/>
    <x v="4"/>
    <x v="5"/>
    <n v="18"/>
    <n v="267.63"/>
    <x v="0"/>
    <x v="1"/>
    <n v="0"/>
    <x v="3"/>
    <n v="4817.34"/>
    <x v="1"/>
    <s v="SAVE10"/>
    <n v="0"/>
    <x v="667"/>
    <s v="Om Pathan"/>
    <n v="44.48"/>
    <n v="267.63"/>
    <n v="4772.8600000000006"/>
    <d v="2023-11-23T00:00:00"/>
    <d v="2023-11-26T00:00:00"/>
    <s v="Wendy"/>
    <n v="23"/>
    <n v="11"/>
    <x v="9"/>
    <x v="0"/>
    <x v="1"/>
    <n v="47"/>
  </r>
  <r>
    <d v="2023-12-10T00:00:00"/>
    <x v="3"/>
    <x v="6"/>
    <n v="6"/>
    <n v="115.94"/>
    <x v="1"/>
    <x v="0"/>
    <n v="0.05"/>
    <x v="3"/>
    <n v="660.85799999999995"/>
    <x v="2"/>
    <s v="SAVE10"/>
    <n v="0"/>
    <x v="668"/>
    <s v="Yash Pandey"/>
    <n v="23.91"/>
    <n v="110.14299999999999"/>
    <n v="636.94799999999998"/>
    <d v="2023-12-10T00:00:00"/>
    <d v="2023-12-12T00:00:00"/>
    <s v="Cameron"/>
    <n v="10"/>
    <n v="12"/>
    <x v="1"/>
    <x v="0"/>
    <x v="1"/>
    <n v="49"/>
  </r>
  <r>
    <d v="2024-02-03T00:00:00"/>
    <x v="2"/>
    <x v="6"/>
    <n v="19"/>
    <n v="275.77999999999997"/>
    <x v="2"/>
    <x v="1"/>
    <n v="0"/>
    <x v="2"/>
    <n v="5239.82"/>
    <x v="4"/>
    <s v="SAVE10"/>
    <n v="0"/>
    <x v="669"/>
    <s v="Charu George"/>
    <n v="47"/>
    <n v="275.77999999999997"/>
    <n v="5192.82"/>
    <d v="2024-02-03T00:00:00"/>
    <d v="2024-02-05T00:00:00"/>
    <s v="Ryan"/>
    <n v="3"/>
    <n v="2"/>
    <x v="0"/>
    <x v="1"/>
    <x v="0"/>
    <n v="5"/>
  </r>
  <r>
    <d v="2024-11-24T00:00:00"/>
    <x v="3"/>
    <x v="3"/>
    <n v="12"/>
    <n v="255.93"/>
    <x v="0"/>
    <x v="1"/>
    <n v="0"/>
    <x v="0"/>
    <n v="3071.16"/>
    <x v="4"/>
    <s v="WINTER15"/>
    <n v="0"/>
    <x v="670"/>
    <s v="Sai Nair"/>
    <n v="23.74"/>
    <n v="255.92999999999998"/>
    <n v="3047.42"/>
    <d v="2024-11-24T00:00:00"/>
    <d v="2024-12-04T00:00:00"/>
    <s v="Cameron"/>
    <n v="24"/>
    <n v="11"/>
    <x v="9"/>
    <x v="1"/>
    <x v="1"/>
    <n v="47"/>
  </r>
  <r>
    <d v="2024-03-06T00:00:00"/>
    <x v="4"/>
    <x v="1"/>
    <n v="1"/>
    <n v="381.21"/>
    <x v="3"/>
    <x v="0"/>
    <n v="0.15"/>
    <x v="5"/>
    <n v="324.02850000000001"/>
    <x v="0"/>
    <s v="nan"/>
    <n v="0"/>
    <x v="671"/>
    <s v="Ved Roy"/>
    <n v="9.9499999999999993"/>
    <n v="324.02850000000001"/>
    <n v="314.07850000000002"/>
    <d v="2024-03-06T00:00:00"/>
    <d v="2024-03-11T00:00:00"/>
    <s v="Wendy"/>
    <n v="6"/>
    <n v="3"/>
    <x v="6"/>
    <x v="1"/>
    <x v="0"/>
    <n v="10"/>
  </r>
  <r>
    <d v="2025-02-01T00:00:00"/>
    <x v="1"/>
    <x v="2"/>
    <n v="5"/>
    <n v="38.229999999999997"/>
    <x v="2"/>
    <x v="0"/>
    <n v="0.15"/>
    <x v="5"/>
    <n v="162.47749999999999"/>
    <x v="3"/>
    <s v="nan"/>
    <n v="0"/>
    <x v="672"/>
    <s v="Yash Iyer"/>
    <n v="21.06"/>
    <n v="32.4955"/>
    <n v="141.41749999999999"/>
    <d v="2025-02-01T00:00:00"/>
    <d v="2025-02-11T00:00:00"/>
    <s v="Sophie"/>
    <n v="1"/>
    <n v="2"/>
    <x v="0"/>
    <x v="2"/>
    <x v="0"/>
    <n v="5"/>
  </r>
  <r>
    <d v="2024-06-04T00:00:00"/>
    <x v="3"/>
    <x v="0"/>
    <n v="7"/>
    <n v="225.86"/>
    <x v="0"/>
    <x v="0"/>
    <n v="0"/>
    <x v="3"/>
    <n v="1581.02"/>
    <x v="3"/>
    <s v="nan"/>
    <n v="0"/>
    <x v="673"/>
    <s v="Nazia Pathan"/>
    <n v="24.48"/>
    <n v="225.85999999999999"/>
    <n v="1556.54"/>
    <d v="2024-06-04T00:00:00"/>
    <d v="2024-06-09T00:00:00"/>
    <s v="Cameron"/>
    <n v="4"/>
    <n v="6"/>
    <x v="3"/>
    <x v="1"/>
    <x v="2"/>
    <n v="23"/>
  </r>
  <r>
    <d v="2023-08-06T00:00:00"/>
    <x v="3"/>
    <x v="2"/>
    <n v="8"/>
    <n v="548.02"/>
    <x v="3"/>
    <x v="1"/>
    <n v="0.05"/>
    <x v="0"/>
    <n v="4164.9519999999993"/>
    <x v="0"/>
    <s v="nan"/>
    <n v="0"/>
    <x v="674"/>
    <s v="Atharv Mathew"/>
    <n v="33.4"/>
    <n v="520.61899999999991"/>
    <n v="4131.5519999999997"/>
    <d v="2023-08-06T00:00:00"/>
    <d v="2023-08-13T00:00:00"/>
    <s v="Cameron"/>
    <n v="6"/>
    <n v="8"/>
    <x v="10"/>
    <x v="0"/>
    <x v="3"/>
    <n v="31"/>
  </r>
  <r>
    <d v="2023-06-30T00:00:00"/>
    <x v="4"/>
    <x v="6"/>
    <n v="18"/>
    <n v="485.3"/>
    <x v="3"/>
    <x v="0"/>
    <n v="0.05"/>
    <x v="5"/>
    <n v="8298.6299999999992"/>
    <x v="3"/>
    <s v="FREESHIP"/>
    <n v="1"/>
    <x v="675"/>
    <s v="Akash Pathan"/>
    <n v="47.77"/>
    <n v="461.03499999999997"/>
    <n v="8250.8599999999988"/>
    <d v="2023-06-30T00:00:00"/>
    <d v="2023-07-05T00:00:00"/>
    <s v="Wendy"/>
    <n v="30"/>
    <n v="6"/>
    <x v="3"/>
    <x v="0"/>
    <x v="2"/>
    <n v="26"/>
  </r>
  <r>
    <d v="2023-02-15T00:00:00"/>
    <x v="4"/>
    <x v="6"/>
    <n v="19"/>
    <n v="414.31"/>
    <x v="1"/>
    <x v="1"/>
    <n v="0.1"/>
    <x v="0"/>
    <n v="7084.701"/>
    <x v="2"/>
    <s v="SAVE10"/>
    <n v="0"/>
    <x v="676"/>
    <s v="Simran Nair"/>
    <n v="17.43"/>
    <n v="372.87900000000002"/>
    <n v="7067.2709999999997"/>
    <d v="2023-02-15T00:00:00"/>
    <d v="2023-02-19T00:00:00"/>
    <s v="Wendy"/>
    <n v="15"/>
    <n v="2"/>
    <x v="0"/>
    <x v="0"/>
    <x v="0"/>
    <n v="7"/>
  </r>
  <r>
    <d v="2024-01-23T00:00:00"/>
    <x v="2"/>
    <x v="6"/>
    <n v="8"/>
    <n v="50.72"/>
    <x v="1"/>
    <x v="0"/>
    <n v="0.05"/>
    <x v="3"/>
    <n v="385.47199999999998"/>
    <x v="3"/>
    <s v="nan"/>
    <n v="0"/>
    <x v="677"/>
    <s v="Mitali Menon"/>
    <n v="12.35"/>
    <n v="48.183999999999997"/>
    <n v="373.12199999999996"/>
    <d v="2024-01-23T00:00:00"/>
    <d v="2024-01-30T00:00:00"/>
    <s v="Ryan"/>
    <n v="23"/>
    <n v="1"/>
    <x v="4"/>
    <x v="1"/>
    <x v="0"/>
    <n v="4"/>
  </r>
  <r>
    <d v="2024-10-31T00:00:00"/>
    <x v="2"/>
    <x v="5"/>
    <n v="17"/>
    <n v="83.26"/>
    <x v="1"/>
    <x v="0"/>
    <n v="0.15"/>
    <x v="0"/>
    <n v="1203.107"/>
    <x v="4"/>
    <s v="SAVE10"/>
    <n v="0"/>
    <x v="678"/>
    <s v="Dhruv Desai"/>
    <n v="42.68"/>
    <n v="70.771000000000001"/>
    <n v="1160.4269999999999"/>
    <d v="2024-10-31T00:00:00"/>
    <d v="2024-11-06T00:00:00"/>
    <s v="Ryan"/>
    <n v="31"/>
    <n v="10"/>
    <x v="5"/>
    <x v="1"/>
    <x v="1"/>
    <n v="44"/>
  </r>
  <r>
    <d v="2023-12-19T00:00:00"/>
    <x v="3"/>
    <x v="2"/>
    <n v="20"/>
    <n v="51.85"/>
    <x v="2"/>
    <x v="0"/>
    <n v="0.15"/>
    <x v="3"/>
    <n v="881.44999999999993"/>
    <x v="4"/>
    <s v="nan"/>
    <n v="0"/>
    <x v="679"/>
    <s v="Siddharth Yadav"/>
    <n v="33.159999999999997"/>
    <n v="44.072499999999998"/>
    <n v="848.29"/>
    <d v="2023-12-19T00:00:00"/>
    <d v="2023-12-21T00:00:00"/>
    <s v="Cameron"/>
    <n v="19"/>
    <n v="12"/>
    <x v="1"/>
    <x v="0"/>
    <x v="1"/>
    <n v="51"/>
  </r>
  <r>
    <d v="2023-07-04T00:00:00"/>
    <x v="1"/>
    <x v="5"/>
    <n v="12"/>
    <n v="122.51"/>
    <x v="0"/>
    <x v="0"/>
    <n v="0.05"/>
    <x v="4"/>
    <n v="1396.614"/>
    <x v="1"/>
    <s v="WINTER15"/>
    <n v="0"/>
    <x v="680"/>
    <s v="Rohan Banerjee"/>
    <n v="43.47"/>
    <n v="116.3845"/>
    <n v="1353.144"/>
    <d v="2023-07-04T00:00:00"/>
    <d v="2023-07-06T00:00:00"/>
    <s v="Sophie"/>
    <n v="4"/>
    <n v="7"/>
    <x v="8"/>
    <x v="0"/>
    <x v="3"/>
    <n v="27"/>
  </r>
  <r>
    <d v="2024-05-16T00:00:00"/>
    <x v="0"/>
    <x v="0"/>
    <n v="11"/>
    <n v="222.13"/>
    <x v="3"/>
    <x v="0"/>
    <n v="0.15"/>
    <x v="0"/>
    <n v="2076.9155000000001"/>
    <x v="4"/>
    <s v="WINTER15"/>
    <n v="1"/>
    <x v="681"/>
    <s v="Nazia Sinha"/>
    <n v="9.8800000000000008"/>
    <n v="188.81050000000002"/>
    <n v="2067.0355"/>
    <d v="2024-05-16T00:00:00"/>
    <d v="2024-05-18T00:00:00"/>
    <s v="Eric"/>
    <n v="16"/>
    <n v="5"/>
    <x v="2"/>
    <x v="1"/>
    <x v="2"/>
    <n v="20"/>
  </r>
  <r>
    <d v="2023-09-16T00:00:00"/>
    <x v="2"/>
    <x v="4"/>
    <n v="8"/>
    <n v="204.84"/>
    <x v="2"/>
    <x v="1"/>
    <n v="0"/>
    <x v="5"/>
    <n v="1638.72"/>
    <x v="4"/>
    <s v="nan"/>
    <n v="0"/>
    <x v="682"/>
    <s v="Parth Rawat"/>
    <n v="43.4"/>
    <n v="204.84"/>
    <n v="1595.32"/>
    <d v="2023-09-16T00:00:00"/>
    <d v="2023-09-21T00:00:00"/>
    <s v="Ryan"/>
    <n v="16"/>
    <n v="9"/>
    <x v="11"/>
    <x v="0"/>
    <x v="3"/>
    <n v="37"/>
  </r>
  <r>
    <d v="2024-11-22T00:00:00"/>
    <x v="0"/>
    <x v="3"/>
    <n v="3"/>
    <n v="536.97"/>
    <x v="2"/>
    <x v="0"/>
    <n v="0"/>
    <x v="3"/>
    <n v="1610.91"/>
    <x v="3"/>
    <s v="nan"/>
    <n v="0"/>
    <x v="683"/>
    <s v="Ritika Srivastava"/>
    <n v="13.86"/>
    <n v="536.97"/>
    <n v="1597.0500000000002"/>
    <d v="2024-11-22T00:00:00"/>
    <d v="2024-12-01T00:00:00"/>
    <s v="Eric"/>
    <n v="22"/>
    <n v="11"/>
    <x v="9"/>
    <x v="1"/>
    <x v="1"/>
    <n v="47"/>
  </r>
  <r>
    <d v="2024-04-13T00:00:00"/>
    <x v="4"/>
    <x v="3"/>
    <n v="15"/>
    <n v="553.01"/>
    <x v="1"/>
    <x v="1"/>
    <n v="0.1"/>
    <x v="3"/>
    <n v="7465.6350000000002"/>
    <x v="2"/>
    <s v="SAVE10"/>
    <n v="1"/>
    <x v="684"/>
    <s v="Kiara Bhargava"/>
    <n v="23.3"/>
    <n v="497.709"/>
    <n v="7442.335"/>
    <d v="2024-04-13T00:00:00"/>
    <d v="2024-04-21T00:00:00"/>
    <s v="Wendy"/>
    <n v="13"/>
    <n v="4"/>
    <x v="7"/>
    <x v="1"/>
    <x v="2"/>
    <n v="15"/>
  </r>
  <r>
    <d v="2024-06-30T00:00:00"/>
    <x v="1"/>
    <x v="3"/>
    <n v="20"/>
    <n v="284.82"/>
    <x v="3"/>
    <x v="1"/>
    <n v="0.1"/>
    <x v="1"/>
    <n v="5126.76"/>
    <x v="2"/>
    <s v="WINTER15"/>
    <n v="1"/>
    <x v="685"/>
    <s v="Aaliyah Kapoor"/>
    <n v="27"/>
    <n v="256.33800000000002"/>
    <n v="5099.76"/>
    <d v="2024-06-30T00:00:00"/>
    <d v="2024-07-06T00:00:00"/>
    <s v="Sophie"/>
    <n v="30"/>
    <n v="6"/>
    <x v="3"/>
    <x v="1"/>
    <x v="2"/>
    <n v="26"/>
  </r>
  <r>
    <d v="2024-08-29T00:00:00"/>
    <x v="2"/>
    <x v="2"/>
    <n v="18"/>
    <n v="523.87"/>
    <x v="2"/>
    <x v="1"/>
    <n v="0.15"/>
    <x v="4"/>
    <n v="8015.2109999999993"/>
    <x v="1"/>
    <s v="WINTER15"/>
    <n v="0"/>
    <x v="686"/>
    <s v="Aryan Joshi"/>
    <n v="42.63"/>
    <n v="445.28949999999998"/>
    <n v="7972.5809999999992"/>
    <d v="2024-08-29T00:00:00"/>
    <d v="2024-09-02T00:00:00"/>
    <s v="Ryan"/>
    <n v="29"/>
    <n v="8"/>
    <x v="10"/>
    <x v="1"/>
    <x v="3"/>
    <n v="35"/>
  </r>
  <r>
    <d v="2023-12-26T00:00:00"/>
    <x v="3"/>
    <x v="2"/>
    <n v="3"/>
    <n v="232.13"/>
    <x v="0"/>
    <x v="1"/>
    <n v="0.1"/>
    <x v="4"/>
    <n v="626.75099999999998"/>
    <x v="4"/>
    <s v="nan"/>
    <n v="1"/>
    <x v="687"/>
    <s v="Aryan Reddy"/>
    <n v="46.65"/>
    <n v="208.917"/>
    <n v="580.101"/>
    <d v="2023-12-26T00:00:00"/>
    <d v="2023-12-31T00:00:00"/>
    <s v="Cameron"/>
    <n v="26"/>
    <n v="12"/>
    <x v="1"/>
    <x v="0"/>
    <x v="1"/>
    <n v="52"/>
  </r>
  <r>
    <d v="2025-01-30T00:00:00"/>
    <x v="2"/>
    <x v="1"/>
    <n v="17"/>
    <n v="179.32"/>
    <x v="1"/>
    <x v="1"/>
    <n v="0.1"/>
    <x v="5"/>
    <n v="2743.596"/>
    <x v="3"/>
    <s v="SAVE10"/>
    <n v="1"/>
    <x v="688"/>
    <s v="Noor Srivastava"/>
    <n v="26.74"/>
    <n v="161.38800000000001"/>
    <n v="2716.8560000000002"/>
    <d v="2025-01-30T00:00:00"/>
    <d v="2025-02-06T00:00:00"/>
    <s v="Ryan"/>
    <n v="30"/>
    <n v="1"/>
    <x v="4"/>
    <x v="2"/>
    <x v="0"/>
    <n v="5"/>
  </r>
  <r>
    <d v="2023-05-17T00:00:00"/>
    <x v="1"/>
    <x v="3"/>
    <n v="1"/>
    <n v="396.35"/>
    <x v="0"/>
    <x v="1"/>
    <n v="0.15"/>
    <x v="2"/>
    <n v="336.89749999999998"/>
    <x v="3"/>
    <s v="SAVE10"/>
    <n v="1"/>
    <x v="689"/>
    <s v="Ritika Mukherjee"/>
    <n v="19.89"/>
    <n v="336.89749999999998"/>
    <n v="317.00749999999999"/>
    <d v="2023-05-17T00:00:00"/>
    <d v="2023-05-25T00:00:00"/>
    <s v="Sophie"/>
    <n v="17"/>
    <n v="5"/>
    <x v="2"/>
    <x v="0"/>
    <x v="2"/>
    <n v="20"/>
  </r>
  <r>
    <d v="2024-01-27T00:00:00"/>
    <x v="3"/>
    <x v="2"/>
    <n v="17"/>
    <n v="108.48"/>
    <x v="1"/>
    <x v="0"/>
    <n v="0.1"/>
    <x v="3"/>
    <n v="1659.7439999999999"/>
    <x v="0"/>
    <s v="nan"/>
    <n v="1"/>
    <x v="690"/>
    <s v="Sana Kaur"/>
    <n v="48.9"/>
    <n v="97.631999999999991"/>
    <n v="1610.8439999999998"/>
    <d v="2024-01-27T00:00:00"/>
    <d v="2024-02-05T00:00:00"/>
    <s v="Cameron"/>
    <n v="27"/>
    <n v="1"/>
    <x v="4"/>
    <x v="1"/>
    <x v="0"/>
    <n v="4"/>
  </r>
  <r>
    <d v="2025-05-26T00:00:00"/>
    <x v="0"/>
    <x v="6"/>
    <n v="10"/>
    <n v="149.66999999999999"/>
    <x v="3"/>
    <x v="1"/>
    <n v="0.1"/>
    <x v="3"/>
    <n v="1347.03"/>
    <x v="4"/>
    <s v="FREESHIP"/>
    <n v="1"/>
    <x v="691"/>
    <s v="Aryan Desai"/>
    <n v="49.67"/>
    <n v="134.703"/>
    <n v="1297.3599999999999"/>
    <d v="2025-05-26T00:00:00"/>
    <d v="2025-06-02T00:00:00"/>
    <s v="Eric"/>
    <n v="26"/>
    <n v="5"/>
    <x v="2"/>
    <x v="2"/>
    <x v="2"/>
    <n v="22"/>
  </r>
  <r>
    <d v="2025-03-09T00:00:00"/>
    <x v="2"/>
    <x v="1"/>
    <n v="1"/>
    <n v="506.41"/>
    <x v="3"/>
    <x v="0"/>
    <n v="0"/>
    <x v="5"/>
    <n v="506.41"/>
    <x v="4"/>
    <s v="nan"/>
    <n v="0"/>
    <x v="692"/>
    <s v="Manya Naidu"/>
    <n v="17.899999999999999"/>
    <n v="506.41"/>
    <n v="488.51000000000005"/>
    <d v="2025-03-09T00:00:00"/>
    <d v="2025-03-17T00:00:00"/>
    <s v="Ryan"/>
    <n v="9"/>
    <n v="3"/>
    <x v="6"/>
    <x v="2"/>
    <x v="0"/>
    <n v="10"/>
  </r>
  <r>
    <d v="2024-02-22T00:00:00"/>
    <x v="4"/>
    <x v="5"/>
    <n v="6"/>
    <n v="345.9"/>
    <x v="0"/>
    <x v="1"/>
    <n v="0.15"/>
    <x v="2"/>
    <n v="1764.09"/>
    <x v="2"/>
    <s v="WINTER15"/>
    <n v="0"/>
    <x v="693"/>
    <s v="Nisha Desai"/>
    <n v="30.58"/>
    <n v="294.01499999999999"/>
    <n v="1733.51"/>
    <d v="2024-02-22T00:00:00"/>
    <d v="2024-03-03T00:00:00"/>
    <s v="Wendy"/>
    <n v="22"/>
    <n v="2"/>
    <x v="0"/>
    <x v="1"/>
    <x v="0"/>
    <n v="8"/>
  </r>
  <r>
    <d v="2025-02-03T00:00:00"/>
    <x v="0"/>
    <x v="5"/>
    <n v="15"/>
    <n v="342.04"/>
    <x v="2"/>
    <x v="1"/>
    <n v="0.15"/>
    <x v="4"/>
    <n v="4361.01"/>
    <x v="1"/>
    <s v="WINTER15"/>
    <n v="0"/>
    <x v="694"/>
    <s v="Ashwin Iyer"/>
    <n v="44.91"/>
    <n v="290.73400000000004"/>
    <n v="4316.1000000000004"/>
    <d v="2025-02-03T00:00:00"/>
    <d v="2025-02-08T00:00:00"/>
    <s v="Eric"/>
    <n v="3"/>
    <n v="2"/>
    <x v="0"/>
    <x v="2"/>
    <x v="0"/>
    <n v="6"/>
  </r>
  <r>
    <d v="2024-01-09T00:00:00"/>
    <x v="3"/>
    <x v="6"/>
    <n v="11"/>
    <n v="404.88"/>
    <x v="1"/>
    <x v="0"/>
    <n v="0.05"/>
    <x v="1"/>
    <n v="4230.9960000000001"/>
    <x v="1"/>
    <s v="SAVE10"/>
    <n v="0"/>
    <x v="695"/>
    <s v="Raina Syed"/>
    <n v="18.920000000000002"/>
    <n v="384.63600000000002"/>
    <n v="4212.076"/>
    <d v="2024-01-09T00:00:00"/>
    <d v="2024-01-16T00:00:00"/>
    <s v="Cameron"/>
    <n v="9"/>
    <n v="1"/>
    <x v="4"/>
    <x v="1"/>
    <x v="0"/>
    <n v="2"/>
  </r>
  <r>
    <d v="2025-05-05T00:00:00"/>
    <x v="2"/>
    <x v="2"/>
    <n v="9"/>
    <n v="292.45999999999998"/>
    <x v="1"/>
    <x v="0"/>
    <n v="0.05"/>
    <x v="3"/>
    <n v="2500.5329999999999"/>
    <x v="2"/>
    <s v="nan"/>
    <n v="0"/>
    <x v="696"/>
    <s v="Parth Singh"/>
    <n v="34.26"/>
    <n v="277.83699999999999"/>
    <n v="2466.2729999999997"/>
    <d v="2025-05-05T00:00:00"/>
    <d v="2025-05-14T00:00:00"/>
    <s v="Ryan"/>
    <n v="5"/>
    <n v="5"/>
    <x v="2"/>
    <x v="2"/>
    <x v="2"/>
    <n v="19"/>
  </r>
  <r>
    <d v="2023-04-17T00:00:00"/>
    <x v="3"/>
    <x v="2"/>
    <n v="5"/>
    <n v="547.53"/>
    <x v="1"/>
    <x v="1"/>
    <n v="0.1"/>
    <x v="0"/>
    <n v="2463.8850000000002"/>
    <x v="3"/>
    <s v="nan"/>
    <n v="0"/>
    <x v="697"/>
    <s v="Parth Pandey"/>
    <n v="24.68"/>
    <n v="492.77700000000004"/>
    <n v="2439.2050000000004"/>
    <d v="2023-04-17T00:00:00"/>
    <d v="2023-04-21T00:00:00"/>
    <s v="Cameron"/>
    <n v="17"/>
    <n v="4"/>
    <x v="7"/>
    <x v="0"/>
    <x v="2"/>
    <n v="16"/>
  </r>
  <r>
    <d v="2024-06-16T00:00:00"/>
    <x v="1"/>
    <x v="2"/>
    <n v="12"/>
    <n v="348.88"/>
    <x v="2"/>
    <x v="0"/>
    <n v="0"/>
    <x v="1"/>
    <n v="4186.5599999999986"/>
    <x v="2"/>
    <s v="SAVE10"/>
    <n v="0"/>
    <x v="698"/>
    <s v="Deepak Khanna"/>
    <n v="31.28"/>
    <n v="348.87999999999988"/>
    <n v="4155.2799999999988"/>
    <d v="2024-06-16T00:00:00"/>
    <d v="2024-06-21T00:00:00"/>
    <s v="Sophie"/>
    <n v="16"/>
    <n v="6"/>
    <x v="3"/>
    <x v="1"/>
    <x v="2"/>
    <n v="24"/>
  </r>
  <r>
    <d v="2024-11-01T00:00:00"/>
    <x v="1"/>
    <x v="1"/>
    <n v="15"/>
    <n v="486.03"/>
    <x v="2"/>
    <x v="0"/>
    <n v="0"/>
    <x v="1"/>
    <n v="7290.45"/>
    <x v="3"/>
    <s v="WINTER15"/>
    <n v="0"/>
    <x v="699"/>
    <s v="Dhruv Khan"/>
    <n v="14.9"/>
    <n v="486.03"/>
    <n v="7275.55"/>
    <d v="2024-11-01T00:00:00"/>
    <d v="2024-11-04T00:00:00"/>
    <s v="Sophie"/>
    <n v="1"/>
    <n v="11"/>
    <x v="9"/>
    <x v="1"/>
    <x v="1"/>
    <n v="44"/>
  </r>
  <r>
    <d v="2025-02-07T00:00:00"/>
    <x v="0"/>
    <x v="5"/>
    <n v="14"/>
    <n v="159.09"/>
    <x v="2"/>
    <x v="1"/>
    <n v="0.15"/>
    <x v="5"/>
    <n v="1893.171"/>
    <x v="3"/>
    <s v="FREESHIP"/>
    <n v="0"/>
    <x v="700"/>
    <s v="Manish Agarwal"/>
    <n v="27.05"/>
    <n v="135.22650000000002"/>
    <n v="1866.1210000000001"/>
    <d v="2025-02-07T00:00:00"/>
    <d v="2025-02-10T00:00:00"/>
    <s v="Eric"/>
    <n v="7"/>
    <n v="2"/>
    <x v="0"/>
    <x v="2"/>
    <x v="0"/>
    <n v="6"/>
  </r>
  <r>
    <d v="2024-11-24T00:00:00"/>
    <x v="1"/>
    <x v="4"/>
    <n v="12"/>
    <n v="173.79"/>
    <x v="3"/>
    <x v="1"/>
    <n v="0.15"/>
    <x v="0"/>
    <n v="1772.6579999999999"/>
    <x v="2"/>
    <s v="nan"/>
    <n v="0"/>
    <x v="701"/>
    <s v="Meera Kaur"/>
    <n v="21.23"/>
    <n v="147.72149999999999"/>
    <n v="1751.4279999999999"/>
    <d v="2024-11-24T00:00:00"/>
    <d v="2024-12-04T00:00:00"/>
    <s v="Sophie"/>
    <n v="24"/>
    <n v="11"/>
    <x v="9"/>
    <x v="1"/>
    <x v="1"/>
    <n v="47"/>
  </r>
  <r>
    <d v="2024-04-23T00:00:00"/>
    <x v="3"/>
    <x v="4"/>
    <n v="13"/>
    <n v="439.75"/>
    <x v="1"/>
    <x v="0"/>
    <n v="0"/>
    <x v="2"/>
    <n v="5716.75"/>
    <x v="0"/>
    <s v="nan"/>
    <n v="1"/>
    <x v="702"/>
    <s v="Yash Tripathi"/>
    <n v="12.23"/>
    <n v="439.75"/>
    <n v="5704.52"/>
    <d v="2024-04-23T00:00:00"/>
    <d v="2024-05-02T00:00:00"/>
    <s v="Cameron"/>
    <n v="23"/>
    <n v="4"/>
    <x v="7"/>
    <x v="1"/>
    <x v="2"/>
    <n v="17"/>
  </r>
  <r>
    <d v="2024-06-24T00:00:00"/>
    <x v="0"/>
    <x v="0"/>
    <n v="9"/>
    <n v="265.43"/>
    <x v="3"/>
    <x v="0"/>
    <n v="0.05"/>
    <x v="0"/>
    <n v="2269.4265"/>
    <x v="2"/>
    <s v="FREESHIP"/>
    <n v="0"/>
    <x v="703"/>
    <s v="Sneha Pathan"/>
    <n v="40.18"/>
    <n v="252.1585"/>
    <n v="2229.2465000000002"/>
    <d v="2024-06-24T00:00:00"/>
    <d v="2024-06-27T00:00:00"/>
    <s v="Eric"/>
    <n v="24"/>
    <n v="6"/>
    <x v="3"/>
    <x v="1"/>
    <x v="2"/>
    <n v="26"/>
  </r>
  <r>
    <d v="2025-06-01T00:00:00"/>
    <x v="4"/>
    <x v="4"/>
    <n v="12"/>
    <n v="290.27999999999997"/>
    <x v="0"/>
    <x v="1"/>
    <n v="0.1"/>
    <x v="3"/>
    <n v="3135.0239999999999"/>
    <x v="4"/>
    <s v="FREESHIP"/>
    <n v="1"/>
    <x v="704"/>
    <s v="Mohit Mirza"/>
    <n v="5.55"/>
    <n v="261.25200000000001"/>
    <n v="3129.4739999999997"/>
    <d v="2025-06-01T00:00:00"/>
    <d v="2025-06-07T00:00:00"/>
    <s v="Wendy"/>
    <n v="1"/>
    <n v="6"/>
    <x v="3"/>
    <x v="2"/>
    <x v="2"/>
    <n v="22"/>
  </r>
  <r>
    <d v="2023-03-12T00:00:00"/>
    <x v="4"/>
    <x v="5"/>
    <n v="6"/>
    <n v="88.7"/>
    <x v="0"/>
    <x v="0"/>
    <n v="0"/>
    <x v="3"/>
    <n v="532.20000000000005"/>
    <x v="1"/>
    <s v="nan"/>
    <n v="0"/>
    <x v="705"/>
    <s v="Sai Bhargava"/>
    <n v="16.98"/>
    <n v="88.7"/>
    <n v="515.22"/>
    <d v="2023-03-12T00:00:00"/>
    <d v="2023-03-14T00:00:00"/>
    <s v="Wendy"/>
    <n v="12"/>
    <n v="3"/>
    <x v="6"/>
    <x v="0"/>
    <x v="0"/>
    <n v="10"/>
  </r>
  <r>
    <d v="2024-11-11T00:00:00"/>
    <x v="3"/>
    <x v="2"/>
    <n v="2"/>
    <n v="239.69"/>
    <x v="2"/>
    <x v="1"/>
    <n v="0"/>
    <x v="4"/>
    <n v="479.38"/>
    <x v="2"/>
    <s v="WINTER15"/>
    <n v="0"/>
    <x v="706"/>
    <s v="Rukhsar Kulkarni"/>
    <n v="28.96"/>
    <n v="239.69"/>
    <n v="450.42"/>
    <d v="2024-11-11T00:00:00"/>
    <d v="2024-11-19T00:00:00"/>
    <s v="Cameron"/>
    <n v="11"/>
    <n v="11"/>
    <x v="9"/>
    <x v="1"/>
    <x v="1"/>
    <n v="46"/>
  </r>
  <r>
    <d v="2024-10-17T00:00:00"/>
    <x v="3"/>
    <x v="5"/>
    <n v="8"/>
    <n v="39.79"/>
    <x v="2"/>
    <x v="1"/>
    <n v="0.1"/>
    <x v="5"/>
    <n v="286.488"/>
    <x v="2"/>
    <s v="SAVE10"/>
    <n v="0"/>
    <x v="707"/>
    <s v="Aaliyah Dubey"/>
    <n v="46.16"/>
    <n v="35.811"/>
    <n v="240.328"/>
    <d v="2024-10-17T00:00:00"/>
    <d v="2024-10-26T00:00:00"/>
    <s v="Cameron"/>
    <n v="17"/>
    <n v="10"/>
    <x v="5"/>
    <x v="1"/>
    <x v="1"/>
    <n v="42"/>
  </r>
  <r>
    <d v="2023-05-10T00:00:00"/>
    <x v="0"/>
    <x v="6"/>
    <n v="18"/>
    <n v="206.8"/>
    <x v="1"/>
    <x v="1"/>
    <n v="0.05"/>
    <x v="2"/>
    <n v="3536.28"/>
    <x v="3"/>
    <s v="FREESHIP"/>
    <n v="1"/>
    <x v="708"/>
    <s v="Rukhsar Vora"/>
    <n v="39.25"/>
    <n v="196.46"/>
    <n v="3497.03"/>
    <d v="2023-05-10T00:00:00"/>
    <d v="2023-05-13T00:00:00"/>
    <s v="Eric"/>
    <n v="10"/>
    <n v="5"/>
    <x v="2"/>
    <x v="0"/>
    <x v="2"/>
    <n v="19"/>
  </r>
  <r>
    <d v="2023-07-29T00:00:00"/>
    <x v="0"/>
    <x v="0"/>
    <n v="18"/>
    <n v="175.81"/>
    <x v="2"/>
    <x v="1"/>
    <n v="0"/>
    <x v="0"/>
    <n v="3164.58"/>
    <x v="1"/>
    <s v="WINTER15"/>
    <n v="1"/>
    <x v="709"/>
    <s v="Trisha Gupta"/>
    <n v="26.97"/>
    <n v="175.81"/>
    <n v="3137.61"/>
    <d v="2023-07-29T00:00:00"/>
    <d v="2023-08-07T00:00:00"/>
    <s v="Eric"/>
    <n v="29"/>
    <n v="7"/>
    <x v="8"/>
    <x v="0"/>
    <x v="3"/>
    <n v="30"/>
  </r>
  <r>
    <d v="2023-08-26T00:00:00"/>
    <x v="3"/>
    <x v="1"/>
    <n v="14"/>
    <n v="547.36"/>
    <x v="2"/>
    <x v="1"/>
    <n v="0.15"/>
    <x v="4"/>
    <n v="6513.5839999999998"/>
    <x v="0"/>
    <s v="FREESHIP"/>
    <n v="0"/>
    <x v="710"/>
    <s v="Kiara Thakur"/>
    <n v="25.24"/>
    <n v="465.25599999999997"/>
    <n v="6488.3440000000001"/>
    <d v="2023-08-26T00:00:00"/>
    <d v="2023-08-29T00:00:00"/>
    <s v="Cameron"/>
    <n v="26"/>
    <n v="8"/>
    <x v="10"/>
    <x v="0"/>
    <x v="3"/>
    <n v="34"/>
  </r>
  <r>
    <d v="2023-12-28T00:00:00"/>
    <x v="0"/>
    <x v="0"/>
    <n v="19"/>
    <n v="374.8"/>
    <x v="1"/>
    <x v="1"/>
    <n v="0.05"/>
    <x v="3"/>
    <n v="6765.1399999999994"/>
    <x v="0"/>
    <s v="WINTER15"/>
    <n v="0"/>
    <x v="711"/>
    <s v="Aisha Thomas"/>
    <n v="41.67"/>
    <n v="356.05999999999995"/>
    <n v="6723.4699999999993"/>
    <d v="2023-12-28T00:00:00"/>
    <d v="2024-01-03T00:00:00"/>
    <s v="Eric"/>
    <n v="28"/>
    <n v="12"/>
    <x v="1"/>
    <x v="0"/>
    <x v="1"/>
    <n v="52"/>
  </r>
  <r>
    <d v="2025-03-10T00:00:00"/>
    <x v="2"/>
    <x v="5"/>
    <n v="9"/>
    <n v="507.74"/>
    <x v="3"/>
    <x v="1"/>
    <n v="0.15"/>
    <x v="5"/>
    <n v="3884.2109999999998"/>
    <x v="4"/>
    <s v="FREESHIP"/>
    <n v="1"/>
    <x v="712"/>
    <s v="Nazia Roy"/>
    <n v="22.08"/>
    <n v="431.57899999999995"/>
    <n v="3862.1309999999999"/>
    <d v="2025-03-10T00:00:00"/>
    <d v="2025-03-17T00:00:00"/>
    <s v="Ryan"/>
    <n v="10"/>
    <n v="3"/>
    <x v="6"/>
    <x v="2"/>
    <x v="0"/>
    <n v="11"/>
  </r>
  <r>
    <d v="2023-09-09T00:00:00"/>
    <x v="3"/>
    <x v="2"/>
    <n v="1"/>
    <n v="223.56"/>
    <x v="0"/>
    <x v="0"/>
    <n v="0.15"/>
    <x v="5"/>
    <n v="190.02600000000001"/>
    <x v="2"/>
    <s v="WINTER15"/>
    <n v="0"/>
    <x v="713"/>
    <s v="Mitali Mishra"/>
    <n v="37.840000000000003"/>
    <n v="190.02600000000001"/>
    <n v="152.18600000000001"/>
    <d v="2023-09-09T00:00:00"/>
    <d v="2023-09-14T00:00:00"/>
    <s v="Cameron"/>
    <n v="9"/>
    <n v="9"/>
    <x v="11"/>
    <x v="0"/>
    <x v="3"/>
    <n v="36"/>
  </r>
  <r>
    <d v="2023-05-28T00:00:00"/>
    <x v="2"/>
    <x v="5"/>
    <n v="2"/>
    <n v="294.27"/>
    <x v="2"/>
    <x v="1"/>
    <n v="0.1"/>
    <x v="4"/>
    <n v="529.68600000000004"/>
    <x v="1"/>
    <s v="nan"/>
    <n v="0"/>
    <x v="714"/>
    <s v="Kunal Bose"/>
    <n v="9.0500000000000007"/>
    <n v="264.84300000000002"/>
    <n v="520.63600000000008"/>
    <d v="2023-05-28T00:00:00"/>
    <d v="2023-06-01T00:00:00"/>
    <s v="Ryan"/>
    <n v="28"/>
    <n v="5"/>
    <x v="2"/>
    <x v="0"/>
    <x v="2"/>
    <n v="21"/>
  </r>
  <r>
    <d v="2025-05-21T00:00:00"/>
    <x v="4"/>
    <x v="4"/>
    <n v="1"/>
    <n v="319.49"/>
    <x v="2"/>
    <x v="0"/>
    <n v="0.15"/>
    <x v="4"/>
    <n v="271.56650000000002"/>
    <x v="0"/>
    <s v="FREESHIP"/>
    <n v="1"/>
    <x v="715"/>
    <s v="Manya Ansari"/>
    <n v="18.100000000000001"/>
    <n v="271.56650000000002"/>
    <n v="253.46650000000002"/>
    <d v="2025-05-21T00:00:00"/>
    <d v="2025-05-31T00:00:00"/>
    <s v="Wendy"/>
    <n v="21"/>
    <n v="5"/>
    <x v="2"/>
    <x v="2"/>
    <x v="2"/>
    <n v="21"/>
  </r>
  <r>
    <d v="2023-09-30T00:00:00"/>
    <x v="0"/>
    <x v="0"/>
    <n v="14"/>
    <n v="243.96"/>
    <x v="3"/>
    <x v="0"/>
    <n v="0.05"/>
    <x v="4"/>
    <n v="3244.6680000000001"/>
    <x v="0"/>
    <s v="nan"/>
    <n v="1"/>
    <x v="716"/>
    <s v="Manish Rawat"/>
    <n v="13.24"/>
    <n v="231.762"/>
    <n v="3231.4280000000003"/>
    <d v="2023-09-30T00:00:00"/>
    <d v="2023-10-04T00:00:00"/>
    <s v="Eric"/>
    <n v="30"/>
    <n v="9"/>
    <x v="11"/>
    <x v="0"/>
    <x v="3"/>
    <n v="39"/>
  </r>
  <r>
    <d v="2024-10-08T00:00:00"/>
    <x v="1"/>
    <x v="0"/>
    <n v="6"/>
    <n v="48.48"/>
    <x v="3"/>
    <x v="1"/>
    <n v="0.1"/>
    <x v="4"/>
    <n v="261.79199999999997"/>
    <x v="0"/>
    <s v="nan"/>
    <n v="0"/>
    <x v="717"/>
    <s v="Sara Thomas"/>
    <n v="6.11"/>
    <n v="43.631999999999998"/>
    <n v="255.68199999999996"/>
    <d v="2024-10-08T00:00:00"/>
    <d v="2024-10-13T00:00:00"/>
    <s v="Sophie"/>
    <n v="8"/>
    <n v="10"/>
    <x v="5"/>
    <x v="1"/>
    <x v="1"/>
    <n v="41"/>
  </r>
  <r>
    <d v="2023-04-14T00:00:00"/>
    <x v="0"/>
    <x v="0"/>
    <n v="20"/>
    <n v="87.47"/>
    <x v="0"/>
    <x v="1"/>
    <n v="0"/>
    <x v="3"/>
    <n v="1749.4"/>
    <x v="0"/>
    <s v="WINTER15"/>
    <n v="0"/>
    <x v="718"/>
    <s v="Aman Das"/>
    <n v="48.48"/>
    <n v="87.47"/>
    <n v="1700.92"/>
    <d v="2023-04-14T00:00:00"/>
    <d v="2023-04-23T00:00:00"/>
    <s v="Eric"/>
    <n v="14"/>
    <n v="4"/>
    <x v="7"/>
    <x v="0"/>
    <x v="2"/>
    <n v="15"/>
  </r>
  <r>
    <d v="2023-03-05T00:00:00"/>
    <x v="1"/>
    <x v="4"/>
    <n v="17"/>
    <n v="465.6"/>
    <x v="2"/>
    <x v="1"/>
    <n v="0.1"/>
    <x v="5"/>
    <n v="7123.6800000000012"/>
    <x v="3"/>
    <s v="SAVE10"/>
    <n v="0"/>
    <x v="719"/>
    <s v="Sana Shah"/>
    <n v="7.76"/>
    <n v="419.04000000000008"/>
    <n v="7115.920000000001"/>
    <d v="2023-03-05T00:00:00"/>
    <d v="2023-03-10T00:00:00"/>
    <s v="Sophie"/>
    <n v="5"/>
    <n v="3"/>
    <x v="6"/>
    <x v="0"/>
    <x v="0"/>
    <n v="9"/>
  </r>
  <r>
    <d v="2024-07-17T00:00:00"/>
    <x v="2"/>
    <x v="2"/>
    <n v="17"/>
    <n v="279.38"/>
    <x v="0"/>
    <x v="0"/>
    <n v="0.05"/>
    <x v="2"/>
    <n v="4511.9870000000001"/>
    <x v="2"/>
    <s v="WINTER15"/>
    <n v="0"/>
    <x v="720"/>
    <s v="Shruti Kapoor"/>
    <n v="30.3"/>
    <n v="265.411"/>
    <n v="4481.6869999999999"/>
    <d v="2024-07-17T00:00:00"/>
    <d v="2024-07-20T00:00:00"/>
    <s v="Ryan"/>
    <n v="17"/>
    <n v="7"/>
    <x v="8"/>
    <x v="1"/>
    <x v="3"/>
    <n v="29"/>
  </r>
  <r>
    <d v="2024-05-20T00:00:00"/>
    <x v="2"/>
    <x v="5"/>
    <n v="16"/>
    <n v="427.68"/>
    <x v="1"/>
    <x v="1"/>
    <n v="0.1"/>
    <x v="3"/>
    <n v="6158.5920000000006"/>
    <x v="3"/>
    <s v="nan"/>
    <n v="0"/>
    <x v="721"/>
    <s v="Abhishek Rawat"/>
    <n v="18.72"/>
    <n v="384.91200000000003"/>
    <n v="6139.8720000000003"/>
    <d v="2024-05-20T00:00:00"/>
    <d v="2024-05-29T00:00:00"/>
    <s v="Ryan"/>
    <n v="20"/>
    <n v="5"/>
    <x v="2"/>
    <x v="1"/>
    <x v="2"/>
    <n v="21"/>
  </r>
  <r>
    <d v="2025-05-06T00:00:00"/>
    <x v="2"/>
    <x v="0"/>
    <n v="15"/>
    <n v="281.73"/>
    <x v="0"/>
    <x v="0"/>
    <n v="0.1"/>
    <x v="5"/>
    <n v="3803.3550000000009"/>
    <x v="2"/>
    <s v="WINTER15"/>
    <n v="0"/>
    <x v="722"/>
    <s v="Fatima Menon"/>
    <n v="36.869999999999997"/>
    <n v="253.55700000000007"/>
    <n v="3766.485000000001"/>
    <d v="2025-05-06T00:00:00"/>
    <d v="2025-05-10T00:00:00"/>
    <s v="Ryan"/>
    <n v="6"/>
    <n v="5"/>
    <x v="2"/>
    <x v="2"/>
    <x v="2"/>
    <n v="19"/>
  </r>
  <r>
    <d v="2023-01-15T00:00:00"/>
    <x v="2"/>
    <x v="2"/>
    <n v="15"/>
    <n v="185"/>
    <x v="0"/>
    <x v="0"/>
    <n v="0"/>
    <x v="1"/>
    <n v="2775"/>
    <x v="4"/>
    <s v="FREESHIP"/>
    <n v="0"/>
    <x v="723"/>
    <s v="Ankit Jain"/>
    <n v="29.31"/>
    <n v="185"/>
    <n v="2745.69"/>
    <d v="2023-01-15T00:00:00"/>
    <d v="2023-01-17T00:00:00"/>
    <s v="Ryan"/>
    <n v="15"/>
    <n v="1"/>
    <x v="4"/>
    <x v="0"/>
    <x v="0"/>
    <n v="2"/>
  </r>
  <r>
    <d v="2024-01-09T00:00:00"/>
    <x v="3"/>
    <x v="4"/>
    <n v="19"/>
    <n v="380.82"/>
    <x v="3"/>
    <x v="0"/>
    <n v="0.1"/>
    <x v="4"/>
    <n v="6512.0219999999999"/>
    <x v="2"/>
    <s v="SAVE10"/>
    <n v="0"/>
    <x v="724"/>
    <s v="Ritika Desai"/>
    <n v="48.73"/>
    <n v="342.738"/>
    <n v="6463.2920000000004"/>
    <d v="2024-01-09T00:00:00"/>
    <d v="2024-01-12T00:00:00"/>
    <s v="Cameron"/>
    <n v="9"/>
    <n v="1"/>
    <x v="4"/>
    <x v="1"/>
    <x v="0"/>
    <n v="2"/>
  </r>
  <r>
    <d v="2023-07-12T00:00:00"/>
    <x v="1"/>
    <x v="3"/>
    <n v="4"/>
    <n v="444.87"/>
    <x v="0"/>
    <x v="1"/>
    <n v="0.15"/>
    <x v="3"/>
    <n v="1512.558"/>
    <x v="0"/>
    <s v="FREESHIP"/>
    <n v="0"/>
    <x v="725"/>
    <s v="Aman Dutta"/>
    <n v="47.14"/>
    <n v="378.1395"/>
    <n v="1465.4179999999999"/>
    <d v="2023-07-12T00:00:00"/>
    <d v="2023-07-21T00:00:00"/>
    <s v="Sophie"/>
    <n v="12"/>
    <n v="7"/>
    <x v="8"/>
    <x v="0"/>
    <x v="3"/>
    <n v="28"/>
  </r>
  <r>
    <d v="2025-06-21T00:00:00"/>
    <x v="0"/>
    <x v="3"/>
    <n v="7"/>
    <n v="590.79"/>
    <x v="0"/>
    <x v="1"/>
    <n v="0.05"/>
    <x v="0"/>
    <n v="3928.7534999999989"/>
    <x v="4"/>
    <s v="FREESHIP"/>
    <n v="1"/>
    <x v="726"/>
    <s v="Mitali Syed"/>
    <n v="41.39"/>
    <n v="561.25049999999987"/>
    <n v="3887.363499999999"/>
    <d v="2025-06-21T00:00:00"/>
    <d v="2025-06-26T00:00:00"/>
    <s v="Eric"/>
    <n v="21"/>
    <n v="6"/>
    <x v="3"/>
    <x v="2"/>
    <x v="2"/>
    <n v="25"/>
  </r>
  <r>
    <d v="2024-12-29T00:00:00"/>
    <x v="2"/>
    <x v="6"/>
    <n v="5"/>
    <n v="34.58"/>
    <x v="1"/>
    <x v="1"/>
    <n v="0.1"/>
    <x v="2"/>
    <n v="155.61000000000001"/>
    <x v="1"/>
    <s v="WINTER15"/>
    <n v="0"/>
    <x v="727"/>
    <s v="Riya D'Souza"/>
    <n v="27.1"/>
    <n v="31.122000000000003"/>
    <n v="128.51000000000002"/>
    <d v="2024-12-29T00:00:00"/>
    <d v="2025-01-02T00:00:00"/>
    <s v="Ryan"/>
    <n v="29"/>
    <n v="12"/>
    <x v="1"/>
    <x v="1"/>
    <x v="1"/>
    <n v="52"/>
  </r>
  <r>
    <d v="2023-05-23T00:00:00"/>
    <x v="4"/>
    <x v="5"/>
    <n v="9"/>
    <n v="438.22"/>
    <x v="3"/>
    <x v="1"/>
    <n v="0.05"/>
    <x v="5"/>
    <n v="3746.7809999999999"/>
    <x v="4"/>
    <s v="nan"/>
    <n v="0"/>
    <x v="728"/>
    <s v="Krish Mehta"/>
    <n v="22.73"/>
    <n v="416.30899999999997"/>
    <n v="3724.0509999999999"/>
    <d v="2023-05-23T00:00:00"/>
    <d v="2023-05-29T00:00:00"/>
    <s v="Wendy"/>
    <n v="23"/>
    <n v="5"/>
    <x v="2"/>
    <x v="0"/>
    <x v="2"/>
    <n v="21"/>
  </r>
  <r>
    <d v="2024-04-03T00:00:00"/>
    <x v="3"/>
    <x v="2"/>
    <n v="5"/>
    <n v="84.91"/>
    <x v="1"/>
    <x v="1"/>
    <n v="0.1"/>
    <x v="3"/>
    <n v="382.09500000000003"/>
    <x v="4"/>
    <s v="FREESHIP"/>
    <n v="1"/>
    <x v="729"/>
    <s v="Avni Kapoor"/>
    <n v="29.06"/>
    <n v="76.419000000000011"/>
    <n v="353.03500000000003"/>
    <d v="2024-04-03T00:00:00"/>
    <d v="2024-04-09T00:00:00"/>
    <s v="Cameron"/>
    <n v="3"/>
    <n v="4"/>
    <x v="7"/>
    <x v="1"/>
    <x v="2"/>
    <n v="14"/>
  </r>
  <r>
    <d v="2024-01-17T00:00:00"/>
    <x v="0"/>
    <x v="0"/>
    <n v="7"/>
    <n v="322.11"/>
    <x v="2"/>
    <x v="0"/>
    <n v="0.1"/>
    <x v="4"/>
    <n v="2029.2929999999999"/>
    <x v="3"/>
    <s v="SAVE10"/>
    <n v="0"/>
    <x v="730"/>
    <s v="Zara Pathan"/>
    <n v="19.91"/>
    <n v="289.899"/>
    <n v="2009.3829999999998"/>
    <d v="2024-01-17T00:00:00"/>
    <d v="2024-01-27T00:00:00"/>
    <s v="Eric"/>
    <n v="17"/>
    <n v="1"/>
    <x v="4"/>
    <x v="1"/>
    <x v="0"/>
    <n v="3"/>
  </r>
  <r>
    <d v="2025-04-05T00:00:00"/>
    <x v="3"/>
    <x v="4"/>
    <n v="2"/>
    <n v="231.96"/>
    <x v="0"/>
    <x v="1"/>
    <n v="0.1"/>
    <x v="1"/>
    <n v="417.52800000000002"/>
    <x v="3"/>
    <s v="nan"/>
    <n v="1"/>
    <x v="731"/>
    <s v="Ved Bose"/>
    <n v="32.659999999999997"/>
    <n v="208.76400000000001"/>
    <n v="384.86800000000005"/>
    <d v="2025-04-05T00:00:00"/>
    <d v="2025-04-14T00:00:00"/>
    <s v="Cameron"/>
    <n v="5"/>
    <n v="4"/>
    <x v="7"/>
    <x v="2"/>
    <x v="2"/>
    <n v="14"/>
  </r>
  <r>
    <d v="2025-04-17T00:00:00"/>
    <x v="3"/>
    <x v="3"/>
    <n v="15"/>
    <n v="242.07"/>
    <x v="1"/>
    <x v="0"/>
    <n v="0.15"/>
    <x v="5"/>
    <n v="3086.392499999999"/>
    <x v="2"/>
    <s v="nan"/>
    <n v="0"/>
    <x v="732"/>
    <s v="Atharv Desai"/>
    <n v="19.18"/>
    <n v="205.75949999999995"/>
    <n v="3067.2124999999992"/>
    <d v="2025-04-17T00:00:00"/>
    <d v="2025-04-23T00:00:00"/>
    <s v="Cameron"/>
    <n v="17"/>
    <n v="4"/>
    <x v="7"/>
    <x v="2"/>
    <x v="2"/>
    <n v="16"/>
  </r>
  <r>
    <d v="2024-10-12T00:00:00"/>
    <x v="3"/>
    <x v="0"/>
    <n v="2"/>
    <n v="48.02"/>
    <x v="2"/>
    <x v="1"/>
    <n v="0.05"/>
    <x v="3"/>
    <n v="91.238"/>
    <x v="3"/>
    <s v="FREESHIP"/>
    <n v="1"/>
    <x v="733"/>
    <s v="Ved Agarwal"/>
    <n v="25.81"/>
    <n v="45.619"/>
    <n v="65.427999999999997"/>
    <d v="2024-10-12T00:00:00"/>
    <d v="2024-10-15T00:00:00"/>
    <s v="Cameron"/>
    <n v="12"/>
    <n v="10"/>
    <x v="5"/>
    <x v="1"/>
    <x v="1"/>
    <n v="41"/>
  </r>
  <r>
    <d v="2024-07-27T00:00:00"/>
    <x v="3"/>
    <x v="3"/>
    <n v="1"/>
    <n v="534.28"/>
    <x v="3"/>
    <x v="0"/>
    <n v="0.1"/>
    <x v="0"/>
    <n v="480.85199999999998"/>
    <x v="0"/>
    <s v="FREESHIP"/>
    <n v="0"/>
    <x v="734"/>
    <s v="Arjun Chopra"/>
    <n v="31.3"/>
    <n v="480.85199999999998"/>
    <n v="449.55199999999996"/>
    <d v="2024-07-27T00:00:00"/>
    <d v="2024-08-01T00:00:00"/>
    <s v="Cameron"/>
    <n v="27"/>
    <n v="7"/>
    <x v="8"/>
    <x v="1"/>
    <x v="3"/>
    <n v="30"/>
  </r>
  <r>
    <d v="2025-01-10T00:00:00"/>
    <x v="4"/>
    <x v="5"/>
    <n v="3"/>
    <n v="98.15"/>
    <x v="3"/>
    <x v="0"/>
    <n v="0.15"/>
    <x v="4"/>
    <n v="250.2825"/>
    <x v="3"/>
    <s v="SAVE10"/>
    <n v="0"/>
    <x v="735"/>
    <s v="Sneha Bansal"/>
    <n v="46.37"/>
    <n v="83.427499999999995"/>
    <n v="203.91249999999999"/>
    <d v="2025-01-10T00:00:00"/>
    <d v="2025-01-18T00:00:00"/>
    <s v="Wendy"/>
    <n v="10"/>
    <n v="1"/>
    <x v="4"/>
    <x v="2"/>
    <x v="0"/>
    <n v="2"/>
  </r>
  <r>
    <d v="2024-07-25T00:00:00"/>
    <x v="1"/>
    <x v="3"/>
    <n v="12"/>
    <n v="61.85"/>
    <x v="3"/>
    <x v="0"/>
    <n v="0.05"/>
    <x v="1"/>
    <n v="705.09"/>
    <x v="2"/>
    <s v="nan"/>
    <n v="1"/>
    <x v="736"/>
    <s v="Riya Shah"/>
    <n v="24.34"/>
    <n v="58.7575"/>
    <n v="680.75"/>
    <d v="2024-07-25T00:00:00"/>
    <d v="2024-07-31T00:00:00"/>
    <s v="Sophie"/>
    <n v="25"/>
    <n v="7"/>
    <x v="8"/>
    <x v="1"/>
    <x v="3"/>
    <n v="30"/>
  </r>
  <r>
    <d v="2024-05-22T00:00:00"/>
    <x v="4"/>
    <x v="5"/>
    <n v="6"/>
    <n v="268.33999999999997"/>
    <x v="1"/>
    <x v="0"/>
    <n v="0.1"/>
    <x v="4"/>
    <n v="1449.0360000000001"/>
    <x v="3"/>
    <s v="WINTER15"/>
    <n v="1"/>
    <x v="737"/>
    <s v="Sai Roy"/>
    <n v="35.69"/>
    <n v="241.506"/>
    <n v="1413.346"/>
    <d v="2024-05-22T00:00:00"/>
    <d v="2024-05-25T00:00:00"/>
    <s v="Wendy"/>
    <n v="22"/>
    <n v="5"/>
    <x v="2"/>
    <x v="1"/>
    <x v="2"/>
    <n v="21"/>
  </r>
  <r>
    <d v="2024-08-10T00:00:00"/>
    <x v="3"/>
    <x v="2"/>
    <n v="4"/>
    <n v="529.03"/>
    <x v="0"/>
    <x v="0"/>
    <n v="0.05"/>
    <x v="3"/>
    <n v="2010.3140000000001"/>
    <x v="0"/>
    <s v="SAVE10"/>
    <n v="0"/>
    <x v="738"/>
    <s v="Akash Shah"/>
    <n v="25.96"/>
    <n v="502.57850000000002"/>
    <n v="1984.354"/>
    <d v="2024-08-10T00:00:00"/>
    <d v="2024-08-20T00:00:00"/>
    <s v="Cameron"/>
    <n v="10"/>
    <n v="8"/>
    <x v="10"/>
    <x v="1"/>
    <x v="3"/>
    <n v="32"/>
  </r>
  <r>
    <d v="2023-04-27T00:00:00"/>
    <x v="4"/>
    <x v="5"/>
    <n v="2"/>
    <n v="107.32"/>
    <x v="0"/>
    <x v="1"/>
    <n v="0.05"/>
    <x v="1"/>
    <n v="203.90799999999999"/>
    <x v="2"/>
    <s v="nan"/>
    <n v="0"/>
    <x v="739"/>
    <s v="Akash George"/>
    <n v="47.33"/>
    <n v="101.95399999999999"/>
    <n v="156.57799999999997"/>
    <d v="2023-04-27T00:00:00"/>
    <d v="2023-04-29T00:00:00"/>
    <s v="Wendy"/>
    <n v="27"/>
    <n v="4"/>
    <x v="7"/>
    <x v="0"/>
    <x v="2"/>
    <n v="17"/>
  </r>
  <r>
    <d v="2023-06-21T00:00:00"/>
    <x v="1"/>
    <x v="5"/>
    <n v="1"/>
    <n v="500.96"/>
    <x v="2"/>
    <x v="0"/>
    <n v="0.05"/>
    <x v="2"/>
    <n v="475.91199999999998"/>
    <x v="0"/>
    <s v="WINTER15"/>
    <n v="0"/>
    <x v="740"/>
    <s v="Nazia Sharma"/>
    <n v="42.1"/>
    <n v="475.91199999999998"/>
    <n v="433.81199999999995"/>
    <d v="2023-06-21T00:00:00"/>
    <d v="2023-06-25T00:00:00"/>
    <s v="Sophie"/>
    <n v="21"/>
    <n v="6"/>
    <x v="3"/>
    <x v="0"/>
    <x v="2"/>
    <n v="25"/>
  </r>
  <r>
    <d v="2024-10-11T00:00:00"/>
    <x v="4"/>
    <x v="6"/>
    <n v="17"/>
    <n v="549.78"/>
    <x v="0"/>
    <x v="0"/>
    <n v="0.05"/>
    <x v="1"/>
    <n v="8878.9470000000001"/>
    <x v="2"/>
    <s v="nan"/>
    <n v="1"/>
    <x v="741"/>
    <s v="Priya Singh"/>
    <n v="44.42"/>
    <n v="522.29100000000005"/>
    <n v="8834.527"/>
    <d v="2024-10-11T00:00:00"/>
    <d v="2024-10-14T00:00:00"/>
    <s v="Wendy"/>
    <n v="11"/>
    <n v="10"/>
    <x v="5"/>
    <x v="1"/>
    <x v="1"/>
    <n v="41"/>
  </r>
  <r>
    <d v="2025-01-26T00:00:00"/>
    <x v="2"/>
    <x v="0"/>
    <n v="3"/>
    <n v="58.51"/>
    <x v="1"/>
    <x v="1"/>
    <n v="0.05"/>
    <x v="3"/>
    <n v="166.7535"/>
    <x v="4"/>
    <s v="WINTER15"/>
    <n v="0"/>
    <x v="742"/>
    <s v="Shruti Khanna"/>
    <n v="23.57"/>
    <n v="55.584499999999998"/>
    <n v="143.18350000000001"/>
    <d v="2025-01-26T00:00:00"/>
    <d v="2025-01-30T00:00:00"/>
    <s v="Ryan"/>
    <n v="26"/>
    <n v="1"/>
    <x v="4"/>
    <x v="2"/>
    <x v="0"/>
    <n v="4"/>
  </r>
  <r>
    <d v="2024-06-18T00:00:00"/>
    <x v="1"/>
    <x v="3"/>
    <n v="17"/>
    <n v="504.08"/>
    <x v="1"/>
    <x v="0"/>
    <n v="0.1"/>
    <x v="4"/>
    <n v="7712.4240000000009"/>
    <x v="0"/>
    <s v="SAVE10"/>
    <n v="0"/>
    <x v="743"/>
    <s v="Simran Mirza"/>
    <n v="26.47"/>
    <n v="453.67200000000003"/>
    <n v="7685.9540000000006"/>
    <d v="2024-06-18T00:00:00"/>
    <d v="2024-06-26T00:00:00"/>
    <s v="Sophie"/>
    <n v="18"/>
    <n v="6"/>
    <x v="3"/>
    <x v="1"/>
    <x v="2"/>
    <n v="25"/>
  </r>
  <r>
    <d v="2025-06-18T00:00:00"/>
    <x v="0"/>
    <x v="4"/>
    <n v="17"/>
    <n v="419.63"/>
    <x v="3"/>
    <x v="0"/>
    <n v="0"/>
    <x v="1"/>
    <n v="7133.71"/>
    <x v="4"/>
    <s v="SAVE10"/>
    <n v="0"/>
    <x v="744"/>
    <s v="Aisha Tiwari"/>
    <n v="17.399999999999999"/>
    <n v="419.63"/>
    <n v="7116.31"/>
    <d v="2025-06-18T00:00:00"/>
    <d v="2025-06-24T00:00:00"/>
    <s v="Eric"/>
    <n v="18"/>
    <n v="6"/>
    <x v="3"/>
    <x v="2"/>
    <x v="2"/>
    <n v="25"/>
  </r>
  <r>
    <d v="2024-10-29T00:00:00"/>
    <x v="1"/>
    <x v="0"/>
    <n v="2"/>
    <n v="267.36"/>
    <x v="0"/>
    <x v="0"/>
    <n v="0.05"/>
    <x v="2"/>
    <n v="507.98399999999998"/>
    <x v="0"/>
    <s v="nan"/>
    <n v="0"/>
    <x v="745"/>
    <s v="Isha Kapoor"/>
    <n v="21.36"/>
    <n v="253.99199999999999"/>
    <n v="486.62399999999997"/>
    <d v="2024-10-29T00:00:00"/>
    <d v="2024-11-07T00:00:00"/>
    <s v="Sophie"/>
    <n v="29"/>
    <n v="10"/>
    <x v="5"/>
    <x v="1"/>
    <x v="1"/>
    <n v="44"/>
  </r>
  <r>
    <d v="2025-04-08T00:00:00"/>
    <x v="3"/>
    <x v="1"/>
    <n v="2"/>
    <n v="298.06"/>
    <x v="0"/>
    <x v="0"/>
    <n v="0"/>
    <x v="1"/>
    <n v="596.12"/>
    <x v="3"/>
    <s v="SAVE10"/>
    <n v="1"/>
    <x v="746"/>
    <s v="Aisha Pai"/>
    <n v="35.369999999999997"/>
    <n v="298.06"/>
    <n v="560.75"/>
    <d v="2025-04-08T00:00:00"/>
    <d v="2025-04-14T00:00:00"/>
    <s v="Cameron"/>
    <n v="8"/>
    <n v="4"/>
    <x v="7"/>
    <x v="2"/>
    <x v="2"/>
    <n v="15"/>
  </r>
  <r>
    <d v="2023-01-31T00:00:00"/>
    <x v="3"/>
    <x v="5"/>
    <n v="13"/>
    <n v="132.97"/>
    <x v="0"/>
    <x v="0"/>
    <n v="0.05"/>
    <x v="2"/>
    <n v="1642.1795"/>
    <x v="3"/>
    <s v="WINTER15"/>
    <n v="0"/>
    <x v="747"/>
    <s v="Rukhsar Joseph"/>
    <n v="42.87"/>
    <n v="126.3215"/>
    <n v="1599.3095000000001"/>
    <d v="2023-01-31T00:00:00"/>
    <d v="2023-02-05T00:00:00"/>
    <s v="Cameron"/>
    <n v="31"/>
    <n v="1"/>
    <x v="4"/>
    <x v="0"/>
    <x v="0"/>
    <n v="5"/>
  </r>
  <r>
    <d v="2024-03-15T00:00:00"/>
    <x v="4"/>
    <x v="3"/>
    <n v="14"/>
    <n v="476.28"/>
    <x v="1"/>
    <x v="0"/>
    <n v="0.1"/>
    <x v="0"/>
    <n v="6001.1280000000006"/>
    <x v="2"/>
    <s v="FREESHIP"/>
    <n v="0"/>
    <x v="748"/>
    <s v="Neel Bhatia"/>
    <n v="22.11"/>
    <n v="428.65200000000004"/>
    <n v="5979.0180000000009"/>
    <d v="2024-03-15T00:00:00"/>
    <d v="2024-03-20T00:00:00"/>
    <s v="Wendy"/>
    <n v="15"/>
    <n v="3"/>
    <x v="6"/>
    <x v="1"/>
    <x v="0"/>
    <n v="11"/>
  </r>
  <r>
    <d v="2023-06-23T00:00:00"/>
    <x v="2"/>
    <x v="5"/>
    <n v="16"/>
    <n v="294.88"/>
    <x v="0"/>
    <x v="1"/>
    <n v="0.05"/>
    <x v="2"/>
    <n v="4482.1759999999986"/>
    <x v="4"/>
    <s v="nan"/>
    <n v="1"/>
    <x v="749"/>
    <s v="Pranav Malik"/>
    <n v="17.190000000000001"/>
    <n v="280.13599999999991"/>
    <n v="4464.985999999999"/>
    <d v="2023-06-23T00:00:00"/>
    <d v="2023-06-27T00:00:00"/>
    <s v="Ryan"/>
    <n v="23"/>
    <n v="6"/>
    <x v="3"/>
    <x v="0"/>
    <x v="2"/>
    <n v="25"/>
  </r>
  <r>
    <d v="2024-06-14T00:00:00"/>
    <x v="2"/>
    <x v="4"/>
    <n v="19"/>
    <n v="596.03"/>
    <x v="2"/>
    <x v="1"/>
    <n v="0.15"/>
    <x v="0"/>
    <n v="9625.8845000000001"/>
    <x v="3"/>
    <s v="nan"/>
    <n v="0"/>
    <x v="750"/>
    <s v="Aditya Syed"/>
    <n v="31.95"/>
    <n v="506.62549999999999"/>
    <n v="9593.9344999999994"/>
    <d v="2024-06-14T00:00:00"/>
    <d v="2024-06-23T00:00:00"/>
    <s v="Ryan"/>
    <n v="14"/>
    <n v="6"/>
    <x v="3"/>
    <x v="1"/>
    <x v="2"/>
    <n v="24"/>
  </r>
  <r>
    <d v="2023-11-30T00:00:00"/>
    <x v="4"/>
    <x v="2"/>
    <n v="6"/>
    <n v="182.4"/>
    <x v="0"/>
    <x v="0"/>
    <n v="0"/>
    <x v="1"/>
    <n v="1094.4000000000001"/>
    <x v="0"/>
    <s v="FREESHIP"/>
    <n v="1"/>
    <x v="751"/>
    <s v="Sara Bose"/>
    <n v="49.49"/>
    <n v="182.4"/>
    <n v="1044.9100000000001"/>
    <d v="2023-11-30T00:00:00"/>
    <d v="2023-12-09T00:00:00"/>
    <s v="Wendy"/>
    <n v="30"/>
    <n v="11"/>
    <x v="9"/>
    <x v="0"/>
    <x v="1"/>
    <n v="48"/>
  </r>
  <r>
    <d v="2024-04-21T00:00:00"/>
    <x v="2"/>
    <x v="0"/>
    <n v="10"/>
    <n v="400.95"/>
    <x v="2"/>
    <x v="1"/>
    <n v="0.05"/>
    <x v="3"/>
    <n v="3809.0250000000001"/>
    <x v="0"/>
    <s v="nan"/>
    <n v="0"/>
    <x v="752"/>
    <s v="Riya Tripathi"/>
    <n v="17.46"/>
    <n v="380.90250000000003"/>
    <n v="3791.5650000000001"/>
    <d v="2024-04-21T00:00:00"/>
    <d v="2024-04-30T00:00:00"/>
    <s v="Ryan"/>
    <n v="21"/>
    <n v="4"/>
    <x v="7"/>
    <x v="1"/>
    <x v="2"/>
    <n v="16"/>
  </r>
  <r>
    <d v="2023-08-06T00:00:00"/>
    <x v="0"/>
    <x v="2"/>
    <n v="7"/>
    <n v="373.66"/>
    <x v="0"/>
    <x v="1"/>
    <n v="0.05"/>
    <x v="1"/>
    <n v="2484.8389999999999"/>
    <x v="1"/>
    <s v="SAVE10"/>
    <n v="0"/>
    <x v="753"/>
    <s v="Raina Sharma"/>
    <n v="46.33"/>
    <n v="354.97699999999998"/>
    <n v="2438.509"/>
    <d v="2023-08-06T00:00:00"/>
    <d v="2023-08-12T00:00:00"/>
    <s v="Eric"/>
    <n v="6"/>
    <n v="8"/>
    <x v="10"/>
    <x v="0"/>
    <x v="3"/>
    <n v="31"/>
  </r>
  <r>
    <d v="2024-06-21T00:00:00"/>
    <x v="4"/>
    <x v="2"/>
    <n v="7"/>
    <n v="355.66"/>
    <x v="2"/>
    <x v="1"/>
    <n v="0.15"/>
    <x v="3"/>
    <n v="2116.1770000000001"/>
    <x v="1"/>
    <s v="FREESHIP"/>
    <n v="1"/>
    <x v="754"/>
    <s v="Nazia Solanki"/>
    <n v="28.77"/>
    <n v="302.31100000000004"/>
    <n v="2087.4070000000002"/>
    <d v="2024-06-21T00:00:00"/>
    <d v="2024-06-27T00:00:00"/>
    <s v="Wendy"/>
    <n v="21"/>
    <n v="6"/>
    <x v="3"/>
    <x v="1"/>
    <x v="2"/>
    <n v="25"/>
  </r>
  <r>
    <d v="2025-03-16T00:00:00"/>
    <x v="2"/>
    <x v="5"/>
    <n v="12"/>
    <n v="260.31"/>
    <x v="2"/>
    <x v="1"/>
    <n v="0.1"/>
    <x v="5"/>
    <n v="2811.348"/>
    <x v="4"/>
    <s v="SAVE10"/>
    <n v="0"/>
    <x v="755"/>
    <s v="Priya Mirza"/>
    <n v="14.58"/>
    <n v="234.279"/>
    <n v="2796.768"/>
    <d v="2025-03-16T00:00:00"/>
    <d v="2025-03-24T00:00:00"/>
    <s v="Ryan"/>
    <n v="16"/>
    <n v="3"/>
    <x v="6"/>
    <x v="2"/>
    <x v="0"/>
    <n v="11"/>
  </r>
  <r>
    <d v="2024-04-20T00:00:00"/>
    <x v="4"/>
    <x v="5"/>
    <n v="10"/>
    <n v="370.99"/>
    <x v="0"/>
    <x v="1"/>
    <n v="0.15"/>
    <x v="2"/>
    <n v="3153.415"/>
    <x v="0"/>
    <s v="SAVE10"/>
    <n v="1"/>
    <x v="756"/>
    <s v="Parth Joshi"/>
    <n v="11.16"/>
    <n v="315.3415"/>
    <n v="3142.2550000000001"/>
    <d v="2024-04-20T00:00:00"/>
    <d v="2024-04-25T00:00:00"/>
    <s v="Wendy"/>
    <n v="20"/>
    <n v="4"/>
    <x v="7"/>
    <x v="1"/>
    <x v="2"/>
    <n v="16"/>
  </r>
  <r>
    <d v="2024-12-20T00:00:00"/>
    <x v="0"/>
    <x v="0"/>
    <n v="2"/>
    <n v="548.72"/>
    <x v="1"/>
    <x v="0"/>
    <n v="0.1"/>
    <x v="2"/>
    <n v="987.69600000000003"/>
    <x v="2"/>
    <s v="FREESHIP"/>
    <n v="1"/>
    <x v="757"/>
    <s v="Ashwin Hussain"/>
    <n v="26.35"/>
    <n v="493.84800000000001"/>
    <n v="961.346"/>
    <d v="2024-12-20T00:00:00"/>
    <d v="2024-12-29T00:00:00"/>
    <s v="Eric"/>
    <n v="20"/>
    <n v="12"/>
    <x v="1"/>
    <x v="1"/>
    <x v="1"/>
    <n v="51"/>
  </r>
  <r>
    <d v="2023-08-22T00:00:00"/>
    <x v="2"/>
    <x v="6"/>
    <n v="8"/>
    <n v="343.53"/>
    <x v="1"/>
    <x v="0"/>
    <n v="0"/>
    <x v="2"/>
    <n v="2748.24"/>
    <x v="4"/>
    <s v="nan"/>
    <n v="0"/>
    <x v="758"/>
    <s v="Siddharth Pathan"/>
    <n v="16.100000000000001"/>
    <n v="343.53"/>
    <n v="2732.14"/>
    <d v="2023-08-22T00:00:00"/>
    <d v="2023-09-01T00:00:00"/>
    <s v="Ryan"/>
    <n v="22"/>
    <n v="8"/>
    <x v="10"/>
    <x v="0"/>
    <x v="3"/>
    <n v="34"/>
  </r>
  <r>
    <d v="2023-03-04T00:00:00"/>
    <x v="2"/>
    <x v="5"/>
    <n v="13"/>
    <n v="494.78"/>
    <x v="1"/>
    <x v="0"/>
    <n v="0.15"/>
    <x v="4"/>
    <n v="5467.3190000000004"/>
    <x v="4"/>
    <s v="FREESHIP"/>
    <n v="0"/>
    <x v="759"/>
    <s v="Fatima Singh"/>
    <n v="5.85"/>
    <n v="420.56300000000005"/>
    <n v="5461.4690000000001"/>
    <d v="2023-03-04T00:00:00"/>
    <d v="2023-03-13T00:00:00"/>
    <s v="Ryan"/>
    <n v="4"/>
    <n v="3"/>
    <x v="6"/>
    <x v="0"/>
    <x v="0"/>
    <n v="9"/>
  </r>
  <r>
    <d v="2024-06-24T00:00:00"/>
    <x v="2"/>
    <x v="0"/>
    <n v="9"/>
    <n v="36.619999999999997"/>
    <x v="0"/>
    <x v="0"/>
    <n v="0.1"/>
    <x v="0"/>
    <n v="296.62200000000001"/>
    <x v="3"/>
    <s v="FREESHIP"/>
    <n v="1"/>
    <x v="760"/>
    <s v="Atharv Ansari"/>
    <n v="29.9"/>
    <n v="32.957999999999998"/>
    <n v="266.72200000000004"/>
    <d v="2024-06-24T00:00:00"/>
    <d v="2024-07-01T00:00:00"/>
    <s v="Ryan"/>
    <n v="24"/>
    <n v="6"/>
    <x v="3"/>
    <x v="1"/>
    <x v="2"/>
    <n v="26"/>
  </r>
  <r>
    <d v="2024-12-09T00:00:00"/>
    <x v="0"/>
    <x v="5"/>
    <n v="14"/>
    <n v="216.2"/>
    <x v="2"/>
    <x v="0"/>
    <n v="0"/>
    <x v="4"/>
    <n v="3026.8"/>
    <x v="0"/>
    <s v="WINTER15"/>
    <n v="0"/>
    <x v="761"/>
    <s v="Rohan Srivastava"/>
    <n v="14.39"/>
    <n v="216.20000000000002"/>
    <n v="3012.4100000000003"/>
    <d v="2024-12-09T00:00:00"/>
    <d v="2024-12-13T00:00:00"/>
    <s v="Eric"/>
    <n v="9"/>
    <n v="12"/>
    <x v="1"/>
    <x v="1"/>
    <x v="1"/>
    <n v="50"/>
  </r>
  <r>
    <d v="2024-07-04T00:00:00"/>
    <x v="4"/>
    <x v="0"/>
    <n v="11"/>
    <n v="128.99"/>
    <x v="1"/>
    <x v="1"/>
    <n v="0.05"/>
    <x v="4"/>
    <n v="1347.9455"/>
    <x v="3"/>
    <s v="SAVE10"/>
    <n v="0"/>
    <x v="762"/>
    <s v="Ved Mukherjee"/>
    <n v="38.58"/>
    <n v="122.54050000000001"/>
    <n v="1309.3655000000001"/>
    <d v="2024-07-04T00:00:00"/>
    <d v="2024-07-07T00:00:00"/>
    <s v="Wendy"/>
    <n v="4"/>
    <n v="7"/>
    <x v="8"/>
    <x v="1"/>
    <x v="3"/>
    <n v="27"/>
  </r>
  <r>
    <d v="2025-03-04T00:00:00"/>
    <x v="0"/>
    <x v="1"/>
    <n v="11"/>
    <n v="183.11"/>
    <x v="0"/>
    <x v="1"/>
    <n v="0.15"/>
    <x v="2"/>
    <n v="1712.0785000000001"/>
    <x v="1"/>
    <s v="FREESHIP"/>
    <n v="0"/>
    <x v="763"/>
    <s v="Aditya Solanki"/>
    <n v="41.83"/>
    <n v="155.64350000000002"/>
    <n v="1670.2485000000001"/>
    <d v="2025-03-04T00:00:00"/>
    <d v="2025-03-06T00:00:00"/>
    <s v="Eric"/>
    <n v="4"/>
    <n v="3"/>
    <x v="6"/>
    <x v="2"/>
    <x v="0"/>
    <n v="10"/>
  </r>
  <r>
    <d v="2024-01-22T00:00:00"/>
    <x v="0"/>
    <x v="6"/>
    <n v="11"/>
    <n v="277.95"/>
    <x v="1"/>
    <x v="1"/>
    <n v="0.05"/>
    <x v="2"/>
    <n v="2904.5774999999999"/>
    <x v="1"/>
    <s v="WINTER15"/>
    <n v="0"/>
    <x v="764"/>
    <s v="Neel Chaudhary"/>
    <n v="44.04"/>
    <n v="264.05250000000001"/>
    <n v="2860.5374999999999"/>
    <d v="2024-01-22T00:00:00"/>
    <d v="2024-01-29T00:00:00"/>
    <s v="Eric"/>
    <n v="22"/>
    <n v="1"/>
    <x v="4"/>
    <x v="1"/>
    <x v="0"/>
    <n v="4"/>
  </r>
  <r>
    <d v="2025-03-12T00:00:00"/>
    <x v="0"/>
    <x v="2"/>
    <n v="14"/>
    <n v="554.08000000000004"/>
    <x v="1"/>
    <x v="1"/>
    <n v="0.05"/>
    <x v="4"/>
    <n v="7369.2640000000001"/>
    <x v="4"/>
    <s v="nan"/>
    <n v="0"/>
    <x v="765"/>
    <s v="Aisha Menon"/>
    <n v="36.72"/>
    <n v="526.37599999999998"/>
    <n v="7332.5439999999999"/>
    <d v="2025-03-12T00:00:00"/>
    <d v="2025-03-21T00:00:00"/>
    <s v="Eric"/>
    <n v="12"/>
    <n v="3"/>
    <x v="6"/>
    <x v="2"/>
    <x v="0"/>
    <n v="11"/>
  </r>
  <r>
    <d v="2025-02-28T00:00:00"/>
    <x v="3"/>
    <x v="1"/>
    <n v="15"/>
    <n v="23.32"/>
    <x v="1"/>
    <x v="1"/>
    <n v="0.05"/>
    <x v="3"/>
    <n v="332.31"/>
    <x v="3"/>
    <s v="nan"/>
    <n v="0"/>
    <x v="766"/>
    <s v="Hina Bansal"/>
    <n v="25.27"/>
    <n v="22.154"/>
    <n v="307.04000000000002"/>
    <d v="2025-02-28T00:00:00"/>
    <d v="2025-03-03T00:00:00"/>
    <s v="Cameron"/>
    <n v="28"/>
    <n v="2"/>
    <x v="0"/>
    <x v="2"/>
    <x v="0"/>
    <n v="9"/>
  </r>
  <r>
    <d v="2024-05-23T00:00:00"/>
    <x v="0"/>
    <x v="2"/>
    <n v="4"/>
    <n v="20.96"/>
    <x v="3"/>
    <x v="0"/>
    <n v="0.05"/>
    <x v="5"/>
    <n v="79.647999999999996"/>
    <x v="0"/>
    <s v="FREESHIP"/>
    <n v="1"/>
    <x v="767"/>
    <s v="Meera Gupta"/>
    <n v="33.67"/>
    <n v="19.911999999999999"/>
    <n v="45.977999999999994"/>
    <d v="2024-05-23T00:00:00"/>
    <d v="2024-05-31T00:00:00"/>
    <s v="Eric"/>
    <n v="23"/>
    <n v="5"/>
    <x v="2"/>
    <x v="1"/>
    <x v="2"/>
    <n v="21"/>
  </r>
  <r>
    <d v="2023-09-17T00:00:00"/>
    <x v="2"/>
    <x v="2"/>
    <n v="18"/>
    <n v="132.29"/>
    <x v="1"/>
    <x v="0"/>
    <n v="0.05"/>
    <x v="4"/>
    <n v="2262.1590000000001"/>
    <x v="2"/>
    <s v="nan"/>
    <n v="1"/>
    <x v="768"/>
    <s v="Om Hussain"/>
    <n v="24.3"/>
    <n v="125.6755"/>
    <n v="2237.8589999999999"/>
    <d v="2023-09-17T00:00:00"/>
    <d v="2023-09-20T00:00:00"/>
    <s v="Ryan"/>
    <n v="17"/>
    <n v="9"/>
    <x v="11"/>
    <x v="0"/>
    <x v="3"/>
    <n v="37"/>
  </r>
  <r>
    <d v="2023-06-13T00:00:00"/>
    <x v="0"/>
    <x v="1"/>
    <n v="19"/>
    <n v="199.65"/>
    <x v="1"/>
    <x v="1"/>
    <n v="0.1"/>
    <x v="3"/>
    <n v="3414.0149999999999"/>
    <x v="4"/>
    <s v="SAVE10"/>
    <n v="1"/>
    <x v="769"/>
    <s v="Dhruv Yadav"/>
    <n v="35.119999999999997"/>
    <n v="179.685"/>
    <n v="3378.895"/>
    <d v="2023-06-13T00:00:00"/>
    <d v="2023-06-18T00:00:00"/>
    <s v="Eric"/>
    <n v="13"/>
    <n v="6"/>
    <x v="3"/>
    <x v="0"/>
    <x v="2"/>
    <n v="24"/>
  </r>
  <r>
    <d v="2025-05-31T00:00:00"/>
    <x v="4"/>
    <x v="1"/>
    <n v="16"/>
    <n v="307"/>
    <x v="1"/>
    <x v="0"/>
    <n v="0"/>
    <x v="5"/>
    <n v="4912"/>
    <x v="3"/>
    <s v="FREESHIP"/>
    <n v="0"/>
    <x v="770"/>
    <s v="Charu Qureshi"/>
    <n v="11.99"/>
    <n v="307"/>
    <n v="4900.01"/>
    <d v="2025-05-31T00:00:00"/>
    <d v="2025-06-02T00:00:00"/>
    <s v="Wendy"/>
    <n v="31"/>
    <n v="5"/>
    <x v="2"/>
    <x v="2"/>
    <x v="2"/>
    <n v="22"/>
  </r>
  <r>
    <d v="2023-10-11T00:00:00"/>
    <x v="0"/>
    <x v="5"/>
    <n v="1"/>
    <n v="315.93"/>
    <x v="2"/>
    <x v="1"/>
    <n v="0.15"/>
    <x v="1"/>
    <n v="268.54050000000001"/>
    <x v="2"/>
    <s v="SAVE10"/>
    <n v="0"/>
    <x v="771"/>
    <s v="Deepak Shah"/>
    <n v="43.2"/>
    <n v="268.54050000000001"/>
    <n v="225.34050000000002"/>
    <d v="2023-10-11T00:00:00"/>
    <d v="2023-10-14T00:00:00"/>
    <s v="Eric"/>
    <n v="11"/>
    <n v="10"/>
    <x v="5"/>
    <x v="0"/>
    <x v="1"/>
    <n v="41"/>
  </r>
  <r>
    <d v="2023-08-07T00:00:00"/>
    <x v="4"/>
    <x v="6"/>
    <n v="5"/>
    <n v="596.97"/>
    <x v="1"/>
    <x v="1"/>
    <n v="0"/>
    <x v="0"/>
    <n v="2984.85"/>
    <x v="4"/>
    <s v="SAVE10"/>
    <n v="0"/>
    <x v="772"/>
    <s v="Neel Joseph"/>
    <n v="14.43"/>
    <n v="596.97"/>
    <n v="2970.42"/>
    <d v="2023-08-07T00:00:00"/>
    <d v="2023-08-14T00:00:00"/>
    <s v="Wendy"/>
    <n v="7"/>
    <n v="8"/>
    <x v="10"/>
    <x v="0"/>
    <x v="3"/>
    <n v="32"/>
  </r>
  <r>
    <d v="2023-12-03T00:00:00"/>
    <x v="2"/>
    <x v="0"/>
    <n v="17"/>
    <n v="376.98"/>
    <x v="1"/>
    <x v="1"/>
    <n v="0.05"/>
    <x v="3"/>
    <n v="6088.2269999999999"/>
    <x v="3"/>
    <s v="nan"/>
    <n v="1"/>
    <x v="773"/>
    <s v="Sai Tripathi"/>
    <n v="38.479999999999997"/>
    <n v="358.13099999999997"/>
    <n v="6049.7470000000003"/>
    <d v="2023-12-03T00:00:00"/>
    <d v="2023-12-05T00:00:00"/>
    <s v="Ryan"/>
    <n v="3"/>
    <n v="12"/>
    <x v="1"/>
    <x v="0"/>
    <x v="1"/>
    <n v="48"/>
  </r>
  <r>
    <d v="2024-08-01T00:00:00"/>
    <x v="3"/>
    <x v="6"/>
    <n v="6"/>
    <n v="208.64"/>
    <x v="3"/>
    <x v="1"/>
    <n v="0.1"/>
    <x v="2"/>
    <n v="1126.6559999999999"/>
    <x v="2"/>
    <s v="FREESHIP"/>
    <n v="0"/>
    <x v="774"/>
    <s v="Suresh Gupta"/>
    <n v="49.93"/>
    <n v="187.77599999999998"/>
    <n v="1076.7259999999999"/>
    <d v="2024-08-01T00:00:00"/>
    <d v="2024-08-04T00:00:00"/>
    <s v="Cameron"/>
    <n v="1"/>
    <n v="8"/>
    <x v="10"/>
    <x v="1"/>
    <x v="3"/>
    <n v="31"/>
  </r>
  <r>
    <d v="2023-03-20T00:00:00"/>
    <x v="0"/>
    <x v="3"/>
    <n v="7"/>
    <n v="307.82"/>
    <x v="0"/>
    <x v="0"/>
    <n v="0"/>
    <x v="0"/>
    <n v="2154.7399999999998"/>
    <x v="3"/>
    <s v="WINTER15"/>
    <n v="1"/>
    <x v="775"/>
    <s v="Manya Syed"/>
    <n v="14"/>
    <n v="307.82"/>
    <n v="2140.7399999999998"/>
    <d v="2023-03-20T00:00:00"/>
    <d v="2023-03-27T00:00:00"/>
    <s v="Eric"/>
    <n v="20"/>
    <n v="3"/>
    <x v="6"/>
    <x v="0"/>
    <x v="0"/>
    <n v="12"/>
  </r>
  <r>
    <d v="2025-06-30T00:00:00"/>
    <x v="3"/>
    <x v="5"/>
    <n v="13"/>
    <n v="382.48"/>
    <x v="3"/>
    <x v="1"/>
    <n v="0.05"/>
    <x v="0"/>
    <n v="4723.6279999999997"/>
    <x v="2"/>
    <s v="WINTER15"/>
    <n v="0"/>
    <x v="776"/>
    <s v="Zara Hussain"/>
    <n v="7.59"/>
    <n v="363.35599999999999"/>
    <n v="4716.0379999999996"/>
    <d v="2025-06-30T00:00:00"/>
    <d v="2025-07-04T00:00:00"/>
    <s v="Cameron"/>
    <n v="30"/>
    <n v="6"/>
    <x v="3"/>
    <x v="2"/>
    <x v="2"/>
    <n v="27"/>
  </r>
  <r>
    <d v="2025-02-05T00:00:00"/>
    <x v="1"/>
    <x v="2"/>
    <n v="9"/>
    <n v="188.03"/>
    <x v="0"/>
    <x v="1"/>
    <n v="0"/>
    <x v="2"/>
    <n v="1692.27"/>
    <x v="4"/>
    <s v="FREESHIP"/>
    <n v="0"/>
    <x v="777"/>
    <s v="Akash Mukherjee"/>
    <n v="11.44"/>
    <n v="188.03"/>
    <n v="1680.83"/>
    <d v="2025-02-05T00:00:00"/>
    <d v="2025-02-07T00:00:00"/>
    <s v="Sophie"/>
    <n v="5"/>
    <n v="2"/>
    <x v="0"/>
    <x v="2"/>
    <x v="0"/>
    <n v="6"/>
  </r>
  <r>
    <d v="2024-05-19T00:00:00"/>
    <x v="0"/>
    <x v="2"/>
    <n v="17"/>
    <n v="238.17"/>
    <x v="3"/>
    <x v="0"/>
    <n v="0.15"/>
    <x v="2"/>
    <n v="3441.5565000000001"/>
    <x v="4"/>
    <s v="FREESHIP"/>
    <n v="0"/>
    <x v="778"/>
    <s v="Sai Pillai"/>
    <n v="21.64"/>
    <n v="202.44450000000001"/>
    <n v="3419.9165000000003"/>
    <d v="2024-05-19T00:00:00"/>
    <d v="2024-05-29T00:00:00"/>
    <s v="Eric"/>
    <n v="19"/>
    <n v="5"/>
    <x v="2"/>
    <x v="1"/>
    <x v="2"/>
    <n v="20"/>
  </r>
  <r>
    <d v="2023-03-04T00:00:00"/>
    <x v="2"/>
    <x v="6"/>
    <n v="10"/>
    <n v="450.71"/>
    <x v="0"/>
    <x v="1"/>
    <n v="0.1"/>
    <x v="5"/>
    <n v="4056.389999999999"/>
    <x v="1"/>
    <s v="SAVE10"/>
    <n v="0"/>
    <x v="779"/>
    <s v="Ritika Solanki"/>
    <n v="21.31"/>
    <n v="405.6389999999999"/>
    <n v="4035.079999999999"/>
    <d v="2023-03-04T00:00:00"/>
    <d v="2023-03-12T00:00:00"/>
    <s v="Ryan"/>
    <n v="4"/>
    <n v="3"/>
    <x v="6"/>
    <x v="0"/>
    <x v="0"/>
    <n v="9"/>
  </r>
  <r>
    <d v="2023-01-22T00:00:00"/>
    <x v="3"/>
    <x v="4"/>
    <n v="2"/>
    <n v="413.36"/>
    <x v="3"/>
    <x v="1"/>
    <n v="0.1"/>
    <x v="1"/>
    <n v="744.048"/>
    <x v="0"/>
    <s v="SAVE10"/>
    <n v="1"/>
    <x v="780"/>
    <s v="Ved D'Souza"/>
    <n v="41.69"/>
    <n v="372.024"/>
    <n v="702.35799999999995"/>
    <d v="2023-01-22T00:00:00"/>
    <d v="2023-01-24T00:00:00"/>
    <s v="Cameron"/>
    <n v="22"/>
    <n v="1"/>
    <x v="4"/>
    <x v="0"/>
    <x v="0"/>
    <n v="3"/>
  </r>
  <r>
    <d v="2023-03-20T00:00:00"/>
    <x v="1"/>
    <x v="1"/>
    <n v="20"/>
    <n v="536.71"/>
    <x v="0"/>
    <x v="1"/>
    <n v="0.15"/>
    <x v="3"/>
    <n v="9124.07"/>
    <x v="3"/>
    <s v="SAVE10"/>
    <n v="0"/>
    <x v="781"/>
    <s v="Myra Thomas"/>
    <n v="41.42"/>
    <n v="456.20349999999996"/>
    <n v="9082.65"/>
    <d v="2023-03-20T00:00:00"/>
    <d v="2023-03-25T00:00:00"/>
    <s v="Sophie"/>
    <n v="20"/>
    <n v="3"/>
    <x v="6"/>
    <x v="0"/>
    <x v="0"/>
    <n v="12"/>
  </r>
  <r>
    <d v="2024-06-05T00:00:00"/>
    <x v="4"/>
    <x v="1"/>
    <n v="5"/>
    <n v="206.42"/>
    <x v="3"/>
    <x v="1"/>
    <n v="0.05"/>
    <x v="1"/>
    <n v="980.49499999999989"/>
    <x v="3"/>
    <s v="WINTER15"/>
    <n v="0"/>
    <x v="782"/>
    <s v="Pranav Shaikh"/>
    <n v="35.51"/>
    <n v="196.09899999999999"/>
    <n v="944.9849999999999"/>
    <d v="2024-06-05T00:00:00"/>
    <d v="2024-06-13T00:00:00"/>
    <s v="Wendy"/>
    <n v="5"/>
    <n v="6"/>
    <x v="3"/>
    <x v="1"/>
    <x v="2"/>
    <n v="23"/>
  </r>
  <r>
    <d v="2024-07-09T00:00:00"/>
    <x v="0"/>
    <x v="6"/>
    <n v="4"/>
    <n v="256.83"/>
    <x v="1"/>
    <x v="0"/>
    <n v="0.15"/>
    <x v="3"/>
    <n v="873.22199999999987"/>
    <x v="4"/>
    <s v="nan"/>
    <n v="1"/>
    <x v="783"/>
    <s v="Ved Farooqui"/>
    <n v="44.72"/>
    <n v="218.30549999999997"/>
    <n v="828.50199999999984"/>
    <d v="2024-07-09T00:00:00"/>
    <d v="2024-07-17T00:00:00"/>
    <s v="Eric"/>
    <n v="9"/>
    <n v="7"/>
    <x v="8"/>
    <x v="1"/>
    <x v="3"/>
    <n v="28"/>
  </r>
  <r>
    <d v="2025-03-08T00:00:00"/>
    <x v="1"/>
    <x v="4"/>
    <n v="1"/>
    <n v="247.04"/>
    <x v="2"/>
    <x v="0"/>
    <n v="0"/>
    <x v="5"/>
    <n v="247.04"/>
    <x v="2"/>
    <s v="FREESHIP"/>
    <n v="0"/>
    <x v="784"/>
    <s v="Neha Desai"/>
    <n v="26.86"/>
    <n v="247.04"/>
    <n v="220.18"/>
    <d v="2025-03-08T00:00:00"/>
    <d v="2025-03-13T00:00:00"/>
    <s v="Sophie"/>
    <n v="8"/>
    <n v="3"/>
    <x v="6"/>
    <x v="2"/>
    <x v="0"/>
    <n v="10"/>
  </r>
  <r>
    <d v="2025-06-21T00:00:00"/>
    <x v="1"/>
    <x v="5"/>
    <n v="3"/>
    <n v="583.38"/>
    <x v="0"/>
    <x v="1"/>
    <n v="0.15"/>
    <x v="4"/>
    <n v="1487.6189999999999"/>
    <x v="4"/>
    <s v="WINTER15"/>
    <n v="1"/>
    <x v="785"/>
    <s v="Raina Desai"/>
    <n v="30.12"/>
    <n v="495.87299999999999"/>
    <n v="1457.499"/>
    <d v="2025-06-21T00:00:00"/>
    <d v="2025-06-30T00:00:00"/>
    <s v="Sophie"/>
    <n v="21"/>
    <n v="6"/>
    <x v="3"/>
    <x v="2"/>
    <x v="2"/>
    <n v="25"/>
  </r>
  <r>
    <d v="2025-06-28T00:00:00"/>
    <x v="2"/>
    <x v="5"/>
    <n v="13"/>
    <n v="341.38"/>
    <x v="2"/>
    <x v="1"/>
    <n v="0.15"/>
    <x v="1"/>
    <n v="3772.2489999999989"/>
    <x v="4"/>
    <s v="nan"/>
    <n v="0"/>
    <x v="786"/>
    <s v="Ira Rao"/>
    <n v="18.2"/>
    <n v="290.17299999999989"/>
    <n v="3754.0489999999991"/>
    <d v="2025-06-28T00:00:00"/>
    <d v="2025-07-01T00:00:00"/>
    <s v="Ryan"/>
    <n v="28"/>
    <n v="6"/>
    <x v="3"/>
    <x v="2"/>
    <x v="2"/>
    <n v="26"/>
  </r>
  <r>
    <d v="2025-04-05T00:00:00"/>
    <x v="4"/>
    <x v="3"/>
    <n v="19"/>
    <n v="267.02999999999997"/>
    <x v="3"/>
    <x v="0"/>
    <n v="0.15"/>
    <x v="5"/>
    <n v="4312.5344999999998"/>
    <x v="0"/>
    <s v="SAVE10"/>
    <n v="1"/>
    <x v="787"/>
    <s v="Mohit Tripathi"/>
    <n v="35.82"/>
    <n v="226.97549999999998"/>
    <n v="4276.7145"/>
    <d v="2025-04-05T00:00:00"/>
    <d v="2025-04-13T00:00:00"/>
    <s v="Wendy"/>
    <n v="5"/>
    <n v="4"/>
    <x v="7"/>
    <x v="2"/>
    <x v="2"/>
    <n v="14"/>
  </r>
  <r>
    <d v="2024-03-05T00:00:00"/>
    <x v="1"/>
    <x v="6"/>
    <n v="7"/>
    <n v="77.69"/>
    <x v="3"/>
    <x v="0"/>
    <n v="0"/>
    <x v="3"/>
    <n v="543.82999999999993"/>
    <x v="2"/>
    <s v="SAVE10"/>
    <n v="0"/>
    <x v="788"/>
    <s v="Aditi Pandey"/>
    <n v="41.89"/>
    <n v="77.689999999999984"/>
    <n v="501.93999999999994"/>
    <d v="2024-03-05T00:00:00"/>
    <d v="2024-03-12T00:00:00"/>
    <s v="Sophie"/>
    <n v="5"/>
    <n v="3"/>
    <x v="6"/>
    <x v="1"/>
    <x v="0"/>
    <n v="10"/>
  </r>
  <r>
    <d v="2024-03-09T00:00:00"/>
    <x v="0"/>
    <x v="1"/>
    <n v="20"/>
    <n v="312.43"/>
    <x v="2"/>
    <x v="1"/>
    <n v="0"/>
    <x v="3"/>
    <n v="6248.6"/>
    <x v="2"/>
    <s v="SAVE10"/>
    <n v="0"/>
    <x v="789"/>
    <s v="Mitali Fernandes"/>
    <n v="28.11"/>
    <n v="312.43"/>
    <n v="6220.4900000000007"/>
    <d v="2024-03-09T00:00:00"/>
    <d v="2024-03-11T00:00:00"/>
    <s v="Eric"/>
    <n v="9"/>
    <n v="3"/>
    <x v="6"/>
    <x v="1"/>
    <x v="0"/>
    <n v="10"/>
  </r>
  <r>
    <d v="2025-02-25T00:00:00"/>
    <x v="3"/>
    <x v="4"/>
    <n v="19"/>
    <n v="14.1"/>
    <x v="2"/>
    <x v="0"/>
    <n v="0.05"/>
    <x v="3"/>
    <n v="254.505"/>
    <x v="4"/>
    <s v="FREESHIP"/>
    <n v="0"/>
    <x v="790"/>
    <s v="Harsh Thomas"/>
    <n v="37.840000000000003"/>
    <n v="13.395"/>
    <n v="216.66499999999999"/>
    <d v="2025-02-25T00:00:00"/>
    <d v="2025-02-28T00:00:00"/>
    <s v="Cameron"/>
    <n v="25"/>
    <n v="2"/>
    <x v="0"/>
    <x v="2"/>
    <x v="0"/>
    <n v="9"/>
  </r>
  <r>
    <d v="2024-11-16T00:00:00"/>
    <x v="4"/>
    <x v="5"/>
    <n v="17"/>
    <n v="266.83"/>
    <x v="3"/>
    <x v="1"/>
    <n v="0.05"/>
    <x v="2"/>
    <n v="4309.3044999999993"/>
    <x v="2"/>
    <s v="WINTER15"/>
    <n v="0"/>
    <x v="791"/>
    <s v="Krish George"/>
    <n v="32.520000000000003"/>
    <n v="253.48849999999996"/>
    <n v="4276.7844999999988"/>
    <d v="2024-11-16T00:00:00"/>
    <d v="2024-11-23T00:00:00"/>
    <s v="Wendy"/>
    <n v="16"/>
    <n v="11"/>
    <x v="9"/>
    <x v="1"/>
    <x v="1"/>
    <n v="46"/>
  </r>
  <r>
    <d v="2024-08-01T00:00:00"/>
    <x v="1"/>
    <x v="6"/>
    <n v="20"/>
    <n v="248.11"/>
    <x v="3"/>
    <x v="0"/>
    <n v="0.05"/>
    <x v="3"/>
    <n v="4714.09"/>
    <x v="0"/>
    <s v="SAVE10"/>
    <n v="0"/>
    <x v="792"/>
    <s v="Rohan Solanki"/>
    <n v="22.96"/>
    <n v="235.7045"/>
    <n v="4691.13"/>
    <d v="2024-08-01T00:00:00"/>
    <d v="2024-08-06T00:00:00"/>
    <s v="Sophie"/>
    <n v="1"/>
    <n v="8"/>
    <x v="10"/>
    <x v="1"/>
    <x v="3"/>
    <n v="31"/>
  </r>
  <r>
    <d v="2024-04-20T00:00:00"/>
    <x v="4"/>
    <x v="3"/>
    <n v="5"/>
    <n v="316.76"/>
    <x v="0"/>
    <x v="1"/>
    <n v="0.05"/>
    <x v="1"/>
    <n v="1504.61"/>
    <x v="1"/>
    <s v="FREESHIP"/>
    <n v="1"/>
    <x v="793"/>
    <s v="Nazia D'Souza"/>
    <n v="12.7"/>
    <n v="300.92199999999997"/>
    <n v="1491.9099999999999"/>
    <d v="2024-04-20T00:00:00"/>
    <d v="2024-04-30T00:00:00"/>
    <s v="Wendy"/>
    <n v="20"/>
    <n v="4"/>
    <x v="7"/>
    <x v="1"/>
    <x v="2"/>
    <n v="16"/>
  </r>
  <r>
    <d v="2024-04-20T00:00:00"/>
    <x v="1"/>
    <x v="0"/>
    <n v="2"/>
    <n v="169.62"/>
    <x v="2"/>
    <x v="1"/>
    <n v="0.1"/>
    <x v="1"/>
    <n v="305.31599999999997"/>
    <x v="3"/>
    <s v="nan"/>
    <n v="0"/>
    <x v="794"/>
    <s v="Sanya Nair"/>
    <n v="45.41"/>
    <n v="152.65799999999999"/>
    <n v="259.90599999999995"/>
    <d v="2024-04-20T00:00:00"/>
    <d v="2024-04-25T00:00:00"/>
    <s v="Sophie"/>
    <n v="20"/>
    <n v="4"/>
    <x v="7"/>
    <x v="1"/>
    <x v="2"/>
    <n v="16"/>
  </r>
  <r>
    <d v="2023-09-22T00:00:00"/>
    <x v="2"/>
    <x v="0"/>
    <n v="19"/>
    <n v="35.380000000000003"/>
    <x v="1"/>
    <x v="1"/>
    <n v="0.15"/>
    <x v="4"/>
    <n v="571.38700000000006"/>
    <x v="0"/>
    <s v="SAVE10"/>
    <n v="0"/>
    <x v="795"/>
    <s v="Yash Hegde"/>
    <n v="7.06"/>
    <n v="30.073000000000004"/>
    <n v="564.32700000000011"/>
    <d v="2023-09-22T00:00:00"/>
    <d v="2023-09-28T00:00:00"/>
    <s v="Ryan"/>
    <n v="22"/>
    <n v="9"/>
    <x v="11"/>
    <x v="0"/>
    <x v="3"/>
    <n v="38"/>
  </r>
  <r>
    <d v="2025-02-21T00:00:00"/>
    <x v="4"/>
    <x v="3"/>
    <n v="3"/>
    <n v="264.08"/>
    <x v="1"/>
    <x v="1"/>
    <n v="0.1"/>
    <x v="4"/>
    <n v="713.01600000000008"/>
    <x v="0"/>
    <s v="nan"/>
    <n v="0"/>
    <x v="796"/>
    <s v="Parth Syed"/>
    <n v="25.39"/>
    <n v="237.67200000000003"/>
    <n v="687.62600000000009"/>
    <d v="2025-02-21T00:00:00"/>
    <d v="2025-03-02T00:00:00"/>
    <s v="Wendy"/>
    <n v="21"/>
    <n v="2"/>
    <x v="0"/>
    <x v="2"/>
    <x v="0"/>
    <n v="8"/>
  </r>
  <r>
    <d v="2025-06-24T00:00:00"/>
    <x v="0"/>
    <x v="5"/>
    <n v="5"/>
    <n v="137.56"/>
    <x v="2"/>
    <x v="0"/>
    <n v="0.15"/>
    <x v="4"/>
    <n v="584.63"/>
    <x v="3"/>
    <s v="SAVE10"/>
    <n v="0"/>
    <x v="797"/>
    <s v="Aman Mehta"/>
    <n v="6.45"/>
    <n v="116.926"/>
    <n v="578.17999999999995"/>
    <d v="2025-06-24T00:00:00"/>
    <d v="2025-07-01T00:00:00"/>
    <s v="Eric"/>
    <n v="24"/>
    <n v="6"/>
    <x v="3"/>
    <x v="2"/>
    <x v="2"/>
    <n v="26"/>
  </r>
  <r>
    <d v="2023-11-28T00:00:00"/>
    <x v="3"/>
    <x v="0"/>
    <n v="8"/>
    <n v="157.93"/>
    <x v="0"/>
    <x v="1"/>
    <n v="0.15"/>
    <x v="4"/>
    <n v="1073.924"/>
    <x v="0"/>
    <s v="SAVE10"/>
    <n v="0"/>
    <x v="798"/>
    <s v="Riya Thomas"/>
    <n v="6.31"/>
    <n v="134.2405"/>
    <n v="1067.614"/>
    <d v="2023-11-28T00:00:00"/>
    <d v="2023-12-05T00:00:00"/>
    <s v="Cameron"/>
    <n v="28"/>
    <n v="11"/>
    <x v="9"/>
    <x v="0"/>
    <x v="1"/>
    <n v="48"/>
  </r>
  <r>
    <d v="2024-04-08T00:00:00"/>
    <x v="2"/>
    <x v="2"/>
    <n v="6"/>
    <n v="126.86"/>
    <x v="2"/>
    <x v="0"/>
    <n v="0.05"/>
    <x v="0"/>
    <n v="723.10199999999998"/>
    <x v="3"/>
    <s v="FREESHIP"/>
    <n v="0"/>
    <x v="799"/>
    <s v="Parth Thakur"/>
    <n v="35.49"/>
    <n v="120.517"/>
    <n v="687.61199999999997"/>
    <d v="2024-04-08T00:00:00"/>
    <d v="2024-04-17T00:00:00"/>
    <s v="Ryan"/>
    <n v="8"/>
    <n v="4"/>
    <x v="7"/>
    <x v="1"/>
    <x v="2"/>
    <n v="15"/>
  </r>
  <r>
    <d v="2025-01-07T00:00:00"/>
    <x v="2"/>
    <x v="3"/>
    <n v="15"/>
    <n v="240.05"/>
    <x v="2"/>
    <x v="1"/>
    <n v="0.05"/>
    <x v="3"/>
    <n v="3420.7125000000001"/>
    <x v="2"/>
    <s v="FREESHIP"/>
    <n v="0"/>
    <x v="800"/>
    <s v="Atharv Verma"/>
    <n v="14.31"/>
    <n v="228.04750000000001"/>
    <n v="3406.4025000000001"/>
    <d v="2025-01-07T00:00:00"/>
    <d v="2025-01-14T00:00:00"/>
    <s v="Ryan"/>
    <n v="7"/>
    <n v="1"/>
    <x v="4"/>
    <x v="2"/>
    <x v="0"/>
    <n v="2"/>
  </r>
  <r>
    <d v="2023-02-24T00:00:00"/>
    <x v="1"/>
    <x v="5"/>
    <n v="3"/>
    <n v="37.630000000000003"/>
    <x v="1"/>
    <x v="0"/>
    <n v="0.1"/>
    <x v="3"/>
    <n v="101.601"/>
    <x v="3"/>
    <s v="FREESHIP"/>
    <n v="0"/>
    <x v="801"/>
    <s v="Ved Rawat"/>
    <n v="43.7"/>
    <n v="33.866999999999997"/>
    <n v="57.900999999999996"/>
    <d v="2023-02-24T00:00:00"/>
    <d v="2023-03-03T00:00:00"/>
    <s v="Sophie"/>
    <n v="24"/>
    <n v="2"/>
    <x v="0"/>
    <x v="0"/>
    <x v="0"/>
    <n v="8"/>
  </r>
  <r>
    <d v="2023-10-19T00:00:00"/>
    <x v="0"/>
    <x v="3"/>
    <n v="13"/>
    <n v="393.1"/>
    <x v="0"/>
    <x v="0"/>
    <n v="0.1"/>
    <x v="1"/>
    <n v="4599.2700000000004"/>
    <x v="0"/>
    <s v="nan"/>
    <n v="0"/>
    <x v="802"/>
    <s v="Ashwin Thakur"/>
    <n v="12.64"/>
    <n v="353.79"/>
    <n v="4586.63"/>
    <d v="2023-10-19T00:00:00"/>
    <d v="2023-10-26T00:00:00"/>
    <s v="Eric"/>
    <n v="19"/>
    <n v="10"/>
    <x v="5"/>
    <x v="0"/>
    <x v="1"/>
    <n v="42"/>
  </r>
  <r>
    <d v="2024-06-17T00:00:00"/>
    <x v="2"/>
    <x v="3"/>
    <n v="10"/>
    <n v="83.86"/>
    <x v="1"/>
    <x v="0"/>
    <n v="0.15"/>
    <x v="1"/>
    <n v="712.81"/>
    <x v="2"/>
    <s v="nan"/>
    <n v="0"/>
    <x v="803"/>
    <s v="Zara Chopra"/>
    <n v="41.11"/>
    <n v="71.280999999999992"/>
    <n v="671.69999999999993"/>
    <d v="2024-06-17T00:00:00"/>
    <d v="2024-06-21T00:00:00"/>
    <s v="Ryan"/>
    <n v="17"/>
    <n v="6"/>
    <x v="3"/>
    <x v="1"/>
    <x v="2"/>
    <n v="25"/>
  </r>
  <r>
    <d v="2023-06-21T00:00:00"/>
    <x v="3"/>
    <x v="2"/>
    <n v="10"/>
    <n v="110.07"/>
    <x v="0"/>
    <x v="0"/>
    <n v="0"/>
    <x v="2"/>
    <n v="1100.7"/>
    <x v="2"/>
    <s v="nan"/>
    <n v="0"/>
    <x v="804"/>
    <s v="Atharv Jain"/>
    <n v="18.47"/>
    <n v="110.07000000000001"/>
    <n v="1082.23"/>
    <d v="2023-06-21T00:00:00"/>
    <d v="2023-06-29T00:00:00"/>
    <s v="Cameron"/>
    <n v="21"/>
    <n v="6"/>
    <x v="3"/>
    <x v="0"/>
    <x v="2"/>
    <n v="25"/>
  </r>
  <r>
    <d v="2024-08-30T00:00:00"/>
    <x v="0"/>
    <x v="1"/>
    <n v="6"/>
    <n v="288.98"/>
    <x v="2"/>
    <x v="0"/>
    <n v="0.15"/>
    <x v="4"/>
    <n v="1473.798"/>
    <x v="1"/>
    <s v="nan"/>
    <n v="0"/>
    <x v="805"/>
    <s v="Tanvi Ghosh"/>
    <n v="38.630000000000003"/>
    <n v="245.63300000000001"/>
    <n v="1435.1679999999999"/>
    <d v="2024-08-30T00:00:00"/>
    <d v="2024-09-02T00:00:00"/>
    <s v="Eric"/>
    <n v="30"/>
    <n v="8"/>
    <x v="10"/>
    <x v="1"/>
    <x v="3"/>
    <n v="35"/>
  </r>
  <r>
    <d v="2025-01-03T00:00:00"/>
    <x v="3"/>
    <x v="2"/>
    <n v="10"/>
    <n v="451.14"/>
    <x v="1"/>
    <x v="1"/>
    <n v="0"/>
    <x v="5"/>
    <n v="4511.3999999999996"/>
    <x v="1"/>
    <s v="FREESHIP"/>
    <n v="0"/>
    <x v="806"/>
    <s v="Mitali Khanna"/>
    <n v="29.96"/>
    <n v="451.14"/>
    <n v="4481.4399999999996"/>
    <d v="2025-01-03T00:00:00"/>
    <d v="2025-01-13T00:00:00"/>
    <s v="Cameron"/>
    <n v="3"/>
    <n v="1"/>
    <x v="4"/>
    <x v="2"/>
    <x v="0"/>
    <n v="1"/>
  </r>
  <r>
    <d v="2023-02-23T00:00:00"/>
    <x v="4"/>
    <x v="6"/>
    <n v="16"/>
    <n v="509.08"/>
    <x v="2"/>
    <x v="0"/>
    <n v="0"/>
    <x v="3"/>
    <n v="8145.28"/>
    <x v="0"/>
    <s v="FREESHIP"/>
    <n v="0"/>
    <x v="807"/>
    <s v="Gaurav Das"/>
    <n v="37.53"/>
    <n v="509.08"/>
    <n v="8107.75"/>
    <d v="2023-02-23T00:00:00"/>
    <d v="2023-03-02T00:00:00"/>
    <s v="Wendy"/>
    <n v="23"/>
    <n v="2"/>
    <x v="0"/>
    <x v="0"/>
    <x v="0"/>
    <n v="8"/>
  </r>
  <r>
    <d v="2025-04-26T00:00:00"/>
    <x v="3"/>
    <x v="6"/>
    <n v="4"/>
    <n v="582.73"/>
    <x v="3"/>
    <x v="0"/>
    <n v="0.05"/>
    <x v="3"/>
    <n v="2214.3739999999998"/>
    <x v="4"/>
    <s v="WINTER15"/>
    <n v="0"/>
    <x v="808"/>
    <s v="Isha Shah"/>
    <n v="44.26"/>
    <n v="553.59349999999995"/>
    <n v="2170.1139999999996"/>
    <d v="2025-04-26T00:00:00"/>
    <d v="2025-04-29T00:00:00"/>
    <s v="Cameron"/>
    <n v="26"/>
    <n v="4"/>
    <x v="7"/>
    <x v="2"/>
    <x v="2"/>
    <n v="17"/>
  </r>
  <r>
    <d v="2023-06-08T00:00:00"/>
    <x v="1"/>
    <x v="1"/>
    <n v="9"/>
    <n v="115.24"/>
    <x v="0"/>
    <x v="0"/>
    <n v="0"/>
    <x v="1"/>
    <n v="1037.1600000000001"/>
    <x v="2"/>
    <s v="FREESHIP"/>
    <n v="0"/>
    <x v="809"/>
    <s v="Yash George"/>
    <n v="8.2799999999999994"/>
    <n v="115.24000000000001"/>
    <n v="1028.8800000000001"/>
    <d v="2023-06-08T00:00:00"/>
    <d v="2023-06-14T00:00:00"/>
    <s v="Sophie"/>
    <n v="8"/>
    <n v="6"/>
    <x v="3"/>
    <x v="0"/>
    <x v="2"/>
    <n v="23"/>
  </r>
  <r>
    <d v="2023-03-16T00:00:00"/>
    <x v="2"/>
    <x v="4"/>
    <n v="14"/>
    <n v="565.45000000000005"/>
    <x v="3"/>
    <x v="0"/>
    <n v="0.1"/>
    <x v="0"/>
    <n v="7124.670000000001"/>
    <x v="0"/>
    <s v="WINTER15"/>
    <n v="0"/>
    <x v="810"/>
    <s v="Raj Thomas"/>
    <n v="24.4"/>
    <n v="508.90500000000009"/>
    <n v="7100.2700000000013"/>
    <d v="2023-03-16T00:00:00"/>
    <d v="2023-03-25T00:00:00"/>
    <s v="Ryan"/>
    <n v="16"/>
    <n v="3"/>
    <x v="6"/>
    <x v="0"/>
    <x v="0"/>
    <n v="11"/>
  </r>
  <r>
    <d v="2024-10-23T00:00:00"/>
    <x v="2"/>
    <x v="1"/>
    <n v="11"/>
    <n v="121.54"/>
    <x v="3"/>
    <x v="0"/>
    <n v="0"/>
    <x v="3"/>
    <n v="1336.94"/>
    <x v="2"/>
    <s v="SAVE10"/>
    <n v="0"/>
    <x v="811"/>
    <s v="Ananya Chopra"/>
    <n v="16.62"/>
    <n v="121.54"/>
    <n v="1320.3200000000002"/>
    <d v="2024-10-23T00:00:00"/>
    <d v="2024-10-28T00:00:00"/>
    <s v="Ryan"/>
    <n v="23"/>
    <n v="10"/>
    <x v="5"/>
    <x v="1"/>
    <x v="1"/>
    <n v="43"/>
  </r>
  <r>
    <d v="2025-05-23T00:00:00"/>
    <x v="0"/>
    <x v="6"/>
    <n v="9"/>
    <n v="160.15"/>
    <x v="3"/>
    <x v="1"/>
    <n v="0.1"/>
    <x v="1"/>
    <n v="1297.2149999999999"/>
    <x v="3"/>
    <s v="nan"/>
    <n v="1"/>
    <x v="812"/>
    <s v="Aditi Tiwari"/>
    <n v="29.64"/>
    <n v="144.13499999999999"/>
    <n v="1267.5749999999998"/>
    <d v="2025-05-23T00:00:00"/>
    <d v="2025-05-28T00:00:00"/>
    <s v="Eric"/>
    <n v="23"/>
    <n v="5"/>
    <x v="2"/>
    <x v="2"/>
    <x v="2"/>
    <n v="21"/>
  </r>
  <r>
    <d v="2023-05-06T00:00:00"/>
    <x v="0"/>
    <x v="2"/>
    <n v="14"/>
    <n v="175.66"/>
    <x v="0"/>
    <x v="0"/>
    <n v="0.05"/>
    <x v="5"/>
    <n v="2336.2779999999998"/>
    <x v="4"/>
    <s v="SAVE10"/>
    <n v="0"/>
    <x v="813"/>
    <s v="Aman Yadav"/>
    <n v="26.12"/>
    <n v="166.87699999999998"/>
    <n v="2310.1579999999999"/>
    <d v="2023-05-06T00:00:00"/>
    <d v="2023-05-14T00:00:00"/>
    <s v="Eric"/>
    <n v="6"/>
    <n v="5"/>
    <x v="2"/>
    <x v="0"/>
    <x v="2"/>
    <n v="18"/>
  </r>
  <r>
    <d v="2024-08-15T00:00:00"/>
    <x v="1"/>
    <x v="5"/>
    <n v="3"/>
    <n v="437.97"/>
    <x v="2"/>
    <x v="0"/>
    <n v="0.05"/>
    <x v="0"/>
    <n v="1248.2145"/>
    <x v="4"/>
    <s v="SAVE10"/>
    <n v="1"/>
    <x v="814"/>
    <s v="Suresh Shah"/>
    <n v="23.29"/>
    <n v="416.07150000000001"/>
    <n v="1224.9245000000001"/>
    <d v="2024-08-15T00:00:00"/>
    <d v="2024-08-22T00:00:00"/>
    <s v="Sophie"/>
    <n v="15"/>
    <n v="8"/>
    <x v="10"/>
    <x v="1"/>
    <x v="3"/>
    <n v="33"/>
  </r>
  <r>
    <d v="2023-08-23T00:00:00"/>
    <x v="1"/>
    <x v="6"/>
    <n v="12"/>
    <n v="411.59"/>
    <x v="0"/>
    <x v="0"/>
    <n v="0.15"/>
    <x v="4"/>
    <n v="4198.2179999999998"/>
    <x v="4"/>
    <s v="FREESHIP"/>
    <n v="0"/>
    <x v="815"/>
    <s v="Aisha Shaikh"/>
    <n v="19.170000000000002"/>
    <n v="349.85149999999999"/>
    <n v="4179.0479999999998"/>
    <d v="2023-08-23T00:00:00"/>
    <d v="2023-08-31T00:00:00"/>
    <s v="Sophie"/>
    <n v="23"/>
    <n v="8"/>
    <x v="10"/>
    <x v="0"/>
    <x v="3"/>
    <n v="34"/>
  </r>
  <r>
    <d v="2025-04-13T00:00:00"/>
    <x v="1"/>
    <x v="0"/>
    <n v="1"/>
    <n v="163.29"/>
    <x v="0"/>
    <x v="1"/>
    <n v="0"/>
    <x v="4"/>
    <n v="163.29"/>
    <x v="2"/>
    <s v="WINTER15"/>
    <n v="0"/>
    <x v="816"/>
    <s v="Arjun Thakur"/>
    <n v="21.15"/>
    <n v="163.29"/>
    <n v="142.13999999999999"/>
    <d v="2025-04-13T00:00:00"/>
    <d v="2025-04-22T00:00:00"/>
    <s v="Sophie"/>
    <n v="13"/>
    <n v="4"/>
    <x v="7"/>
    <x v="2"/>
    <x v="2"/>
    <n v="15"/>
  </r>
  <r>
    <d v="2024-06-11T00:00:00"/>
    <x v="3"/>
    <x v="2"/>
    <n v="5"/>
    <n v="538.52"/>
    <x v="0"/>
    <x v="0"/>
    <n v="0.05"/>
    <x v="1"/>
    <n v="2557.9699999999998"/>
    <x v="1"/>
    <s v="nan"/>
    <n v="0"/>
    <x v="817"/>
    <s v="Fatima Rawat"/>
    <n v="45.81"/>
    <n v="511.59399999999994"/>
    <n v="2512.16"/>
    <d v="2024-06-11T00:00:00"/>
    <d v="2024-06-17T00:00:00"/>
    <s v="Cameron"/>
    <n v="11"/>
    <n v="6"/>
    <x v="3"/>
    <x v="1"/>
    <x v="2"/>
    <n v="24"/>
  </r>
  <r>
    <d v="2024-04-29T00:00:00"/>
    <x v="1"/>
    <x v="1"/>
    <n v="11"/>
    <n v="255.95"/>
    <x v="2"/>
    <x v="0"/>
    <n v="0.1"/>
    <x v="1"/>
    <n v="2533.9050000000002"/>
    <x v="0"/>
    <s v="nan"/>
    <n v="0"/>
    <x v="818"/>
    <s v="Ananya Joshi"/>
    <n v="21.99"/>
    <n v="230.35500000000002"/>
    <n v="2511.9150000000004"/>
    <d v="2024-04-29T00:00:00"/>
    <d v="2024-05-04T00:00:00"/>
    <s v="Sophie"/>
    <n v="29"/>
    <n v="4"/>
    <x v="7"/>
    <x v="1"/>
    <x v="2"/>
    <n v="18"/>
  </r>
  <r>
    <d v="2023-03-27T00:00:00"/>
    <x v="1"/>
    <x v="2"/>
    <n v="7"/>
    <n v="290.22000000000003"/>
    <x v="1"/>
    <x v="1"/>
    <n v="0.1"/>
    <x v="1"/>
    <n v="1828.386"/>
    <x v="4"/>
    <s v="WINTER15"/>
    <n v="0"/>
    <x v="819"/>
    <s v="Abhishek Mirza"/>
    <n v="33.15"/>
    <n v="261.19799999999998"/>
    <n v="1795.2359999999999"/>
    <d v="2023-03-27T00:00:00"/>
    <d v="2023-04-04T00:00:00"/>
    <s v="Sophie"/>
    <n v="27"/>
    <n v="3"/>
    <x v="6"/>
    <x v="0"/>
    <x v="0"/>
    <n v="13"/>
  </r>
  <r>
    <d v="2024-10-23T00:00:00"/>
    <x v="2"/>
    <x v="3"/>
    <n v="20"/>
    <n v="198.95"/>
    <x v="0"/>
    <x v="1"/>
    <n v="0.1"/>
    <x v="4"/>
    <n v="3581.1"/>
    <x v="2"/>
    <s v="nan"/>
    <n v="1"/>
    <x v="820"/>
    <s v="Kiara Shetty"/>
    <n v="5.16"/>
    <n v="179.05500000000001"/>
    <n v="3575.94"/>
    <d v="2024-10-23T00:00:00"/>
    <d v="2024-10-25T00:00:00"/>
    <s v="Ryan"/>
    <n v="23"/>
    <n v="10"/>
    <x v="5"/>
    <x v="1"/>
    <x v="1"/>
    <n v="43"/>
  </r>
  <r>
    <d v="2023-06-21T00:00:00"/>
    <x v="2"/>
    <x v="6"/>
    <n v="11"/>
    <n v="577.1"/>
    <x v="2"/>
    <x v="1"/>
    <n v="0.15"/>
    <x v="2"/>
    <n v="5395.8850000000002"/>
    <x v="4"/>
    <s v="SAVE10"/>
    <n v="0"/>
    <x v="821"/>
    <s v="Sara Malhotra"/>
    <n v="13.16"/>
    <n v="490.53500000000003"/>
    <n v="5382.7250000000004"/>
    <d v="2023-06-21T00:00:00"/>
    <d v="2023-06-28T00:00:00"/>
    <s v="Ryan"/>
    <n v="21"/>
    <n v="6"/>
    <x v="3"/>
    <x v="0"/>
    <x v="2"/>
    <n v="25"/>
  </r>
  <r>
    <d v="2023-05-12T00:00:00"/>
    <x v="3"/>
    <x v="6"/>
    <n v="10"/>
    <n v="50.1"/>
    <x v="1"/>
    <x v="0"/>
    <n v="0.1"/>
    <x v="5"/>
    <n v="450.9"/>
    <x v="4"/>
    <s v="FREESHIP"/>
    <n v="1"/>
    <x v="822"/>
    <s v="Nisha Chopra"/>
    <n v="23.43"/>
    <n v="45.089999999999996"/>
    <n v="427.46999999999997"/>
    <d v="2023-05-12T00:00:00"/>
    <d v="2023-05-19T00:00:00"/>
    <s v="Cameron"/>
    <n v="12"/>
    <n v="5"/>
    <x v="2"/>
    <x v="0"/>
    <x v="2"/>
    <n v="19"/>
  </r>
  <r>
    <d v="2024-10-20T00:00:00"/>
    <x v="3"/>
    <x v="6"/>
    <n v="19"/>
    <n v="554.5"/>
    <x v="0"/>
    <x v="1"/>
    <n v="0.15"/>
    <x v="3"/>
    <n v="8955.1749999999993"/>
    <x v="0"/>
    <s v="nan"/>
    <n v="1"/>
    <x v="823"/>
    <s v="Ankit Chaudhary"/>
    <n v="47.16"/>
    <n v="471.32499999999999"/>
    <n v="8908.0149999999994"/>
    <d v="2024-10-20T00:00:00"/>
    <d v="2024-10-24T00:00:00"/>
    <s v="Cameron"/>
    <n v="20"/>
    <n v="10"/>
    <x v="5"/>
    <x v="1"/>
    <x v="1"/>
    <n v="42"/>
  </r>
  <r>
    <d v="2024-04-04T00:00:00"/>
    <x v="2"/>
    <x v="0"/>
    <n v="14"/>
    <n v="117.31"/>
    <x v="1"/>
    <x v="0"/>
    <n v="0"/>
    <x v="4"/>
    <n v="1642.34"/>
    <x v="0"/>
    <s v="WINTER15"/>
    <n v="0"/>
    <x v="824"/>
    <s v="Nisha Rao"/>
    <n v="41.24"/>
    <n v="117.30999999999999"/>
    <n v="1601.1"/>
    <d v="2024-04-04T00:00:00"/>
    <d v="2024-04-07T00:00:00"/>
    <s v="Ryan"/>
    <n v="4"/>
    <n v="4"/>
    <x v="7"/>
    <x v="1"/>
    <x v="2"/>
    <n v="14"/>
  </r>
  <r>
    <d v="2025-01-12T00:00:00"/>
    <x v="3"/>
    <x v="5"/>
    <n v="3"/>
    <n v="193.98"/>
    <x v="1"/>
    <x v="1"/>
    <n v="0"/>
    <x v="5"/>
    <n v="581.93999999999994"/>
    <x v="2"/>
    <s v="WINTER15"/>
    <n v="0"/>
    <x v="825"/>
    <s v="Nisha D'Souza"/>
    <n v="27.53"/>
    <n v="193.98"/>
    <n v="554.41"/>
    <d v="2025-01-12T00:00:00"/>
    <d v="2025-01-16T00:00:00"/>
    <s v="Cameron"/>
    <n v="12"/>
    <n v="1"/>
    <x v="4"/>
    <x v="2"/>
    <x v="0"/>
    <n v="2"/>
  </r>
  <r>
    <d v="2023-07-24T00:00:00"/>
    <x v="1"/>
    <x v="1"/>
    <n v="20"/>
    <n v="386.86"/>
    <x v="1"/>
    <x v="0"/>
    <n v="0.05"/>
    <x v="3"/>
    <n v="7350.34"/>
    <x v="0"/>
    <s v="WINTER15"/>
    <n v="0"/>
    <x v="826"/>
    <s v="Siddharth Nair"/>
    <n v="41.56"/>
    <n v="367.517"/>
    <n v="7308.78"/>
    <d v="2023-07-24T00:00:00"/>
    <d v="2023-07-29T00:00:00"/>
    <s v="Sophie"/>
    <n v="24"/>
    <n v="7"/>
    <x v="8"/>
    <x v="0"/>
    <x v="3"/>
    <n v="30"/>
  </r>
  <r>
    <d v="2023-09-09T00:00:00"/>
    <x v="2"/>
    <x v="3"/>
    <n v="12"/>
    <n v="81.33"/>
    <x v="3"/>
    <x v="0"/>
    <n v="0"/>
    <x v="3"/>
    <n v="975.96"/>
    <x v="4"/>
    <s v="SAVE10"/>
    <n v="1"/>
    <x v="827"/>
    <s v="Isha Farooqui"/>
    <n v="30.73"/>
    <n v="81.33"/>
    <n v="945.23"/>
    <d v="2023-09-09T00:00:00"/>
    <d v="2023-09-13T00:00:00"/>
    <s v="Ryan"/>
    <n v="9"/>
    <n v="9"/>
    <x v="11"/>
    <x v="0"/>
    <x v="3"/>
    <n v="36"/>
  </r>
  <r>
    <d v="2024-04-20T00:00:00"/>
    <x v="0"/>
    <x v="6"/>
    <n v="5"/>
    <n v="550.65"/>
    <x v="1"/>
    <x v="1"/>
    <n v="0.15"/>
    <x v="5"/>
    <n v="2340.2624999999998"/>
    <x v="1"/>
    <s v="nan"/>
    <n v="0"/>
    <x v="828"/>
    <s v="Simran Tiwari"/>
    <n v="16.82"/>
    <n v="468.05249999999995"/>
    <n v="2323.4424999999997"/>
    <d v="2024-04-20T00:00:00"/>
    <d v="2024-04-27T00:00:00"/>
    <s v="Eric"/>
    <n v="20"/>
    <n v="4"/>
    <x v="7"/>
    <x v="1"/>
    <x v="2"/>
    <n v="16"/>
  </r>
  <r>
    <d v="2025-02-06T00:00:00"/>
    <x v="4"/>
    <x v="6"/>
    <n v="4"/>
    <n v="473.91"/>
    <x v="1"/>
    <x v="1"/>
    <n v="0.05"/>
    <x v="0"/>
    <n v="1800.8579999999999"/>
    <x v="2"/>
    <s v="SAVE10"/>
    <n v="0"/>
    <x v="829"/>
    <s v="Harsh Sinha"/>
    <n v="29.22"/>
    <n v="450.21449999999999"/>
    <n v="1771.6379999999999"/>
    <d v="2025-02-06T00:00:00"/>
    <d v="2025-02-14T00:00:00"/>
    <s v="Wendy"/>
    <n v="6"/>
    <n v="2"/>
    <x v="0"/>
    <x v="2"/>
    <x v="0"/>
    <n v="6"/>
  </r>
  <r>
    <d v="2023-06-18T00:00:00"/>
    <x v="4"/>
    <x v="5"/>
    <n v="19"/>
    <n v="25.22"/>
    <x v="2"/>
    <x v="0"/>
    <n v="0"/>
    <x v="5"/>
    <n v="479.17999999999989"/>
    <x v="2"/>
    <s v="nan"/>
    <n v="0"/>
    <x v="830"/>
    <s v="Ishaan Agarwal"/>
    <n v="31.31"/>
    <n v="25.219999999999995"/>
    <n v="447.86999999999989"/>
    <d v="2023-06-18T00:00:00"/>
    <d v="2023-06-22T00:00:00"/>
    <s v="Wendy"/>
    <n v="18"/>
    <n v="6"/>
    <x v="3"/>
    <x v="0"/>
    <x v="2"/>
    <n v="24"/>
  </r>
  <r>
    <d v="2024-11-01T00:00:00"/>
    <x v="2"/>
    <x v="1"/>
    <n v="2"/>
    <n v="437.04"/>
    <x v="2"/>
    <x v="0"/>
    <n v="0"/>
    <x v="2"/>
    <n v="874.08"/>
    <x v="2"/>
    <s v="SAVE10"/>
    <n v="1"/>
    <x v="831"/>
    <s v="Krish Farooqui"/>
    <n v="37.369999999999997"/>
    <n v="437.04"/>
    <n v="836.71"/>
    <d v="2024-11-01T00:00:00"/>
    <d v="2024-11-08T00:00:00"/>
    <s v="Ryan"/>
    <n v="1"/>
    <n v="11"/>
    <x v="9"/>
    <x v="1"/>
    <x v="1"/>
    <n v="44"/>
  </r>
  <r>
    <d v="2024-08-12T00:00:00"/>
    <x v="4"/>
    <x v="2"/>
    <n v="5"/>
    <n v="448.86"/>
    <x v="2"/>
    <x v="0"/>
    <n v="0.15"/>
    <x v="2"/>
    <n v="1907.655"/>
    <x v="2"/>
    <s v="SAVE10"/>
    <n v="1"/>
    <x v="832"/>
    <s v="Fatima Sen"/>
    <n v="21.22"/>
    <n v="381.53100000000001"/>
    <n v="1886.4349999999999"/>
    <d v="2024-08-12T00:00:00"/>
    <d v="2024-08-21T00:00:00"/>
    <s v="Wendy"/>
    <n v="12"/>
    <n v="8"/>
    <x v="10"/>
    <x v="1"/>
    <x v="3"/>
    <n v="33"/>
  </r>
  <r>
    <d v="2025-04-08T00:00:00"/>
    <x v="3"/>
    <x v="1"/>
    <n v="14"/>
    <n v="299.94"/>
    <x v="3"/>
    <x v="1"/>
    <n v="0"/>
    <x v="3"/>
    <n v="4199.16"/>
    <x v="1"/>
    <s v="FREESHIP"/>
    <n v="0"/>
    <x v="833"/>
    <s v="Nisha Tiwari"/>
    <n v="21.04"/>
    <n v="299.94"/>
    <n v="4178.12"/>
    <d v="2025-04-08T00:00:00"/>
    <d v="2025-04-17T00:00:00"/>
    <s v="Cameron"/>
    <n v="8"/>
    <n v="4"/>
    <x v="7"/>
    <x v="2"/>
    <x v="2"/>
    <n v="15"/>
  </r>
  <r>
    <d v="2024-07-20T00:00:00"/>
    <x v="3"/>
    <x v="0"/>
    <n v="8"/>
    <n v="224.18"/>
    <x v="0"/>
    <x v="1"/>
    <n v="0.15"/>
    <x v="5"/>
    <n v="1524.424"/>
    <x v="3"/>
    <s v="nan"/>
    <n v="0"/>
    <x v="834"/>
    <s v="Nazia Malik"/>
    <n v="36.9"/>
    <n v="190.553"/>
    <n v="1487.5239999999999"/>
    <d v="2024-07-20T00:00:00"/>
    <d v="2024-07-26T00:00:00"/>
    <s v="Cameron"/>
    <n v="20"/>
    <n v="7"/>
    <x v="8"/>
    <x v="1"/>
    <x v="3"/>
    <n v="29"/>
  </r>
  <r>
    <d v="2023-02-17T00:00:00"/>
    <x v="4"/>
    <x v="2"/>
    <n v="6"/>
    <n v="327.69"/>
    <x v="3"/>
    <x v="0"/>
    <n v="0.05"/>
    <x v="4"/>
    <n v="1867.8330000000001"/>
    <x v="4"/>
    <s v="nan"/>
    <n v="0"/>
    <x v="835"/>
    <s v="Ananya Pathan"/>
    <n v="22.34"/>
    <n v="311.30549999999999"/>
    <n v="1845.4930000000002"/>
    <d v="2023-02-17T00:00:00"/>
    <d v="2023-02-21T00:00:00"/>
    <s v="Wendy"/>
    <n v="17"/>
    <n v="2"/>
    <x v="0"/>
    <x v="0"/>
    <x v="0"/>
    <n v="7"/>
  </r>
  <r>
    <d v="2024-07-02T00:00:00"/>
    <x v="0"/>
    <x v="1"/>
    <n v="8"/>
    <n v="432.27"/>
    <x v="3"/>
    <x v="1"/>
    <n v="0.05"/>
    <x v="0"/>
    <n v="3285.251999999999"/>
    <x v="4"/>
    <s v="FREESHIP"/>
    <n v="1"/>
    <x v="836"/>
    <s v="Harsh Kaur"/>
    <n v="20.64"/>
    <n v="410.65649999999988"/>
    <n v="3264.6119999999992"/>
    <d v="2024-07-02T00:00:00"/>
    <d v="2024-07-04T00:00:00"/>
    <s v="Eric"/>
    <n v="2"/>
    <n v="7"/>
    <x v="8"/>
    <x v="1"/>
    <x v="3"/>
    <n v="27"/>
  </r>
  <r>
    <d v="2025-04-01T00:00:00"/>
    <x v="2"/>
    <x v="4"/>
    <n v="4"/>
    <n v="249.98"/>
    <x v="2"/>
    <x v="1"/>
    <n v="0.15"/>
    <x v="0"/>
    <n v="849.9319999999999"/>
    <x v="3"/>
    <s v="SAVE10"/>
    <n v="0"/>
    <x v="837"/>
    <s v="Harsh Bhargava"/>
    <n v="49.08"/>
    <n v="212.48299999999998"/>
    <n v="800.85199999999986"/>
    <d v="2025-04-01T00:00:00"/>
    <d v="2025-04-04T00:00:00"/>
    <s v="Ryan"/>
    <n v="1"/>
    <n v="4"/>
    <x v="7"/>
    <x v="2"/>
    <x v="2"/>
    <n v="14"/>
  </r>
  <r>
    <d v="2025-06-02T00:00:00"/>
    <x v="1"/>
    <x v="6"/>
    <n v="14"/>
    <n v="194.31"/>
    <x v="2"/>
    <x v="0"/>
    <n v="0.15"/>
    <x v="2"/>
    <n v="2312.2890000000002"/>
    <x v="3"/>
    <s v="FREESHIP"/>
    <n v="0"/>
    <x v="838"/>
    <s v="Arjun Desai"/>
    <n v="15.3"/>
    <n v="165.16350000000003"/>
    <n v="2296.989"/>
    <d v="2025-06-02T00:00:00"/>
    <d v="2025-06-09T00:00:00"/>
    <s v="Sophie"/>
    <n v="2"/>
    <n v="6"/>
    <x v="3"/>
    <x v="2"/>
    <x v="2"/>
    <n v="23"/>
  </r>
  <r>
    <d v="2024-11-21T00:00:00"/>
    <x v="4"/>
    <x v="1"/>
    <n v="5"/>
    <n v="69.290000000000006"/>
    <x v="2"/>
    <x v="0"/>
    <n v="0"/>
    <x v="3"/>
    <n v="346.45"/>
    <x v="2"/>
    <s v="nan"/>
    <n v="0"/>
    <x v="839"/>
    <s v="Rohan Ghosh"/>
    <n v="20.83"/>
    <n v="69.289999999999992"/>
    <n v="325.62"/>
    <d v="2024-11-21T00:00:00"/>
    <d v="2024-11-29T00:00:00"/>
    <s v="Wendy"/>
    <n v="21"/>
    <n v="11"/>
    <x v="9"/>
    <x v="1"/>
    <x v="1"/>
    <n v="47"/>
  </r>
  <r>
    <d v="2024-01-10T00:00:00"/>
    <x v="1"/>
    <x v="6"/>
    <n v="15"/>
    <n v="306.91000000000003"/>
    <x v="1"/>
    <x v="1"/>
    <n v="0"/>
    <x v="3"/>
    <n v="4603.6500000000005"/>
    <x v="4"/>
    <s v="FREESHIP"/>
    <n v="1"/>
    <x v="840"/>
    <s v="Varun Pai"/>
    <n v="19.38"/>
    <n v="306.91000000000003"/>
    <n v="4584.2700000000004"/>
    <d v="2024-01-10T00:00:00"/>
    <d v="2024-01-14T00:00:00"/>
    <s v="Sophie"/>
    <n v="10"/>
    <n v="1"/>
    <x v="4"/>
    <x v="1"/>
    <x v="0"/>
    <n v="2"/>
  </r>
  <r>
    <d v="2023-10-21T00:00:00"/>
    <x v="2"/>
    <x v="2"/>
    <n v="4"/>
    <n v="390.3"/>
    <x v="1"/>
    <x v="1"/>
    <n v="0.15"/>
    <x v="4"/>
    <n v="1327.02"/>
    <x v="3"/>
    <s v="nan"/>
    <n v="0"/>
    <x v="841"/>
    <s v="Rukhsar Mehta"/>
    <n v="43.56"/>
    <n v="331.755"/>
    <n v="1283.46"/>
    <d v="2023-10-21T00:00:00"/>
    <d v="2023-10-26T00:00:00"/>
    <s v="Ryan"/>
    <n v="21"/>
    <n v="10"/>
    <x v="5"/>
    <x v="0"/>
    <x v="1"/>
    <n v="42"/>
  </r>
  <r>
    <d v="2025-01-20T00:00:00"/>
    <x v="2"/>
    <x v="1"/>
    <n v="7"/>
    <n v="61.83"/>
    <x v="0"/>
    <x v="1"/>
    <n v="0"/>
    <x v="4"/>
    <n v="432.81"/>
    <x v="0"/>
    <s v="WINTER15"/>
    <n v="0"/>
    <x v="842"/>
    <s v="Pranav Hussain"/>
    <n v="25.49"/>
    <n v="61.83"/>
    <n v="407.32"/>
    <d v="2025-01-20T00:00:00"/>
    <d v="2025-01-22T00:00:00"/>
    <s v="Ryan"/>
    <n v="20"/>
    <n v="1"/>
    <x v="4"/>
    <x v="2"/>
    <x v="0"/>
    <n v="4"/>
  </r>
  <r>
    <d v="2024-11-09T00:00:00"/>
    <x v="4"/>
    <x v="4"/>
    <n v="7"/>
    <n v="83.32"/>
    <x v="3"/>
    <x v="0"/>
    <n v="0.05"/>
    <x v="3"/>
    <n v="554.07799999999997"/>
    <x v="4"/>
    <s v="FREESHIP"/>
    <n v="0"/>
    <x v="843"/>
    <s v="Myra Tiwari"/>
    <n v="23.4"/>
    <n v="79.153999999999996"/>
    <n v="530.678"/>
    <d v="2024-11-09T00:00:00"/>
    <d v="2024-11-17T00:00:00"/>
    <s v="Wendy"/>
    <n v="9"/>
    <n v="11"/>
    <x v="9"/>
    <x v="1"/>
    <x v="1"/>
    <n v="45"/>
  </r>
  <r>
    <d v="2024-04-03T00:00:00"/>
    <x v="4"/>
    <x v="4"/>
    <n v="4"/>
    <n v="563.05999999999995"/>
    <x v="3"/>
    <x v="1"/>
    <n v="0.05"/>
    <x v="5"/>
    <n v="2139.6280000000002"/>
    <x v="4"/>
    <s v="WINTER15"/>
    <n v="0"/>
    <x v="844"/>
    <s v="Aman Thomas"/>
    <n v="19.5"/>
    <n v="534.90700000000004"/>
    <n v="2120.1280000000002"/>
    <d v="2024-04-03T00:00:00"/>
    <d v="2024-04-07T00:00:00"/>
    <s v="Wendy"/>
    <n v="3"/>
    <n v="4"/>
    <x v="7"/>
    <x v="1"/>
    <x v="2"/>
    <n v="14"/>
  </r>
  <r>
    <d v="2024-01-06T00:00:00"/>
    <x v="2"/>
    <x v="1"/>
    <n v="13"/>
    <n v="256.35000000000002"/>
    <x v="3"/>
    <x v="0"/>
    <n v="0.15"/>
    <x v="1"/>
    <n v="2832.6675"/>
    <x v="4"/>
    <s v="SAVE10"/>
    <n v="0"/>
    <x v="845"/>
    <s v="Dhruv Chawla"/>
    <n v="26.04"/>
    <n v="217.89750000000001"/>
    <n v="2806.6275000000001"/>
    <d v="2024-01-06T00:00:00"/>
    <d v="2024-01-08T00:00:00"/>
    <s v="Ryan"/>
    <n v="6"/>
    <n v="1"/>
    <x v="4"/>
    <x v="1"/>
    <x v="0"/>
    <n v="1"/>
  </r>
  <r>
    <d v="2023-08-02T00:00:00"/>
    <x v="3"/>
    <x v="6"/>
    <n v="9"/>
    <n v="303.26"/>
    <x v="1"/>
    <x v="0"/>
    <n v="0.05"/>
    <x v="4"/>
    <n v="2592.873"/>
    <x v="3"/>
    <s v="FREESHIP"/>
    <n v="0"/>
    <x v="846"/>
    <s v="Kabir Chopra"/>
    <n v="17.010000000000002"/>
    <n v="288.09699999999998"/>
    <n v="2575.8629999999998"/>
    <d v="2023-08-02T00:00:00"/>
    <d v="2023-08-05T00:00:00"/>
    <s v="Cameron"/>
    <n v="2"/>
    <n v="8"/>
    <x v="10"/>
    <x v="0"/>
    <x v="3"/>
    <n v="31"/>
  </r>
  <r>
    <d v="2023-11-26T00:00:00"/>
    <x v="2"/>
    <x v="3"/>
    <n v="9"/>
    <n v="440.48"/>
    <x v="1"/>
    <x v="1"/>
    <n v="0.15"/>
    <x v="4"/>
    <n v="3369.672"/>
    <x v="1"/>
    <s v="WINTER15"/>
    <n v="0"/>
    <x v="847"/>
    <s v="Krish Hegde"/>
    <n v="32.94"/>
    <n v="374.40800000000002"/>
    <n v="3336.732"/>
    <d v="2023-11-26T00:00:00"/>
    <d v="2023-12-01T00:00:00"/>
    <s v="Ryan"/>
    <n v="26"/>
    <n v="11"/>
    <x v="9"/>
    <x v="0"/>
    <x v="1"/>
    <n v="47"/>
  </r>
  <r>
    <d v="2025-04-20T00:00:00"/>
    <x v="0"/>
    <x v="2"/>
    <n v="17"/>
    <n v="469.25"/>
    <x v="0"/>
    <x v="0"/>
    <n v="0.05"/>
    <x v="5"/>
    <n v="7578.3874999999998"/>
    <x v="2"/>
    <s v="nan"/>
    <n v="0"/>
    <x v="848"/>
    <s v="Nisha Rawat"/>
    <n v="45.76"/>
    <n v="445.78749999999997"/>
    <n v="7532.6274999999996"/>
    <d v="2025-04-20T00:00:00"/>
    <d v="2025-04-26T00:00:00"/>
    <s v="Eric"/>
    <n v="20"/>
    <n v="4"/>
    <x v="7"/>
    <x v="2"/>
    <x v="2"/>
    <n v="16"/>
  </r>
  <r>
    <d v="2023-12-29T00:00:00"/>
    <x v="1"/>
    <x v="3"/>
    <n v="18"/>
    <n v="491.76"/>
    <x v="1"/>
    <x v="0"/>
    <n v="0.15"/>
    <x v="0"/>
    <n v="7523.9279999999999"/>
    <x v="2"/>
    <s v="SAVE10"/>
    <n v="0"/>
    <x v="849"/>
    <s v="Charu Jain"/>
    <n v="37.49"/>
    <n v="417.99599999999998"/>
    <n v="7486.4380000000001"/>
    <d v="2023-12-29T00:00:00"/>
    <d v="2024-01-05T00:00:00"/>
    <s v="Sophie"/>
    <n v="29"/>
    <n v="12"/>
    <x v="1"/>
    <x v="0"/>
    <x v="1"/>
    <n v="52"/>
  </r>
  <r>
    <d v="2025-01-08T00:00:00"/>
    <x v="3"/>
    <x v="3"/>
    <n v="19"/>
    <n v="465.27"/>
    <x v="2"/>
    <x v="1"/>
    <n v="0.05"/>
    <x v="4"/>
    <n v="8398.1234999999997"/>
    <x v="2"/>
    <s v="nan"/>
    <n v="0"/>
    <x v="850"/>
    <s v="Neha George"/>
    <n v="44.95"/>
    <n v="442.00649999999996"/>
    <n v="8353.173499999999"/>
    <d v="2025-01-08T00:00:00"/>
    <d v="2025-01-10T00:00:00"/>
    <s v="Cameron"/>
    <n v="8"/>
    <n v="1"/>
    <x v="4"/>
    <x v="2"/>
    <x v="0"/>
    <n v="2"/>
  </r>
  <r>
    <d v="2024-05-06T00:00:00"/>
    <x v="0"/>
    <x v="3"/>
    <n v="18"/>
    <n v="343.68"/>
    <x v="0"/>
    <x v="1"/>
    <n v="0"/>
    <x v="0"/>
    <n v="6186.24"/>
    <x v="1"/>
    <s v="SAVE10"/>
    <n v="0"/>
    <x v="851"/>
    <s v="Diya Chawla"/>
    <n v="20.37"/>
    <n v="343.68"/>
    <n v="6165.87"/>
    <d v="2024-05-06T00:00:00"/>
    <d v="2024-05-14T00:00:00"/>
    <s v="Eric"/>
    <n v="6"/>
    <n v="5"/>
    <x v="2"/>
    <x v="1"/>
    <x v="2"/>
    <n v="19"/>
  </r>
  <r>
    <d v="2024-09-15T00:00:00"/>
    <x v="2"/>
    <x v="2"/>
    <n v="14"/>
    <n v="472.51"/>
    <x v="3"/>
    <x v="0"/>
    <n v="0.05"/>
    <x v="5"/>
    <n v="6284.3829999999989"/>
    <x v="1"/>
    <s v="nan"/>
    <n v="0"/>
    <x v="852"/>
    <s v="Sneha Kapoor"/>
    <n v="13.54"/>
    <n v="448.88449999999995"/>
    <n v="6270.8429999999989"/>
    <d v="2024-09-15T00:00:00"/>
    <d v="2024-09-20T00:00:00"/>
    <s v="Ryan"/>
    <n v="15"/>
    <n v="9"/>
    <x v="11"/>
    <x v="1"/>
    <x v="3"/>
    <n v="37"/>
  </r>
  <r>
    <d v="2023-02-07T00:00:00"/>
    <x v="4"/>
    <x v="0"/>
    <n v="20"/>
    <n v="142.52000000000001"/>
    <x v="1"/>
    <x v="1"/>
    <n v="0.1"/>
    <x v="0"/>
    <n v="2565.36"/>
    <x v="4"/>
    <s v="FREESHIP"/>
    <n v="0"/>
    <x v="853"/>
    <s v="Aditi Srivastava"/>
    <n v="30.67"/>
    <n v="128.268"/>
    <n v="2534.69"/>
    <d v="2023-02-07T00:00:00"/>
    <d v="2023-02-12T00:00:00"/>
    <s v="Wendy"/>
    <n v="7"/>
    <n v="2"/>
    <x v="0"/>
    <x v="0"/>
    <x v="0"/>
    <n v="6"/>
  </r>
  <r>
    <d v="2023-03-01T00:00:00"/>
    <x v="0"/>
    <x v="1"/>
    <n v="1"/>
    <n v="31.42"/>
    <x v="0"/>
    <x v="1"/>
    <n v="0.05"/>
    <x v="5"/>
    <n v="29.849"/>
    <x v="2"/>
    <s v="SAVE10"/>
    <n v="0"/>
    <x v="854"/>
    <s v="Nazia Pai"/>
    <n v="11.35"/>
    <n v="29.849"/>
    <n v="18.499000000000002"/>
    <d v="2023-03-01T00:00:00"/>
    <d v="2023-03-09T00:00:00"/>
    <s v="Eric"/>
    <n v="1"/>
    <n v="3"/>
    <x v="6"/>
    <x v="0"/>
    <x v="0"/>
    <n v="9"/>
  </r>
  <r>
    <d v="2024-05-08T00:00:00"/>
    <x v="2"/>
    <x v="5"/>
    <n v="17"/>
    <n v="572.29"/>
    <x v="3"/>
    <x v="1"/>
    <n v="0.15"/>
    <x v="0"/>
    <n v="8269.5905000000002"/>
    <x v="0"/>
    <s v="SAVE10"/>
    <n v="1"/>
    <x v="855"/>
    <s v="Diya Sinha"/>
    <n v="44.99"/>
    <n v="486.44650000000001"/>
    <n v="8224.6005000000005"/>
    <d v="2024-05-08T00:00:00"/>
    <d v="2024-05-12T00:00:00"/>
    <s v="Ryan"/>
    <n v="8"/>
    <n v="5"/>
    <x v="2"/>
    <x v="1"/>
    <x v="2"/>
    <n v="19"/>
  </r>
  <r>
    <d v="2024-06-06T00:00:00"/>
    <x v="0"/>
    <x v="2"/>
    <n v="18"/>
    <n v="333.6"/>
    <x v="1"/>
    <x v="1"/>
    <n v="0.1"/>
    <x v="3"/>
    <n v="5404.3200000000006"/>
    <x v="3"/>
    <s v="FREESHIP"/>
    <n v="1"/>
    <x v="856"/>
    <s v="Ishaan Chopra"/>
    <n v="33.79"/>
    <n v="300.24"/>
    <n v="5370.5300000000007"/>
    <d v="2024-06-06T00:00:00"/>
    <d v="2024-06-08T00:00:00"/>
    <s v="Eric"/>
    <n v="6"/>
    <n v="6"/>
    <x v="3"/>
    <x v="1"/>
    <x v="2"/>
    <n v="23"/>
  </r>
  <r>
    <d v="2023-04-29T00:00:00"/>
    <x v="2"/>
    <x v="3"/>
    <n v="9"/>
    <n v="90.87"/>
    <x v="3"/>
    <x v="1"/>
    <n v="0.15"/>
    <x v="3"/>
    <n v="695.15549999999996"/>
    <x v="3"/>
    <s v="WINTER15"/>
    <n v="0"/>
    <x v="857"/>
    <s v="Manish Sinha"/>
    <n v="26.56"/>
    <n v="77.239499999999992"/>
    <n v="668.59550000000002"/>
    <d v="2023-04-29T00:00:00"/>
    <d v="2023-05-08T00:00:00"/>
    <s v="Ryan"/>
    <n v="29"/>
    <n v="4"/>
    <x v="7"/>
    <x v="0"/>
    <x v="2"/>
    <n v="17"/>
  </r>
  <r>
    <d v="2023-09-20T00:00:00"/>
    <x v="3"/>
    <x v="5"/>
    <n v="9"/>
    <n v="588.59"/>
    <x v="3"/>
    <x v="0"/>
    <n v="0.05"/>
    <x v="4"/>
    <n v="5032.4445000000014"/>
    <x v="0"/>
    <s v="nan"/>
    <n v="0"/>
    <x v="858"/>
    <s v="Pranav Syed"/>
    <n v="42.3"/>
    <n v="559.16050000000018"/>
    <n v="4990.1445000000012"/>
    <d v="2023-09-20T00:00:00"/>
    <d v="2023-09-22T00:00:00"/>
    <s v="Cameron"/>
    <n v="20"/>
    <n v="9"/>
    <x v="11"/>
    <x v="0"/>
    <x v="3"/>
    <n v="38"/>
  </r>
  <r>
    <d v="2024-11-08T00:00:00"/>
    <x v="1"/>
    <x v="3"/>
    <n v="18"/>
    <n v="153.28"/>
    <x v="0"/>
    <x v="1"/>
    <n v="0.05"/>
    <x v="2"/>
    <n v="2621.0880000000002"/>
    <x v="0"/>
    <s v="WINTER15"/>
    <n v="1"/>
    <x v="859"/>
    <s v="Charu Shaikh"/>
    <n v="33.71"/>
    <n v="145.61600000000001"/>
    <n v="2587.3780000000002"/>
    <d v="2024-11-08T00:00:00"/>
    <d v="2024-11-13T00:00:00"/>
    <s v="Sophie"/>
    <n v="8"/>
    <n v="11"/>
    <x v="9"/>
    <x v="1"/>
    <x v="1"/>
    <n v="45"/>
  </r>
  <r>
    <d v="2023-03-22T00:00:00"/>
    <x v="2"/>
    <x v="6"/>
    <n v="17"/>
    <n v="194.97"/>
    <x v="1"/>
    <x v="1"/>
    <n v="0.15"/>
    <x v="3"/>
    <n v="2817.3164999999999"/>
    <x v="1"/>
    <s v="SAVE10"/>
    <n v="1"/>
    <x v="860"/>
    <s v="Manya Shaikh"/>
    <n v="5.59"/>
    <n v="165.72450000000001"/>
    <n v="2811.7264999999998"/>
    <d v="2023-03-22T00:00:00"/>
    <d v="2023-03-30T00:00:00"/>
    <s v="Ryan"/>
    <n v="22"/>
    <n v="3"/>
    <x v="6"/>
    <x v="0"/>
    <x v="0"/>
    <n v="12"/>
  </r>
  <r>
    <d v="2023-09-05T00:00:00"/>
    <x v="0"/>
    <x v="4"/>
    <n v="5"/>
    <n v="367.61"/>
    <x v="2"/>
    <x v="1"/>
    <n v="0"/>
    <x v="1"/>
    <n v="1838.05"/>
    <x v="2"/>
    <s v="SAVE10"/>
    <n v="0"/>
    <x v="861"/>
    <s v="Aditya Iyer"/>
    <n v="19.55"/>
    <n v="367.61"/>
    <n v="1818.5"/>
    <d v="2023-09-05T00:00:00"/>
    <d v="2023-09-13T00:00:00"/>
    <s v="Eric"/>
    <n v="5"/>
    <n v="9"/>
    <x v="11"/>
    <x v="0"/>
    <x v="3"/>
    <n v="36"/>
  </r>
  <r>
    <d v="2023-02-26T00:00:00"/>
    <x v="0"/>
    <x v="0"/>
    <n v="17"/>
    <n v="575.5"/>
    <x v="3"/>
    <x v="1"/>
    <n v="0.05"/>
    <x v="1"/>
    <n v="9294.3249999999989"/>
    <x v="3"/>
    <s v="FREESHIP"/>
    <n v="0"/>
    <x v="862"/>
    <s v="Aisha Khanna"/>
    <n v="13.42"/>
    <n v="546.72499999999991"/>
    <n v="9280.9049999999988"/>
    <d v="2023-02-26T00:00:00"/>
    <d v="2023-03-05T00:00:00"/>
    <s v="Eric"/>
    <n v="26"/>
    <n v="2"/>
    <x v="0"/>
    <x v="0"/>
    <x v="0"/>
    <n v="8"/>
  </r>
  <r>
    <d v="2024-11-26T00:00:00"/>
    <x v="4"/>
    <x v="3"/>
    <n v="3"/>
    <n v="229.45"/>
    <x v="3"/>
    <x v="1"/>
    <n v="0.15"/>
    <x v="5"/>
    <n v="585.09749999999985"/>
    <x v="3"/>
    <s v="WINTER15"/>
    <n v="1"/>
    <x v="863"/>
    <s v="Hina Solanki"/>
    <n v="19.809999999999999"/>
    <n v="195.03249999999994"/>
    <n v="565.28749999999991"/>
    <d v="2024-11-26T00:00:00"/>
    <d v="2024-11-29T00:00:00"/>
    <s v="Wendy"/>
    <n v="26"/>
    <n v="11"/>
    <x v="9"/>
    <x v="1"/>
    <x v="1"/>
    <n v="48"/>
  </r>
  <r>
    <d v="2024-10-14T00:00:00"/>
    <x v="3"/>
    <x v="3"/>
    <n v="3"/>
    <n v="391.63"/>
    <x v="2"/>
    <x v="1"/>
    <n v="0"/>
    <x v="2"/>
    <n v="1174.8900000000001"/>
    <x v="3"/>
    <s v="nan"/>
    <n v="1"/>
    <x v="864"/>
    <s v="Karan Kapoor"/>
    <n v="25.36"/>
    <n v="391.63000000000005"/>
    <n v="1149.5300000000002"/>
    <d v="2024-10-14T00:00:00"/>
    <d v="2024-10-17T00:00:00"/>
    <s v="Cameron"/>
    <n v="14"/>
    <n v="10"/>
    <x v="5"/>
    <x v="1"/>
    <x v="1"/>
    <n v="42"/>
  </r>
  <r>
    <d v="2023-05-29T00:00:00"/>
    <x v="3"/>
    <x v="0"/>
    <n v="15"/>
    <n v="67.349999999999994"/>
    <x v="3"/>
    <x v="0"/>
    <n v="0.1"/>
    <x v="4"/>
    <n v="909.22499999999991"/>
    <x v="0"/>
    <s v="FREESHIP"/>
    <n v="0"/>
    <x v="865"/>
    <s v="Ritika Shaikh"/>
    <n v="24.85"/>
    <n v="60.614999999999995"/>
    <n v="884.37499999999989"/>
    <d v="2023-05-29T00:00:00"/>
    <d v="2023-06-03T00:00:00"/>
    <s v="Cameron"/>
    <n v="29"/>
    <n v="5"/>
    <x v="2"/>
    <x v="0"/>
    <x v="2"/>
    <n v="22"/>
  </r>
  <r>
    <d v="2024-03-22T00:00:00"/>
    <x v="3"/>
    <x v="0"/>
    <n v="6"/>
    <n v="453.86"/>
    <x v="0"/>
    <x v="1"/>
    <n v="0.15"/>
    <x v="1"/>
    <n v="2314.6860000000001"/>
    <x v="2"/>
    <s v="nan"/>
    <n v="0"/>
    <x v="866"/>
    <s v="Vivaan Menon"/>
    <n v="45.32"/>
    <n v="385.78100000000001"/>
    <n v="2269.366"/>
    <d v="2024-03-22T00:00:00"/>
    <d v="2024-03-31T00:00:00"/>
    <s v="Cameron"/>
    <n v="22"/>
    <n v="3"/>
    <x v="6"/>
    <x v="1"/>
    <x v="0"/>
    <n v="12"/>
  </r>
  <r>
    <d v="2023-04-22T00:00:00"/>
    <x v="1"/>
    <x v="5"/>
    <n v="19"/>
    <n v="537.70000000000005"/>
    <x v="3"/>
    <x v="0"/>
    <n v="0"/>
    <x v="5"/>
    <n v="10216.299999999999"/>
    <x v="0"/>
    <s v="SAVE10"/>
    <n v="0"/>
    <x v="867"/>
    <s v="Ira Shah"/>
    <n v="45.83"/>
    <n v="537.69999999999993"/>
    <n v="10170.469999999999"/>
    <d v="2023-04-22T00:00:00"/>
    <d v="2023-05-02T00:00:00"/>
    <s v="Sophie"/>
    <n v="22"/>
    <n v="4"/>
    <x v="7"/>
    <x v="0"/>
    <x v="2"/>
    <n v="16"/>
  </r>
  <r>
    <d v="2025-06-06T00:00:00"/>
    <x v="2"/>
    <x v="1"/>
    <n v="5"/>
    <n v="32.56"/>
    <x v="2"/>
    <x v="1"/>
    <n v="0.05"/>
    <x v="4"/>
    <n v="154.66"/>
    <x v="4"/>
    <s v="FREESHIP"/>
    <n v="0"/>
    <x v="868"/>
    <s v="Tanvi Thakur"/>
    <n v="46.73"/>
    <n v="30.931999999999999"/>
    <n v="107.93"/>
    <d v="2025-06-06T00:00:00"/>
    <d v="2025-06-12T00:00:00"/>
    <s v="Ryan"/>
    <n v="6"/>
    <n v="6"/>
    <x v="3"/>
    <x v="2"/>
    <x v="2"/>
    <n v="23"/>
  </r>
  <r>
    <d v="2023-01-25T00:00:00"/>
    <x v="3"/>
    <x v="0"/>
    <n v="2"/>
    <n v="196.7"/>
    <x v="1"/>
    <x v="1"/>
    <n v="0"/>
    <x v="2"/>
    <n v="393.4"/>
    <x v="0"/>
    <s v="FREESHIP"/>
    <n v="0"/>
    <x v="869"/>
    <s v="Myra Thakur"/>
    <n v="35.840000000000003"/>
    <n v="196.7"/>
    <n v="357.55999999999995"/>
    <d v="2023-01-25T00:00:00"/>
    <d v="2023-01-29T00:00:00"/>
    <s v="Cameron"/>
    <n v="25"/>
    <n v="1"/>
    <x v="4"/>
    <x v="0"/>
    <x v="0"/>
    <n v="4"/>
  </r>
  <r>
    <d v="2023-09-08T00:00:00"/>
    <x v="1"/>
    <x v="1"/>
    <n v="12"/>
    <n v="369.45"/>
    <x v="3"/>
    <x v="0"/>
    <n v="0.1"/>
    <x v="2"/>
    <n v="3990.06"/>
    <x v="2"/>
    <s v="WINTER15"/>
    <n v="1"/>
    <x v="870"/>
    <s v="Rohan Hegde"/>
    <n v="44.76"/>
    <n v="332.505"/>
    <n v="3945.2999999999997"/>
    <d v="2023-09-08T00:00:00"/>
    <d v="2023-09-10T00:00:00"/>
    <s v="Sophie"/>
    <n v="8"/>
    <n v="9"/>
    <x v="11"/>
    <x v="0"/>
    <x v="3"/>
    <n v="36"/>
  </r>
  <r>
    <d v="2024-10-04T00:00:00"/>
    <x v="0"/>
    <x v="5"/>
    <n v="12"/>
    <n v="181.96"/>
    <x v="3"/>
    <x v="1"/>
    <n v="0.15"/>
    <x v="0"/>
    <n v="1855.992"/>
    <x v="1"/>
    <s v="WINTER15"/>
    <n v="0"/>
    <x v="871"/>
    <s v="Ritika Malhotra"/>
    <n v="25.06"/>
    <n v="154.666"/>
    <n v="1830.932"/>
    <d v="2024-10-04T00:00:00"/>
    <d v="2024-10-11T00:00:00"/>
    <s v="Eric"/>
    <n v="4"/>
    <n v="10"/>
    <x v="5"/>
    <x v="1"/>
    <x v="1"/>
    <n v="40"/>
  </r>
  <r>
    <d v="2025-04-06T00:00:00"/>
    <x v="0"/>
    <x v="2"/>
    <n v="3"/>
    <n v="32.07"/>
    <x v="3"/>
    <x v="1"/>
    <n v="0.15"/>
    <x v="1"/>
    <n v="81.778500000000008"/>
    <x v="0"/>
    <s v="WINTER15"/>
    <n v="1"/>
    <x v="872"/>
    <s v="Atharv Pathan"/>
    <n v="43.18"/>
    <n v="27.259500000000003"/>
    <n v="38.598500000000008"/>
    <d v="2025-04-06T00:00:00"/>
    <d v="2025-04-08T00:00:00"/>
    <s v="Eric"/>
    <n v="6"/>
    <n v="4"/>
    <x v="7"/>
    <x v="2"/>
    <x v="2"/>
    <n v="14"/>
  </r>
  <r>
    <d v="2024-08-25T00:00:00"/>
    <x v="0"/>
    <x v="0"/>
    <n v="15"/>
    <n v="39.93"/>
    <x v="1"/>
    <x v="1"/>
    <n v="0.15"/>
    <x v="4"/>
    <n v="509.10750000000002"/>
    <x v="3"/>
    <s v="WINTER15"/>
    <n v="0"/>
    <x v="873"/>
    <s v="Mitali Sen"/>
    <n v="33.44"/>
    <n v="33.9405"/>
    <n v="475.66750000000002"/>
    <d v="2024-08-25T00:00:00"/>
    <d v="2024-08-29T00:00:00"/>
    <s v="Eric"/>
    <n v="25"/>
    <n v="8"/>
    <x v="10"/>
    <x v="1"/>
    <x v="3"/>
    <n v="34"/>
  </r>
  <r>
    <d v="2024-03-06T00:00:00"/>
    <x v="2"/>
    <x v="1"/>
    <n v="7"/>
    <n v="374.43"/>
    <x v="1"/>
    <x v="1"/>
    <n v="0.15"/>
    <x v="3"/>
    <n v="2227.8584999999998"/>
    <x v="4"/>
    <s v="SAVE10"/>
    <n v="0"/>
    <x v="874"/>
    <s v="Rukhsar Jain"/>
    <n v="28.97"/>
    <n v="318.26549999999997"/>
    <n v="2198.8885"/>
    <d v="2024-03-06T00:00:00"/>
    <d v="2024-03-12T00:00:00"/>
    <s v="Ryan"/>
    <n v="6"/>
    <n v="3"/>
    <x v="6"/>
    <x v="1"/>
    <x v="0"/>
    <n v="10"/>
  </r>
  <r>
    <d v="2023-03-23T00:00:00"/>
    <x v="0"/>
    <x v="6"/>
    <n v="2"/>
    <n v="101.87"/>
    <x v="2"/>
    <x v="0"/>
    <n v="0"/>
    <x v="4"/>
    <n v="203.74"/>
    <x v="4"/>
    <s v="FREESHIP"/>
    <n v="0"/>
    <x v="875"/>
    <s v="Nisha Reddy"/>
    <n v="28.63"/>
    <n v="101.87"/>
    <n v="175.11"/>
    <d v="2023-03-23T00:00:00"/>
    <d v="2023-03-26T00:00:00"/>
    <s v="Eric"/>
    <n v="23"/>
    <n v="3"/>
    <x v="6"/>
    <x v="0"/>
    <x v="0"/>
    <n v="12"/>
  </r>
  <r>
    <d v="2024-01-13T00:00:00"/>
    <x v="3"/>
    <x v="5"/>
    <n v="13"/>
    <n v="343.45"/>
    <x v="3"/>
    <x v="0"/>
    <n v="0.05"/>
    <x v="1"/>
    <n v="4241.6074999999992"/>
    <x v="1"/>
    <s v="SAVE10"/>
    <n v="0"/>
    <x v="876"/>
    <s v="Zara Rawat"/>
    <n v="27.26"/>
    <n v="326.27749999999992"/>
    <n v="4214.3474999999989"/>
    <d v="2024-01-13T00:00:00"/>
    <d v="2024-01-17T00:00:00"/>
    <s v="Cameron"/>
    <n v="13"/>
    <n v="1"/>
    <x v="4"/>
    <x v="1"/>
    <x v="0"/>
    <n v="2"/>
  </r>
  <r>
    <d v="2023-07-18T00:00:00"/>
    <x v="3"/>
    <x v="6"/>
    <n v="15"/>
    <n v="144.11000000000001"/>
    <x v="2"/>
    <x v="1"/>
    <n v="0"/>
    <x v="2"/>
    <n v="2161.65"/>
    <x v="1"/>
    <s v="nan"/>
    <n v="0"/>
    <x v="877"/>
    <s v="Dhruv Thakur"/>
    <n v="28.51"/>
    <n v="144.11000000000001"/>
    <n v="2133.14"/>
    <d v="2023-07-18T00:00:00"/>
    <d v="2023-07-24T00:00:00"/>
    <s v="Cameron"/>
    <n v="18"/>
    <n v="7"/>
    <x v="8"/>
    <x v="0"/>
    <x v="3"/>
    <n v="29"/>
  </r>
  <r>
    <d v="2025-02-23T00:00:00"/>
    <x v="4"/>
    <x v="3"/>
    <n v="18"/>
    <n v="403.68"/>
    <x v="1"/>
    <x v="1"/>
    <n v="0.15"/>
    <x v="3"/>
    <n v="6176.3040000000001"/>
    <x v="4"/>
    <s v="FREESHIP"/>
    <n v="0"/>
    <x v="878"/>
    <s v="Riya Das"/>
    <n v="13.09"/>
    <n v="343.12799999999999"/>
    <n v="6163.2139999999999"/>
    <d v="2025-02-23T00:00:00"/>
    <d v="2025-03-04T00:00:00"/>
    <s v="Wendy"/>
    <n v="23"/>
    <n v="2"/>
    <x v="0"/>
    <x v="2"/>
    <x v="0"/>
    <n v="8"/>
  </r>
  <r>
    <d v="2023-02-22T00:00:00"/>
    <x v="0"/>
    <x v="6"/>
    <n v="14"/>
    <n v="346.57"/>
    <x v="0"/>
    <x v="1"/>
    <n v="0.1"/>
    <x v="3"/>
    <n v="4366.7820000000002"/>
    <x v="3"/>
    <s v="FREESHIP"/>
    <n v="0"/>
    <x v="879"/>
    <s v="Sana Syed"/>
    <n v="36.83"/>
    <n v="311.91300000000001"/>
    <n v="4329.9520000000002"/>
    <d v="2023-02-22T00:00:00"/>
    <d v="2023-03-02T00:00:00"/>
    <s v="Eric"/>
    <n v="22"/>
    <n v="2"/>
    <x v="0"/>
    <x v="0"/>
    <x v="0"/>
    <n v="8"/>
  </r>
  <r>
    <d v="2024-10-18T00:00:00"/>
    <x v="2"/>
    <x v="6"/>
    <n v="7"/>
    <n v="392.79"/>
    <x v="2"/>
    <x v="0"/>
    <n v="0"/>
    <x v="0"/>
    <n v="2749.53"/>
    <x v="1"/>
    <s v="WINTER15"/>
    <n v="0"/>
    <x v="880"/>
    <s v="Myra Pathan"/>
    <n v="45.85"/>
    <n v="392.79"/>
    <n v="2703.6800000000003"/>
    <d v="2024-10-18T00:00:00"/>
    <d v="2024-10-28T00:00:00"/>
    <s v="Ryan"/>
    <n v="18"/>
    <n v="10"/>
    <x v="5"/>
    <x v="1"/>
    <x v="1"/>
    <n v="42"/>
  </r>
  <r>
    <d v="2023-10-26T00:00:00"/>
    <x v="4"/>
    <x v="6"/>
    <n v="16"/>
    <n v="70.83"/>
    <x v="0"/>
    <x v="0"/>
    <n v="0.05"/>
    <x v="3"/>
    <n v="1076.616"/>
    <x v="1"/>
    <s v="nan"/>
    <n v="0"/>
    <x v="881"/>
    <s v="Rohan Gupta"/>
    <n v="5.05"/>
    <n v="67.288499999999999"/>
    <n v="1071.566"/>
    <d v="2023-10-26T00:00:00"/>
    <d v="2023-10-31T00:00:00"/>
    <s v="Wendy"/>
    <n v="26"/>
    <n v="10"/>
    <x v="5"/>
    <x v="0"/>
    <x v="1"/>
    <n v="43"/>
  </r>
  <r>
    <d v="2023-01-10T00:00:00"/>
    <x v="3"/>
    <x v="4"/>
    <n v="20"/>
    <n v="274.37"/>
    <x v="0"/>
    <x v="1"/>
    <n v="0.1"/>
    <x v="0"/>
    <n v="4938.66"/>
    <x v="1"/>
    <s v="WINTER15"/>
    <n v="0"/>
    <x v="882"/>
    <s v="Sai Shah"/>
    <n v="12.28"/>
    <n v="246.93299999999999"/>
    <n v="4926.38"/>
    <d v="2023-01-10T00:00:00"/>
    <d v="2023-01-14T00:00:00"/>
    <s v="Cameron"/>
    <n v="10"/>
    <n v="1"/>
    <x v="4"/>
    <x v="0"/>
    <x v="0"/>
    <n v="2"/>
  </r>
  <r>
    <d v="2024-03-19T00:00:00"/>
    <x v="3"/>
    <x v="2"/>
    <n v="10"/>
    <n v="19.73"/>
    <x v="3"/>
    <x v="1"/>
    <n v="0.1"/>
    <x v="3"/>
    <n v="177.57"/>
    <x v="3"/>
    <s v="nan"/>
    <n v="0"/>
    <x v="883"/>
    <s v="Aryan Ansari"/>
    <n v="16.059999999999999"/>
    <n v="17.756999999999998"/>
    <n v="161.51"/>
    <d v="2024-03-19T00:00:00"/>
    <d v="2024-03-22T00:00:00"/>
    <s v="Cameron"/>
    <n v="19"/>
    <n v="3"/>
    <x v="6"/>
    <x v="1"/>
    <x v="0"/>
    <n v="12"/>
  </r>
  <r>
    <d v="2023-12-20T00:00:00"/>
    <x v="3"/>
    <x v="6"/>
    <n v="10"/>
    <n v="465.72"/>
    <x v="0"/>
    <x v="0"/>
    <n v="0.05"/>
    <x v="1"/>
    <n v="4424.34"/>
    <x v="0"/>
    <s v="FREESHIP"/>
    <n v="0"/>
    <x v="884"/>
    <s v="Ankit Joseph"/>
    <n v="28.14"/>
    <n v="442.43400000000003"/>
    <n v="4396.2"/>
    <d v="2023-12-20T00:00:00"/>
    <d v="2023-12-26T00:00:00"/>
    <s v="Cameron"/>
    <n v="20"/>
    <n v="12"/>
    <x v="1"/>
    <x v="0"/>
    <x v="1"/>
    <n v="51"/>
  </r>
  <r>
    <d v="2024-12-09T00:00:00"/>
    <x v="3"/>
    <x v="4"/>
    <n v="19"/>
    <n v="62.07"/>
    <x v="3"/>
    <x v="1"/>
    <n v="0.1"/>
    <x v="4"/>
    <n v="1061.3969999999999"/>
    <x v="3"/>
    <s v="FREESHIP"/>
    <n v="0"/>
    <x v="885"/>
    <s v="Simran Syed"/>
    <n v="14.85"/>
    <n v="55.863"/>
    <n v="1046.547"/>
    <d v="2024-12-09T00:00:00"/>
    <d v="2024-12-19T00:00:00"/>
    <s v="Cameron"/>
    <n v="9"/>
    <n v="12"/>
    <x v="1"/>
    <x v="1"/>
    <x v="1"/>
    <n v="50"/>
  </r>
  <r>
    <d v="2023-05-10T00:00:00"/>
    <x v="3"/>
    <x v="5"/>
    <n v="11"/>
    <n v="529.20000000000005"/>
    <x v="1"/>
    <x v="0"/>
    <n v="0.05"/>
    <x v="5"/>
    <n v="5530.14"/>
    <x v="2"/>
    <s v="nan"/>
    <n v="1"/>
    <x v="886"/>
    <s v="Meera Saxena"/>
    <n v="16.78"/>
    <n v="502.74"/>
    <n v="5513.3600000000006"/>
    <d v="2023-05-10T00:00:00"/>
    <d v="2023-05-20T00:00:00"/>
    <s v="Cameron"/>
    <n v="10"/>
    <n v="5"/>
    <x v="2"/>
    <x v="0"/>
    <x v="2"/>
    <n v="19"/>
  </r>
  <r>
    <d v="2023-10-18T00:00:00"/>
    <x v="1"/>
    <x v="4"/>
    <n v="7"/>
    <n v="387.31"/>
    <x v="1"/>
    <x v="1"/>
    <n v="0.1"/>
    <x v="5"/>
    <n v="2440.0529999999999"/>
    <x v="4"/>
    <s v="WINTER15"/>
    <n v="0"/>
    <x v="887"/>
    <s v="Nazia Chopra"/>
    <n v="14.76"/>
    <n v="348.57900000000001"/>
    <n v="2425.2929999999997"/>
    <d v="2023-10-18T00:00:00"/>
    <d v="2023-10-21T00:00:00"/>
    <s v="Sophie"/>
    <n v="18"/>
    <n v="10"/>
    <x v="5"/>
    <x v="0"/>
    <x v="1"/>
    <n v="42"/>
  </r>
  <r>
    <d v="2024-12-03T00:00:00"/>
    <x v="1"/>
    <x v="1"/>
    <n v="1"/>
    <n v="152.75"/>
    <x v="1"/>
    <x v="0"/>
    <n v="0"/>
    <x v="5"/>
    <n v="152.75"/>
    <x v="2"/>
    <s v="FREESHIP"/>
    <n v="1"/>
    <x v="888"/>
    <s v="Aman Naidu"/>
    <n v="9.61"/>
    <n v="152.75"/>
    <n v="143.13999999999999"/>
    <d v="2024-12-03T00:00:00"/>
    <d v="2024-12-06T00:00:00"/>
    <s v="Sophie"/>
    <n v="3"/>
    <n v="12"/>
    <x v="1"/>
    <x v="1"/>
    <x v="1"/>
    <n v="49"/>
  </r>
  <r>
    <d v="2024-10-10T00:00:00"/>
    <x v="1"/>
    <x v="3"/>
    <n v="8"/>
    <n v="72.48"/>
    <x v="1"/>
    <x v="0"/>
    <n v="0.1"/>
    <x v="3"/>
    <n v="521.85599999999999"/>
    <x v="3"/>
    <s v="nan"/>
    <n v="1"/>
    <x v="889"/>
    <s v="Siddharth Syed"/>
    <n v="26.92"/>
    <n v="65.231999999999999"/>
    <n v="494.93599999999998"/>
    <d v="2024-10-10T00:00:00"/>
    <d v="2024-10-17T00:00:00"/>
    <s v="Sophie"/>
    <n v="10"/>
    <n v="10"/>
    <x v="5"/>
    <x v="1"/>
    <x v="1"/>
    <n v="41"/>
  </r>
  <r>
    <d v="2024-06-03T00:00:00"/>
    <x v="0"/>
    <x v="1"/>
    <n v="4"/>
    <n v="194.09"/>
    <x v="3"/>
    <x v="0"/>
    <n v="0.1"/>
    <x v="0"/>
    <n v="698.72400000000005"/>
    <x v="2"/>
    <s v="WINTER15"/>
    <n v="0"/>
    <x v="890"/>
    <s v="Kunal Khan"/>
    <n v="26.35"/>
    <n v="174.68100000000001"/>
    <n v="672.37400000000002"/>
    <d v="2024-06-03T00:00:00"/>
    <d v="2024-06-07T00:00:00"/>
    <s v="Eric"/>
    <n v="3"/>
    <n v="6"/>
    <x v="3"/>
    <x v="1"/>
    <x v="2"/>
    <n v="23"/>
  </r>
  <r>
    <d v="2025-03-26T00:00:00"/>
    <x v="1"/>
    <x v="1"/>
    <n v="3"/>
    <n v="159.30000000000001"/>
    <x v="0"/>
    <x v="0"/>
    <n v="0.05"/>
    <x v="0"/>
    <n v="454.005"/>
    <x v="2"/>
    <s v="SAVE10"/>
    <n v="1"/>
    <x v="891"/>
    <s v="Aditya Rawat"/>
    <n v="45.34"/>
    <n v="151.33500000000001"/>
    <n v="408.66499999999996"/>
    <d v="2025-03-26T00:00:00"/>
    <d v="2025-03-29T00:00:00"/>
    <s v="Sophie"/>
    <n v="26"/>
    <n v="3"/>
    <x v="6"/>
    <x v="2"/>
    <x v="0"/>
    <n v="13"/>
  </r>
  <r>
    <d v="2024-04-26T00:00:00"/>
    <x v="2"/>
    <x v="4"/>
    <n v="4"/>
    <n v="303.37"/>
    <x v="1"/>
    <x v="1"/>
    <n v="0.1"/>
    <x v="3"/>
    <n v="1092.1320000000001"/>
    <x v="1"/>
    <s v="WINTER15"/>
    <n v="0"/>
    <x v="892"/>
    <s v="Aryan Bhatia"/>
    <n v="30.19"/>
    <n v="273.03300000000002"/>
    <n v="1061.942"/>
    <d v="2024-04-26T00:00:00"/>
    <d v="2024-05-01T00:00:00"/>
    <s v="Ryan"/>
    <n v="26"/>
    <n v="4"/>
    <x v="7"/>
    <x v="1"/>
    <x v="2"/>
    <n v="17"/>
  </r>
  <r>
    <d v="2023-05-05T00:00:00"/>
    <x v="4"/>
    <x v="3"/>
    <n v="16"/>
    <n v="541.96"/>
    <x v="2"/>
    <x v="1"/>
    <n v="0.1"/>
    <x v="0"/>
    <n v="7804.2240000000011"/>
    <x v="4"/>
    <s v="SAVE10"/>
    <n v="1"/>
    <x v="893"/>
    <s v="Avni Pandey"/>
    <n v="9.93"/>
    <n v="487.76400000000007"/>
    <n v="7794.2940000000008"/>
    <d v="2023-05-05T00:00:00"/>
    <d v="2023-05-13T00:00:00"/>
    <s v="Wendy"/>
    <n v="5"/>
    <n v="5"/>
    <x v="2"/>
    <x v="0"/>
    <x v="2"/>
    <n v="18"/>
  </r>
  <r>
    <d v="2023-09-23T00:00:00"/>
    <x v="4"/>
    <x v="2"/>
    <n v="7"/>
    <n v="41.57"/>
    <x v="3"/>
    <x v="1"/>
    <n v="0"/>
    <x v="3"/>
    <n v="290.99"/>
    <x v="0"/>
    <s v="nan"/>
    <n v="0"/>
    <x v="894"/>
    <s v="Arjun Ansari"/>
    <n v="16.59"/>
    <n v="41.57"/>
    <n v="274.40000000000003"/>
    <d v="2023-09-23T00:00:00"/>
    <d v="2023-09-29T00:00:00"/>
    <s v="Wendy"/>
    <n v="23"/>
    <n v="9"/>
    <x v="11"/>
    <x v="0"/>
    <x v="3"/>
    <n v="38"/>
  </r>
  <r>
    <d v="2025-03-08T00:00:00"/>
    <x v="1"/>
    <x v="4"/>
    <n v="16"/>
    <n v="217.74"/>
    <x v="1"/>
    <x v="0"/>
    <n v="0.15"/>
    <x v="2"/>
    <n v="2961.2640000000001"/>
    <x v="4"/>
    <s v="FREESHIP"/>
    <n v="1"/>
    <x v="895"/>
    <s v="Tanvi Mishra"/>
    <n v="25.11"/>
    <n v="185.07900000000001"/>
    <n v="2936.154"/>
    <d v="2025-03-08T00:00:00"/>
    <d v="2025-03-15T00:00:00"/>
    <s v="Sophie"/>
    <n v="8"/>
    <n v="3"/>
    <x v="6"/>
    <x v="2"/>
    <x v="0"/>
    <n v="10"/>
  </r>
  <r>
    <d v="2023-01-17T00:00:00"/>
    <x v="2"/>
    <x v="6"/>
    <n v="15"/>
    <n v="19.170000000000002"/>
    <x v="1"/>
    <x v="0"/>
    <n v="0"/>
    <x v="3"/>
    <n v="287.55"/>
    <x v="1"/>
    <s v="FREESHIP"/>
    <n v="1"/>
    <x v="896"/>
    <s v="Karan Qureshi"/>
    <n v="48.93"/>
    <n v="19.170000000000002"/>
    <n v="238.62"/>
    <d v="2023-01-17T00:00:00"/>
    <d v="2023-01-27T00:00:00"/>
    <s v="Ryan"/>
    <n v="17"/>
    <n v="1"/>
    <x v="4"/>
    <x v="0"/>
    <x v="0"/>
    <n v="3"/>
  </r>
  <r>
    <d v="2023-04-29T00:00:00"/>
    <x v="3"/>
    <x v="4"/>
    <n v="15"/>
    <n v="293.33999999999997"/>
    <x v="3"/>
    <x v="1"/>
    <n v="0.1"/>
    <x v="0"/>
    <n v="3960.09"/>
    <x v="2"/>
    <s v="WINTER15"/>
    <n v="0"/>
    <x v="897"/>
    <s v="Harsh Mirza"/>
    <n v="21.03"/>
    <n v="264.00600000000003"/>
    <n v="3939.06"/>
    <d v="2023-04-29T00:00:00"/>
    <d v="2023-05-01T00:00:00"/>
    <s v="Cameron"/>
    <n v="29"/>
    <n v="4"/>
    <x v="7"/>
    <x v="0"/>
    <x v="2"/>
    <n v="17"/>
  </r>
  <r>
    <d v="2025-02-16T00:00:00"/>
    <x v="1"/>
    <x v="6"/>
    <n v="18"/>
    <n v="204.58"/>
    <x v="2"/>
    <x v="1"/>
    <n v="0.1"/>
    <x v="4"/>
    <n v="3314.1959999999999"/>
    <x v="4"/>
    <s v="nan"/>
    <n v="0"/>
    <x v="898"/>
    <s v="Rukhsar Dubey"/>
    <n v="16.04"/>
    <n v="184.12199999999999"/>
    <n v="3298.1559999999999"/>
    <d v="2025-02-16T00:00:00"/>
    <d v="2025-02-22T00:00:00"/>
    <s v="Sophie"/>
    <n v="16"/>
    <n v="2"/>
    <x v="0"/>
    <x v="2"/>
    <x v="0"/>
    <n v="7"/>
  </r>
  <r>
    <d v="2023-06-05T00:00:00"/>
    <x v="0"/>
    <x v="6"/>
    <n v="15"/>
    <n v="324.58"/>
    <x v="1"/>
    <x v="1"/>
    <n v="0.15"/>
    <x v="4"/>
    <n v="4138.3950000000004"/>
    <x v="3"/>
    <s v="nan"/>
    <n v="0"/>
    <x v="899"/>
    <s v="Riya Banerjee"/>
    <n v="24.57"/>
    <n v="275.89300000000003"/>
    <n v="4113.8250000000007"/>
    <d v="2023-06-05T00:00:00"/>
    <d v="2023-06-09T00:00:00"/>
    <s v="Eric"/>
    <n v="5"/>
    <n v="6"/>
    <x v="3"/>
    <x v="0"/>
    <x v="2"/>
    <n v="23"/>
  </r>
  <r>
    <d v="2023-08-28T00:00:00"/>
    <x v="1"/>
    <x v="1"/>
    <n v="11"/>
    <n v="393.61"/>
    <x v="3"/>
    <x v="0"/>
    <n v="0.05"/>
    <x v="2"/>
    <n v="4113.2245000000003"/>
    <x v="3"/>
    <s v="WINTER15"/>
    <n v="0"/>
    <x v="900"/>
    <s v="Sai Bhatia"/>
    <n v="32.57"/>
    <n v="373.92950000000002"/>
    <n v="4080.6545000000001"/>
    <d v="2023-08-28T00:00:00"/>
    <d v="2023-09-06T00:00:00"/>
    <s v="Sophie"/>
    <n v="28"/>
    <n v="8"/>
    <x v="10"/>
    <x v="0"/>
    <x v="3"/>
    <n v="35"/>
  </r>
  <r>
    <d v="2023-08-01T00:00:00"/>
    <x v="2"/>
    <x v="6"/>
    <n v="8"/>
    <n v="141.28"/>
    <x v="3"/>
    <x v="0"/>
    <n v="0.05"/>
    <x v="2"/>
    <n v="1073.7280000000001"/>
    <x v="0"/>
    <s v="FREESHIP"/>
    <n v="0"/>
    <x v="901"/>
    <s v="Manish Singh"/>
    <n v="28.69"/>
    <n v="134.21600000000001"/>
    <n v="1045.038"/>
    <d v="2023-08-01T00:00:00"/>
    <d v="2023-08-10T00:00:00"/>
    <s v="Ryan"/>
    <n v="1"/>
    <n v="8"/>
    <x v="10"/>
    <x v="0"/>
    <x v="3"/>
    <n v="31"/>
  </r>
  <r>
    <d v="2025-02-12T00:00:00"/>
    <x v="4"/>
    <x v="1"/>
    <n v="13"/>
    <n v="227.64"/>
    <x v="2"/>
    <x v="1"/>
    <n v="0.15"/>
    <x v="2"/>
    <n v="2515.422"/>
    <x v="4"/>
    <s v="FREESHIP"/>
    <n v="1"/>
    <x v="902"/>
    <s v="Trisha Chopra"/>
    <n v="46.67"/>
    <n v="193.494"/>
    <n v="2468.752"/>
    <d v="2025-02-12T00:00:00"/>
    <d v="2025-02-20T00:00:00"/>
    <s v="Wendy"/>
    <n v="12"/>
    <n v="2"/>
    <x v="0"/>
    <x v="2"/>
    <x v="0"/>
    <n v="7"/>
  </r>
  <r>
    <d v="2023-07-03T00:00:00"/>
    <x v="3"/>
    <x v="0"/>
    <n v="19"/>
    <n v="341.07"/>
    <x v="2"/>
    <x v="1"/>
    <n v="0.1"/>
    <x v="3"/>
    <n v="5832.2969999999996"/>
    <x v="4"/>
    <s v="WINTER15"/>
    <n v="0"/>
    <x v="903"/>
    <s v="Avni Kaur"/>
    <n v="47.75"/>
    <n v="306.96299999999997"/>
    <n v="5784.5469999999996"/>
    <d v="2023-07-03T00:00:00"/>
    <d v="2023-07-06T00:00:00"/>
    <s v="Cameron"/>
    <n v="3"/>
    <n v="7"/>
    <x v="8"/>
    <x v="0"/>
    <x v="3"/>
    <n v="27"/>
  </r>
  <r>
    <d v="2025-05-09T00:00:00"/>
    <x v="3"/>
    <x v="1"/>
    <n v="20"/>
    <n v="324.55"/>
    <x v="0"/>
    <x v="0"/>
    <n v="0.05"/>
    <x v="0"/>
    <n v="6166.45"/>
    <x v="2"/>
    <s v="WINTER15"/>
    <n v="1"/>
    <x v="904"/>
    <s v="Kiara Arora"/>
    <n v="21.21"/>
    <n v="308.32249999999999"/>
    <n v="6145.24"/>
    <d v="2025-05-09T00:00:00"/>
    <d v="2025-05-13T00:00:00"/>
    <s v="Cameron"/>
    <n v="9"/>
    <n v="5"/>
    <x v="2"/>
    <x v="2"/>
    <x v="2"/>
    <n v="19"/>
  </r>
  <r>
    <d v="2024-05-05T00:00:00"/>
    <x v="4"/>
    <x v="2"/>
    <n v="16"/>
    <n v="301.07"/>
    <x v="0"/>
    <x v="1"/>
    <n v="0.1"/>
    <x v="3"/>
    <n v="4335.4080000000004"/>
    <x v="1"/>
    <s v="WINTER15"/>
    <n v="0"/>
    <x v="905"/>
    <s v="Kiara Pathan"/>
    <n v="5.58"/>
    <n v="270.96300000000002"/>
    <n v="4329.8280000000004"/>
    <d v="2024-05-05T00:00:00"/>
    <d v="2024-05-14T00:00:00"/>
    <s v="Wendy"/>
    <n v="5"/>
    <n v="5"/>
    <x v="2"/>
    <x v="1"/>
    <x v="2"/>
    <n v="18"/>
  </r>
  <r>
    <d v="2024-01-08T00:00:00"/>
    <x v="1"/>
    <x v="4"/>
    <n v="13"/>
    <n v="285.27999999999997"/>
    <x v="3"/>
    <x v="1"/>
    <n v="0"/>
    <x v="0"/>
    <n v="3708.639999999999"/>
    <x v="1"/>
    <s v="SAVE10"/>
    <n v="0"/>
    <x v="906"/>
    <s v="Nazia Ansari"/>
    <n v="31.2"/>
    <n v="285.27999999999992"/>
    <n v="3677.4399999999991"/>
    <d v="2024-01-08T00:00:00"/>
    <d v="2024-01-15T00:00:00"/>
    <s v="Sophie"/>
    <n v="8"/>
    <n v="1"/>
    <x v="4"/>
    <x v="1"/>
    <x v="0"/>
    <n v="2"/>
  </r>
  <r>
    <d v="2025-01-13T00:00:00"/>
    <x v="1"/>
    <x v="1"/>
    <n v="15"/>
    <n v="18.04"/>
    <x v="2"/>
    <x v="0"/>
    <n v="0"/>
    <x v="0"/>
    <n v="270.60000000000002"/>
    <x v="2"/>
    <s v="SAVE10"/>
    <n v="1"/>
    <x v="907"/>
    <s v="Rahul Shah"/>
    <n v="14.35"/>
    <n v="18.040000000000003"/>
    <n v="256.25"/>
    <d v="2025-01-13T00:00:00"/>
    <d v="2025-01-17T00:00:00"/>
    <s v="Sophie"/>
    <n v="13"/>
    <n v="1"/>
    <x v="4"/>
    <x v="2"/>
    <x v="0"/>
    <n v="3"/>
  </r>
  <r>
    <d v="2025-06-12T00:00:00"/>
    <x v="0"/>
    <x v="6"/>
    <n v="11"/>
    <n v="495.44"/>
    <x v="1"/>
    <x v="0"/>
    <n v="0"/>
    <x v="5"/>
    <n v="5449.84"/>
    <x v="1"/>
    <s v="FREESHIP"/>
    <n v="0"/>
    <x v="908"/>
    <s v="Ankit Arora"/>
    <n v="44.77"/>
    <n v="495.44"/>
    <n v="5405.07"/>
    <d v="2025-06-12T00:00:00"/>
    <d v="2025-06-18T00:00:00"/>
    <s v="Eric"/>
    <n v="12"/>
    <n v="6"/>
    <x v="3"/>
    <x v="2"/>
    <x v="2"/>
    <n v="24"/>
  </r>
  <r>
    <d v="2025-04-03T00:00:00"/>
    <x v="2"/>
    <x v="0"/>
    <n v="12"/>
    <n v="276.42"/>
    <x v="2"/>
    <x v="1"/>
    <n v="0.15"/>
    <x v="3"/>
    <n v="2819.4839999999999"/>
    <x v="0"/>
    <s v="nan"/>
    <n v="0"/>
    <x v="909"/>
    <s v="Noor Saxena"/>
    <n v="30.57"/>
    <n v="234.95699999999999"/>
    <n v="2788.9139999999998"/>
    <d v="2025-04-03T00:00:00"/>
    <d v="2025-04-12T00:00:00"/>
    <s v="Ryan"/>
    <n v="3"/>
    <n v="4"/>
    <x v="7"/>
    <x v="2"/>
    <x v="2"/>
    <n v="14"/>
  </r>
  <r>
    <d v="2023-01-26T00:00:00"/>
    <x v="3"/>
    <x v="2"/>
    <n v="7"/>
    <n v="228.32"/>
    <x v="2"/>
    <x v="0"/>
    <n v="0.15"/>
    <x v="0"/>
    <n v="1358.5039999999999"/>
    <x v="3"/>
    <s v="FREESHIP"/>
    <n v="0"/>
    <x v="910"/>
    <s v="Raj Joseph"/>
    <n v="22.16"/>
    <n v="194.07199999999997"/>
    <n v="1336.3439999999998"/>
    <d v="2023-01-26T00:00:00"/>
    <d v="2023-01-30T00:00:00"/>
    <s v="Cameron"/>
    <n v="26"/>
    <n v="1"/>
    <x v="4"/>
    <x v="0"/>
    <x v="0"/>
    <n v="4"/>
  </r>
  <r>
    <d v="2023-01-07T00:00:00"/>
    <x v="3"/>
    <x v="4"/>
    <n v="1"/>
    <n v="498.19"/>
    <x v="1"/>
    <x v="0"/>
    <n v="0.1"/>
    <x v="5"/>
    <n v="448.37099999999998"/>
    <x v="1"/>
    <s v="SAVE10"/>
    <n v="0"/>
    <x v="911"/>
    <s v="Kunal Bhargava"/>
    <n v="25.55"/>
    <n v="448.37099999999998"/>
    <n v="422.82099999999997"/>
    <d v="2023-01-07T00:00:00"/>
    <d v="2023-01-11T00:00:00"/>
    <s v="Cameron"/>
    <n v="7"/>
    <n v="1"/>
    <x v="4"/>
    <x v="0"/>
    <x v="0"/>
    <n v="1"/>
  </r>
  <r>
    <d v="2025-01-15T00:00:00"/>
    <x v="2"/>
    <x v="2"/>
    <n v="18"/>
    <n v="375.83"/>
    <x v="2"/>
    <x v="1"/>
    <n v="0.1"/>
    <x v="3"/>
    <n v="6088.4459999999999"/>
    <x v="1"/>
    <s v="nan"/>
    <n v="0"/>
    <x v="912"/>
    <s v="Tanvi Qureshi"/>
    <n v="15.13"/>
    <n v="338.24700000000001"/>
    <n v="6073.3159999999998"/>
    <d v="2025-01-15T00:00:00"/>
    <d v="2025-01-23T00:00:00"/>
    <s v="Ryan"/>
    <n v="15"/>
    <n v="1"/>
    <x v="4"/>
    <x v="2"/>
    <x v="0"/>
    <n v="3"/>
  </r>
  <r>
    <d v="2024-11-30T00:00:00"/>
    <x v="0"/>
    <x v="3"/>
    <n v="18"/>
    <n v="130.36000000000001"/>
    <x v="0"/>
    <x v="0"/>
    <n v="0"/>
    <x v="4"/>
    <n v="2346.48"/>
    <x v="3"/>
    <s v="SAVE10"/>
    <n v="0"/>
    <x v="913"/>
    <s v="Manish Banerjee"/>
    <n v="34.6"/>
    <n v="130.36000000000001"/>
    <n v="2311.88"/>
    <d v="2024-11-30T00:00:00"/>
    <d v="2024-12-05T00:00:00"/>
    <s v="Eric"/>
    <n v="30"/>
    <n v="11"/>
    <x v="9"/>
    <x v="1"/>
    <x v="1"/>
    <n v="48"/>
  </r>
  <r>
    <d v="2024-02-26T00:00:00"/>
    <x v="0"/>
    <x v="4"/>
    <n v="13"/>
    <n v="585.88"/>
    <x v="0"/>
    <x v="1"/>
    <n v="0.15"/>
    <x v="3"/>
    <n v="6473.9739999999993"/>
    <x v="2"/>
    <s v="WINTER15"/>
    <n v="0"/>
    <x v="914"/>
    <s v="Sanya Tiwari"/>
    <n v="42.18"/>
    <n v="497.99799999999993"/>
    <n v="6431.793999999999"/>
    <d v="2024-02-26T00:00:00"/>
    <d v="2024-03-07T00:00:00"/>
    <s v="Eric"/>
    <n v="26"/>
    <n v="2"/>
    <x v="0"/>
    <x v="1"/>
    <x v="0"/>
    <n v="9"/>
  </r>
  <r>
    <d v="2025-06-11T00:00:00"/>
    <x v="2"/>
    <x v="2"/>
    <n v="19"/>
    <n v="278.04000000000002"/>
    <x v="0"/>
    <x v="1"/>
    <n v="0.05"/>
    <x v="5"/>
    <n v="5018.6220000000003"/>
    <x v="2"/>
    <s v="SAVE10"/>
    <n v="0"/>
    <x v="915"/>
    <s v="Devansh Tiwari"/>
    <n v="16.399999999999999"/>
    <n v="264.13800000000003"/>
    <n v="5002.2220000000007"/>
    <d v="2025-06-11T00:00:00"/>
    <d v="2025-06-15T00:00:00"/>
    <s v="Ryan"/>
    <n v="11"/>
    <n v="6"/>
    <x v="3"/>
    <x v="2"/>
    <x v="2"/>
    <n v="24"/>
  </r>
  <r>
    <d v="2023-11-29T00:00:00"/>
    <x v="3"/>
    <x v="1"/>
    <n v="11"/>
    <n v="267.91000000000003"/>
    <x v="0"/>
    <x v="1"/>
    <n v="0"/>
    <x v="0"/>
    <n v="2947.01"/>
    <x v="3"/>
    <s v="nan"/>
    <n v="0"/>
    <x v="916"/>
    <s v="Ritika Arora"/>
    <n v="12.05"/>
    <n v="267.91000000000003"/>
    <n v="2934.96"/>
    <d v="2023-11-29T00:00:00"/>
    <d v="2023-12-04T00:00:00"/>
    <s v="Cameron"/>
    <n v="29"/>
    <n v="11"/>
    <x v="9"/>
    <x v="0"/>
    <x v="1"/>
    <n v="48"/>
  </r>
  <r>
    <d v="2024-06-27T00:00:00"/>
    <x v="1"/>
    <x v="3"/>
    <n v="12"/>
    <n v="369.54"/>
    <x v="0"/>
    <x v="1"/>
    <n v="0.05"/>
    <x v="4"/>
    <n v="4212.7560000000003"/>
    <x v="3"/>
    <s v="WINTER15"/>
    <n v="1"/>
    <x v="917"/>
    <s v="Gaurav Chopra"/>
    <n v="39.159999999999997"/>
    <n v="351.06300000000005"/>
    <n v="4173.5960000000005"/>
    <d v="2024-06-27T00:00:00"/>
    <d v="2024-07-05T00:00:00"/>
    <s v="Sophie"/>
    <n v="27"/>
    <n v="6"/>
    <x v="3"/>
    <x v="1"/>
    <x v="2"/>
    <n v="26"/>
  </r>
  <r>
    <d v="2024-05-20T00:00:00"/>
    <x v="1"/>
    <x v="4"/>
    <n v="13"/>
    <n v="284.3"/>
    <x v="1"/>
    <x v="0"/>
    <n v="0.05"/>
    <x v="5"/>
    <n v="3511.105"/>
    <x v="0"/>
    <s v="WINTER15"/>
    <n v="0"/>
    <x v="918"/>
    <s v="Abhishek Chaudhary"/>
    <n v="48.73"/>
    <n v="270.08499999999998"/>
    <n v="3462.375"/>
    <d v="2024-05-20T00:00:00"/>
    <d v="2024-05-27T00:00:00"/>
    <s v="Sophie"/>
    <n v="20"/>
    <n v="5"/>
    <x v="2"/>
    <x v="1"/>
    <x v="2"/>
    <n v="21"/>
  </r>
  <r>
    <d v="2023-06-17T00:00:00"/>
    <x v="4"/>
    <x v="3"/>
    <n v="12"/>
    <n v="427.1"/>
    <x v="2"/>
    <x v="1"/>
    <n v="0"/>
    <x v="3"/>
    <n v="5125.2000000000007"/>
    <x v="1"/>
    <s v="WINTER15"/>
    <n v="1"/>
    <x v="919"/>
    <s v="Noor Sen"/>
    <n v="8.11"/>
    <n v="427.10000000000008"/>
    <n v="5117.0900000000011"/>
    <d v="2023-06-17T00:00:00"/>
    <d v="2023-06-22T00:00:00"/>
    <s v="Wendy"/>
    <n v="17"/>
    <n v="6"/>
    <x v="3"/>
    <x v="0"/>
    <x v="2"/>
    <n v="24"/>
  </r>
  <r>
    <d v="2024-11-06T00:00:00"/>
    <x v="0"/>
    <x v="4"/>
    <n v="11"/>
    <n v="200.3"/>
    <x v="3"/>
    <x v="1"/>
    <n v="0.1"/>
    <x v="0"/>
    <n v="1982.97"/>
    <x v="3"/>
    <s v="WINTER15"/>
    <n v="1"/>
    <x v="920"/>
    <s v="Ritika Jain"/>
    <n v="48.27"/>
    <n v="180.27"/>
    <n v="1934.7"/>
    <d v="2024-11-06T00:00:00"/>
    <d v="2024-11-13T00:00:00"/>
    <s v="Eric"/>
    <n v="6"/>
    <n v="11"/>
    <x v="9"/>
    <x v="1"/>
    <x v="1"/>
    <n v="45"/>
  </r>
  <r>
    <d v="2025-02-12T00:00:00"/>
    <x v="2"/>
    <x v="6"/>
    <n v="4"/>
    <n v="75.8"/>
    <x v="2"/>
    <x v="1"/>
    <n v="0.15"/>
    <x v="3"/>
    <n v="257.72000000000003"/>
    <x v="2"/>
    <s v="SAVE10"/>
    <n v="0"/>
    <x v="921"/>
    <s v="Sara Hussain"/>
    <n v="12.22"/>
    <n v="64.430000000000007"/>
    <n v="245.50000000000003"/>
    <d v="2025-02-12T00:00:00"/>
    <d v="2025-02-20T00:00:00"/>
    <s v="Ryan"/>
    <n v="12"/>
    <n v="2"/>
    <x v="0"/>
    <x v="2"/>
    <x v="0"/>
    <n v="7"/>
  </r>
  <r>
    <d v="2025-04-09T00:00:00"/>
    <x v="2"/>
    <x v="4"/>
    <n v="4"/>
    <n v="518.42999999999995"/>
    <x v="1"/>
    <x v="0"/>
    <n v="0"/>
    <x v="1"/>
    <n v="2073.7199999999998"/>
    <x v="0"/>
    <s v="SAVE10"/>
    <n v="0"/>
    <x v="922"/>
    <s v="Laksh Naidu"/>
    <n v="30.86"/>
    <n v="518.42999999999995"/>
    <n v="2042.86"/>
    <d v="2025-04-09T00:00:00"/>
    <d v="2025-04-14T00:00:00"/>
    <s v="Ryan"/>
    <n v="9"/>
    <n v="4"/>
    <x v="7"/>
    <x v="2"/>
    <x v="2"/>
    <n v="15"/>
  </r>
  <r>
    <d v="2024-08-18T00:00:00"/>
    <x v="2"/>
    <x v="5"/>
    <n v="19"/>
    <n v="181.18"/>
    <x v="1"/>
    <x v="0"/>
    <n v="0.05"/>
    <x v="3"/>
    <n v="3270.299"/>
    <x v="2"/>
    <s v="FREESHIP"/>
    <n v="0"/>
    <x v="923"/>
    <s v="Krish Chawla"/>
    <n v="12.04"/>
    <n v="172.12100000000001"/>
    <n v="3258.259"/>
    <d v="2024-08-18T00:00:00"/>
    <d v="2024-08-26T00:00:00"/>
    <s v="Ryan"/>
    <n v="18"/>
    <n v="8"/>
    <x v="10"/>
    <x v="1"/>
    <x v="3"/>
    <n v="33"/>
  </r>
  <r>
    <d v="2023-02-20T00:00:00"/>
    <x v="3"/>
    <x v="0"/>
    <n v="3"/>
    <n v="197.17"/>
    <x v="1"/>
    <x v="0"/>
    <n v="0.05"/>
    <x v="2"/>
    <n v="561.93449999999996"/>
    <x v="1"/>
    <s v="FREESHIP"/>
    <n v="1"/>
    <x v="924"/>
    <s v="Aditi Gupta"/>
    <n v="30.29"/>
    <n v="187.3115"/>
    <n v="531.64449999999999"/>
    <d v="2023-02-20T00:00:00"/>
    <d v="2023-02-23T00:00:00"/>
    <s v="Cameron"/>
    <n v="20"/>
    <n v="2"/>
    <x v="0"/>
    <x v="0"/>
    <x v="0"/>
    <n v="8"/>
  </r>
  <r>
    <d v="2025-04-28T00:00:00"/>
    <x v="2"/>
    <x v="0"/>
    <n v="6"/>
    <n v="81.96"/>
    <x v="3"/>
    <x v="0"/>
    <n v="0.05"/>
    <x v="4"/>
    <n v="467.17200000000003"/>
    <x v="2"/>
    <s v="WINTER15"/>
    <n v="0"/>
    <x v="925"/>
    <s v="Trisha Mukherjee"/>
    <n v="26.43"/>
    <n v="77.862000000000009"/>
    <n v="440.74200000000002"/>
    <d v="2025-04-28T00:00:00"/>
    <d v="2025-05-08T00:00:00"/>
    <s v="Ryan"/>
    <n v="28"/>
    <n v="4"/>
    <x v="7"/>
    <x v="2"/>
    <x v="2"/>
    <n v="18"/>
  </r>
  <r>
    <d v="2023-08-10T00:00:00"/>
    <x v="3"/>
    <x v="6"/>
    <n v="3"/>
    <n v="59.78"/>
    <x v="2"/>
    <x v="1"/>
    <n v="0"/>
    <x v="0"/>
    <n v="179.34"/>
    <x v="0"/>
    <s v="SAVE10"/>
    <n v="0"/>
    <x v="926"/>
    <s v="Kunal Dutta"/>
    <n v="46.98"/>
    <n v="59.78"/>
    <n v="132.36000000000001"/>
    <d v="2023-08-10T00:00:00"/>
    <d v="2023-08-13T00:00:00"/>
    <s v="Cameron"/>
    <n v="10"/>
    <n v="8"/>
    <x v="10"/>
    <x v="0"/>
    <x v="3"/>
    <n v="32"/>
  </r>
  <r>
    <d v="2024-06-24T00:00:00"/>
    <x v="2"/>
    <x v="5"/>
    <n v="12"/>
    <n v="211.66"/>
    <x v="1"/>
    <x v="0"/>
    <n v="0.1"/>
    <x v="3"/>
    <n v="2285.9279999999999"/>
    <x v="2"/>
    <s v="SAVE10"/>
    <n v="0"/>
    <x v="927"/>
    <s v="Noor Dutta"/>
    <n v="10.36"/>
    <n v="190.494"/>
    <n v="2275.5679999999998"/>
    <d v="2024-06-24T00:00:00"/>
    <d v="2024-06-29T00:00:00"/>
    <s v="Ryan"/>
    <n v="24"/>
    <n v="6"/>
    <x v="3"/>
    <x v="1"/>
    <x v="2"/>
    <n v="26"/>
  </r>
  <r>
    <d v="2023-08-06T00:00:00"/>
    <x v="3"/>
    <x v="6"/>
    <n v="13"/>
    <n v="69.97"/>
    <x v="1"/>
    <x v="0"/>
    <n v="0.05"/>
    <x v="1"/>
    <n v="864.12950000000001"/>
    <x v="3"/>
    <s v="nan"/>
    <n v="0"/>
    <x v="928"/>
    <s v="Meera Menon"/>
    <n v="27.66"/>
    <n v="66.471500000000006"/>
    <n v="836.46950000000004"/>
    <d v="2023-08-06T00:00:00"/>
    <d v="2023-08-12T00:00:00"/>
    <s v="Cameron"/>
    <n v="6"/>
    <n v="8"/>
    <x v="10"/>
    <x v="0"/>
    <x v="3"/>
    <n v="31"/>
  </r>
  <r>
    <d v="2024-11-26T00:00:00"/>
    <x v="0"/>
    <x v="5"/>
    <n v="7"/>
    <n v="438.33"/>
    <x v="2"/>
    <x v="1"/>
    <n v="0.1"/>
    <x v="2"/>
    <n v="2761.4789999999998"/>
    <x v="4"/>
    <s v="nan"/>
    <n v="1"/>
    <x v="929"/>
    <s v="Nazia Bose"/>
    <n v="11.57"/>
    <n v="394.49699999999996"/>
    <n v="2749.9089999999997"/>
    <d v="2024-11-26T00:00:00"/>
    <d v="2024-11-30T00:00:00"/>
    <s v="Eric"/>
    <n v="26"/>
    <n v="11"/>
    <x v="9"/>
    <x v="1"/>
    <x v="1"/>
    <n v="48"/>
  </r>
  <r>
    <d v="2025-02-06T00:00:00"/>
    <x v="0"/>
    <x v="0"/>
    <n v="7"/>
    <n v="241.81"/>
    <x v="2"/>
    <x v="0"/>
    <n v="0.1"/>
    <x v="1"/>
    <n v="1523.403"/>
    <x v="3"/>
    <s v="FREESHIP"/>
    <n v="0"/>
    <x v="930"/>
    <s v="Diya Kapoor"/>
    <n v="32.94"/>
    <n v="217.62899999999999"/>
    <n v="1490.463"/>
    <d v="2025-02-06T00:00:00"/>
    <d v="2025-02-10T00:00:00"/>
    <s v="Eric"/>
    <n v="6"/>
    <n v="2"/>
    <x v="0"/>
    <x v="2"/>
    <x v="0"/>
    <n v="6"/>
  </r>
  <r>
    <d v="2025-03-20T00:00:00"/>
    <x v="0"/>
    <x v="2"/>
    <n v="3"/>
    <n v="466.64"/>
    <x v="1"/>
    <x v="1"/>
    <n v="0.15"/>
    <x v="5"/>
    <n v="1189.932"/>
    <x v="0"/>
    <s v="FREESHIP"/>
    <n v="0"/>
    <x v="931"/>
    <s v="Ashwin Agarwal"/>
    <n v="30.33"/>
    <n v="396.64400000000001"/>
    <n v="1159.6020000000001"/>
    <d v="2025-03-20T00:00:00"/>
    <d v="2025-03-26T00:00:00"/>
    <s v="Eric"/>
    <n v="20"/>
    <n v="3"/>
    <x v="6"/>
    <x v="2"/>
    <x v="0"/>
    <n v="12"/>
  </r>
  <r>
    <d v="2024-09-10T00:00:00"/>
    <x v="1"/>
    <x v="4"/>
    <n v="9"/>
    <n v="472.84"/>
    <x v="3"/>
    <x v="1"/>
    <n v="0.05"/>
    <x v="1"/>
    <n v="4042.7819999999988"/>
    <x v="2"/>
    <s v="WINTER15"/>
    <n v="0"/>
    <x v="932"/>
    <s v="Nikhil Kapoor"/>
    <n v="48.13"/>
    <n v="449.19799999999987"/>
    <n v="3994.6519999999987"/>
    <d v="2024-09-10T00:00:00"/>
    <d v="2024-09-12T00:00:00"/>
    <s v="Sophie"/>
    <n v="10"/>
    <n v="9"/>
    <x v="11"/>
    <x v="1"/>
    <x v="3"/>
    <n v="37"/>
  </r>
  <r>
    <d v="2025-02-20T00:00:00"/>
    <x v="1"/>
    <x v="3"/>
    <n v="19"/>
    <n v="586.49"/>
    <x v="1"/>
    <x v="0"/>
    <n v="0.1"/>
    <x v="0"/>
    <n v="10028.978999999999"/>
    <x v="4"/>
    <s v="SAVE10"/>
    <n v="0"/>
    <x v="933"/>
    <s v="Sneha Shetty"/>
    <n v="19.850000000000001"/>
    <n v="527.84100000000001"/>
    <n v="10009.128999999999"/>
    <d v="2025-02-20T00:00:00"/>
    <d v="2025-03-02T00:00:00"/>
    <s v="Sophie"/>
    <n v="20"/>
    <n v="2"/>
    <x v="0"/>
    <x v="2"/>
    <x v="0"/>
    <n v="8"/>
  </r>
  <r>
    <d v="2023-01-20T00:00:00"/>
    <x v="0"/>
    <x v="3"/>
    <n v="15"/>
    <n v="462.85"/>
    <x v="1"/>
    <x v="1"/>
    <n v="0.15"/>
    <x v="4"/>
    <n v="5901.3374999999996"/>
    <x v="2"/>
    <s v="nan"/>
    <n v="0"/>
    <x v="934"/>
    <s v="Meera Sharma"/>
    <n v="46.12"/>
    <n v="393.42249999999996"/>
    <n v="5855.2174999999997"/>
    <d v="2023-01-20T00:00:00"/>
    <d v="2023-01-26T00:00:00"/>
    <s v="Eric"/>
    <n v="20"/>
    <n v="1"/>
    <x v="4"/>
    <x v="0"/>
    <x v="0"/>
    <n v="3"/>
  </r>
  <r>
    <d v="2024-03-03T00:00:00"/>
    <x v="0"/>
    <x v="0"/>
    <n v="1"/>
    <n v="176.17"/>
    <x v="2"/>
    <x v="1"/>
    <n v="0.05"/>
    <x v="1"/>
    <n v="167.36150000000001"/>
    <x v="3"/>
    <s v="nan"/>
    <n v="1"/>
    <x v="935"/>
    <s v="Fatima Sinha"/>
    <n v="35.770000000000003"/>
    <n v="167.36150000000001"/>
    <n v="131.5915"/>
    <d v="2024-03-03T00:00:00"/>
    <d v="2024-03-06T00:00:00"/>
    <s v="Eric"/>
    <n v="3"/>
    <n v="3"/>
    <x v="6"/>
    <x v="1"/>
    <x v="0"/>
    <n v="9"/>
  </r>
  <r>
    <d v="2023-11-27T00:00:00"/>
    <x v="4"/>
    <x v="6"/>
    <n v="1"/>
    <n v="71.239999999999995"/>
    <x v="1"/>
    <x v="1"/>
    <n v="0.1"/>
    <x v="3"/>
    <n v="64.116"/>
    <x v="3"/>
    <s v="nan"/>
    <n v="1"/>
    <x v="936"/>
    <s v="Kiara Ansari"/>
    <n v="43.69"/>
    <n v="64.116"/>
    <n v="20.426000000000002"/>
    <d v="2023-11-27T00:00:00"/>
    <d v="2023-12-03T00:00:00"/>
    <s v="Wendy"/>
    <n v="27"/>
    <n v="11"/>
    <x v="9"/>
    <x v="0"/>
    <x v="1"/>
    <n v="48"/>
  </r>
  <r>
    <d v="2024-11-10T00:00:00"/>
    <x v="0"/>
    <x v="0"/>
    <n v="6"/>
    <n v="62.43"/>
    <x v="1"/>
    <x v="0"/>
    <n v="0"/>
    <x v="4"/>
    <n v="374.58"/>
    <x v="1"/>
    <s v="WINTER15"/>
    <n v="0"/>
    <x v="937"/>
    <s v="Abhishek Das"/>
    <n v="17.850000000000001"/>
    <n v="62.43"/>
    <n v="356.72999999999996"/>
    <d v="2024-11-10T00:00:00"/>
    <d v="2024-11-18T00:00:00"/>
    <s v="Eric"/>
    <n v="10"/>
    <n v="11"/>
    <x v="9"/>
    <x v="1"/>
    <x v="1"/>
    <n v="45"/>
  </r>
  <r>
    <d v="2025-02-04T00:00:00"/>
    <x v="3"/>
    <x v="5"/>
    <n v="7"/>
    <n v="569.89"/>
    <x v="3"/>
    <x v="0"/>
    <n v="0.1"/>
    <x v="1"/>
    <n v="3590.3069999999998"/>
    <x v="4"/>
    <s v="SAVE10"/>
    <n v="0"/>
    <x v="938"/>
    <s v="Ritika Saxena"/>
    <n v="26.81"/>
    <n v="512.90099999999995"/>
    <n v="3563.4969999999998"/>
    <d v="2025-02-04T00:00:00"/>
    <d v="2025-02-08T00:00:00"/>
    <s v="Cameron"/>
    <n v="4"/>
    <n v="2"/>
    <x v="0"/>
    <x v="2"/>
    <x v="0"/>
    <n v="6"/>
  </r>
  <r>
    <d v="2024-02-21T00:00:00"/>
    <x v="0"/>
    <x v="2"/>
    <n v="5"/>
    <n v="34.06"/>
    <x v="3"/>
    <x v="0"/>
    <n v="0.05"/>
    <x v="4"/>
    <n v="161.785"/>
    <x v="1"/>
    <s v="nan"/>
    <n v="0"/>
    <x v="939"/>
    <s v="Ritika Nair"/>
    <n v="19.72"/>
    <n v="32.356999999999999"/>
    <n v="142.065"/>
    <d v="2024-02-21T00:00:00"/>
    <d v="2024-03-02T00:00:00"/>
    <s v="Eric"/>
    <n v="21"/>
    <n v="2"/>
    <x v="0"/>
    <x v="1"/>
    <x v="0"/>
    <n v="8"/>
  </r>
  <r>
    <d v="2023-03-24T00:00:00"/>
    <x v="0"/>
    <x v="2"/>
    <n v="17"/>
    <n v="502.6"/>
    <x v="1"/>
    <x v="0"/>
    <n v="0.1"/>
    <x v="2"/>
    <n v="7689.7800000000007"/>
    <x v="4"/>
    <s v="nan"/>
    <n v="0"/>
    <x v="940"/>
    <s v="Ananya Mishra"/>
    <n v="15.38"/>
    <n v="452.34000000000003"/>
    <n v="7674.4000000000005"/>
    <d v="2023-03-24T00:00:00"/>
    <d v="2023-03-29T00:00:00"/>
    <s v="Eric"/>
    <n v="24"/>
    <n v="3"/>
    <x v="6"/>
    <x v="0"/>
    <x v="0"/>
    <n v="12"/>
  </r>
  <r>
    <d v="2024-05-05T00:00:00"/>
    <x v="1"/>
    <x v="6"/>
    <n v="3"/>
    <n v="89.72"/>
    <x v="3"/>
    <x v="0"/>
    <n v="0.1"/>
    <x v="1"/>
    <n v="242.244"/>
    <x v="1"/>
    <s v="WINTER15"/>
    <n v="0"/>
    <x v="941"/>
    <s v="Kunal Verma"/>
    <n v="32.67"/>
    <n v="80.748000000000005"/>
    <n v="209.57400000000001"/>
    <d v="2024-05-05T00:00:00"/>
    <d v="2024-05-13T00:00:00"/>
    <s v="Sophie"/>
    <n v="5"/>
    <n v="5"/>
    <x v="2"/>
    <x v="1"/>
    <x v="2"/>
    <n v="18"/>
  </r>
  <r>
    <d v="2024-10-04T00:00:00"/>
    <x v="1"/>
    <x v="0"/>
    <n v="18"/>
    <n v="403.53"/>
    <x v="3"/>
    <x v="0"/>
    <n v="0.1"/>
    <x v="1"/>
    <n v="6537.1859999999997"/>
    <x v="0"/>
    <s v="nan"/>
    <n v="0"/>
    <x v="942"/>
    <s v="Raj Pai"/>
    <n v="35.729999999999997"/>
    <n v="363.17699999999996"/>
    <n v="6501.4560000000001"/>
    <d v="2024-10-04T00:00:00"/>
    <d v="2024-10-07T00:00:00"/>
    <s v="Sophie"/>
    <n v="4"/>
    <n v="10"/>
    <x v="5"/>
    <x v="1"/>
    <x v="1"/>
    <n v="40"/>
  </r>
  <r>
    <d v="2025-01-04T00:00:00"/>
    <x v="1"/>
    <x v="3"/>
    <n v="2"/>
    <n v="194.97"/>
    <x v="1"/>
    <x v="1"/>
    <n v="0"/>
    <x v="4"/>
    <n v="389.94"/>
    <x v="2"/>
    <s v="SAVE10"/>
    <n v="0"/>
    <x v="943"/>
    <s v="Raj Verma"/>
    <n v="9.89"/>
    <n v="194.97"/>
    <n v="380.05"/>
    <d v="2025-01-04T00:00:00"/>
    <d v="2025-01-14T00:00:00"/>
    <s v="Sophie"/>
    <n v="4"/>
    <n v="1"/>
    <x v="4"/>
    <x v="2"/>
    <x v="0"/>
    <n v="1"/>
  </r>
  <r>
    <d v="2024-12-23T00:00:00"/>
    <x v="3"/>
    <x v="6"/>
    <n v="12"/>
    <n v="171.91"/>
    <x v="0"/>
    <x v="1"/>
    <n v="0.05"/>
    <x v="0"/>
    <n v="1959.7739999999999"/>
    <x v="2"/>
    <s v="WINTER15"/>
    <n v="0"/>
    <x v="944"/>
    <s v="Zara Shaikh"/>
    <n v="34.36"/>
    <n v="163.31449999999998"/>
    <n v="1925.414"/>
    <d v="2024-12-23T00:00:00"/>
    <d v="2025-01-02T00:00:00"/>
    <s v="Cameron"/>
    <n v="23"/>
    <n v="12"/>
    <x v="1"/>
    <x v="1"/>
    <x v="1"/>
    <n v="52"/>
  </r>
  <r>
    <d v="2023-01-29T00:00:00"/>
    <x v="3"/>
    <x v="0"/>
    <n v="17"/>
    <n v="535.88"/>
    <x v="1"/>
    <x v="0"/>
    <n v="0.05"/>
    <x v="5"/>
    <n v="8654.4619999999995"/>
    <x v="1"/>
    <s v="nan"/>
    <n v="0"/>
    <x v="945"/>
    <s v="Deepak Tripathi"/>
    <n v="26.12"/>
    <n v="509.08599999999996"/>
    <n v="8628.3419999999987"/>
    <d v="2023-01-29T00:00:00"/>
    <d v="2023-02-08T00:00:00"/>
    <s v="Cameron"/>
    <n v="29"/>
    <n v="1"/>
    <x v="4"/>
    <x v="0"/>
    <x v="0"/>
    <n v="4"/>
  </r>
  <r>
    <d v="2024-08-11T00:00:00"/>
    <x v="4"/>
    <x v="3"/>
    <n v="12"/>
    <n v="248.13"/>
    <x v="1"/>
    <x v="1"/>
    <n v="0.05"/>
    <x v="1"/>
    <n v="2828.6819999999998"/>
    <x v="4"/>
    <s v="FREESHIP"/>
    <n v="0"/>
    <x v="946"/>
    <s v="Sai Patel"/>
    <n v="26.03"/>
    <n v="235.72349999999997"/>
    <n v="2802.6519999999996"/>
    <d v="2024-08-11T00:00:00"/>
    <d v="2024-08-17T00:00:00"/>
    <s v="Wendy"/>
    <n v="11"/>
    <n v="8"/>
    <x v="10"/>
    <x v="1"/>
    <x v="3"/>
    <n v="32"/>
  </r>
  <r>
    <d v="2023-11-25T00:00:00"/>
    <x v="2"/>
    <x v="1"/>
    <n v="2"/>
    <n v="482.1"/>
    <x v="2"/>
    <x v="1"/>
    <n v="0"/>
    <x v="3"/>
    <n v="964.2"/>
    <x v="0"/>
    <s v="FREESHIP"/>
    <n v="0"/>
    <x v="947"/>
    <s v="Palak Menon"/>
    <n v="45.35"/>
    <n v="482.1"/>
    <n v="918.85"/>
    <d v="2023-11-25T00:00:00"/>
    <d v="2023-11-30T00:00:00"/>
    <s v="Ryan"/>
    <n v="25"/>
    <n v="11"/>
    <x v="9"/>
    <x v="0"/>
    <x v="1"/>
    <n v="47"/>
  </r>
  <r>
    <d v="2025-03-04T00:00:00"/>
    <x v="2"/>
    <x v="4"/>
    <n v="18"/>
    <n v="382.01"/>
    <x v="3"/>
    <x v="0"/>
    <n v="0.1"/>
    <x v="1"/>
    <n v="6188.5620000000008"/>
    <x v="0"/>
    <s v="SAVE10"/>
    <n v="0"/>
    <x v="948"/>
    <s v="Aryan Roy"/>
    <n v="36.549999999999997"/>
    <n v="343.80900000000003"/>
    <n v="6152.0120000000006"/>
    <d v="2025-03-04T00:00:00"/>
    <d v="2025-03-08T00:00:00"/>
    <s v="Ryan"/>
    <n v="4"/>
    <n v="3"/>
    <x v="6"/>
    <x v="2"/>
    <x v="0"/>
    <n v="10"/>
  </r>
  <r>
    <d v="2025-02-21T00:00:00"/>
    <x v="2"/>
    <x v="1"/>
    <n v="13"/>
    <n v="135.97999999999999"/>
    <x v="2"/>
    <x v="0"/>
    <n v="0"/>
    <x v="2"/>
    <n v="1767.74"/>
    <x v="0"/>
    <s v="WINTER15"/>
    <n v="0"/>
    <x v="949"/>
    <s v="Bhavna Hussain"/>
    <n v="28.35"/>
    <n v="135.97999999999999"/>
    <n v="1739.39"/>
    <d v="2025-02-21T00:00:00"/>
    <d v="2025-03-01T00:00:00"/>
    <s v="Ryan"/>
    <n v="21"/>
    <n v="2"/>
    <x v="0"/>
    <x v="2"/>
    <x v="0"/>
    <n v="8"/>
  </r>
  <r>
    <d v="2025-02-26T00:00:00"/>
    <x v="0"/>
    <x v="2"/>
    <n v="9"/>
    <n v="562.54"/>
    <x v="1"/>
    <x v="0"/>
    <n v="0"/>
    <x v="1"/>
    <n v="5062.8599999999997"/>
    <x v="2"/>
    <s v="FREESHIP"/>
    <n v="0"/>
    <x v="950"/>
    <s v="Ashwin Shaikh"/>
    <n v="30.27"/>
    <n v="562.54"/>
    <n v="5032.5899999999992"/>
    <d v="2025-02-26T00:00:00"/>
    <d v="2025-02-28T00:00:00"/>
    <s v="Eric"/>
    <n v="26"/>
    <n v="2"/>
    <x v="0"/>
    <x v="2"/>
    <x v="0"/>
    <n v="9"/>
  </r>
  <r>
    <d v="2024-03-29T00:00:00"/>
    <x v="0"/>
    <x v="4"/>
    <n v="6"/>
    <n v="509.48"/>
    <x v="0"/>
    <x v="0"/>
    <n v="0"/>
    <x v="1"/>
    <n v="3056.88"/>
    <x v="3"/>
    <s v="WINTER15"/>
    <n v="0"/>
    <x v="951"/>
    <s v="Meera Pathan"/>
    <n v="35.92"/>
    <n v="509.48"/>
    <n v="3020.96"/>
    <d v="2024-03-29T00:00:00"/>
    <d v="2024-04-06T00:00:00"/>
    <s v="Eric"/>
    <n v="29"/>
    <n v="3"/>
    <x v="6"/>
    <x v="1"/>
    <x v="0"/>
    <n v="13"/>
  </r>
  <r>
    <d v="2025-05-28T00:00:00"/>
    <x v="4"/>
    <x v="2"/>
    <n v="3"/>
    <n v="470.09"/>
    <x v="0"/>
    <x v="0"/>
    <n v="0"/>
    <x v="0"/>
    <n v="1410.27"/>
    <x v="1"/>
    <s v="nan"/>
    <n v="0"/>
    <x v="952"/>
    <s v="Charu Dutta"/>
    <n v="38.29"/>
    <n v="470.09"/>
    <n v="1371.98"/>
    <d v="2025-05-28T00:00:00"/>
    <d v="2025-06-01T00:00:00"/>
    <s v="Wendy"/>
    <n v="28"/>
    <n v="5"/>
    <x v="2"/>
    <x v="2"/>
    <x v="2"/>
    <n v="22"/>
  </r>
  <r>
    <d v="2024-05-24T00:00:00"/>
    <x v="4"/>
    <x v="6"/>
    <n v="10"/>
    <n v="280.8"/>
    <x v="2"/>
    <x v="1"/>
    <n v="0"/>
    <x v="1"/>
    <n v="2808"/>
    <x v="2"/>
    <s v="SAVE10"/>
    <n v="0"/>
    <x v="953"/>
    <s v="Manish Bhatia"/>
    <n v="49.98"/>
    <n v="280.8"/>
    <n v="2758.02"/>
    <d v="2024-05-24T00:00:00"/>
    <d v="2024-05-30T00:00:00"/>
    <s v="Wendy"/>
    <n v="24"/>
    <n v="5"/>
    <x v="2"/>
    <x v="1"/>
    <x v="2"/>
    <n v="21"/>
  </r>
  <r>
    <d v="2023-05-12T00:00:00"/>
    <x v="1"/>
    <x v="3"/>
    <n v="9"/>
    <n v="251.43"/>
    <x v="2"/>
    <x v="1"/>
    <n v="0.1"/>
    <x v="2"/>
    <n v="2036.5830000000001"/>
    <x v="2"/>
    <s v="nan"/>
    <n v="0"/>
    <x v="954"/>
    <s v="Aryan Sinha"/>
    <n v="22.57"/>
    <n v="226.28700000000001"/>
    <n v="2014.0130000000001"/>
    <d v="2023-05-12T00:00:00"/>
    <d v="2023-05-17T00:00:00"/>
    <s v="Sophie"/>
    <n v="12"/>
    <n v="5"/>
    <x v="2"/>
    <x v="0"/>
    <x v="2"/>
    <n v="19"/>
  </r>
  <r>
    <d v="2023-10-11T00:00:00"/>
    <x v="1"/>
    <x v="1"/>
    <n v="4"/>
    <n v="408.28"/>
    <x v="1"/>
    <x v="1"/>
    <n v="0.15"/>
    <x v="1"/>
    <n v="1388.152"/>
    <x v="4"/>
    <s v="WINTER15"/>
    <n v="0"/>
    <x v="955"/>
    <s v="Bhavna Mukherjee"/>
    <n v="5.38"/>
    <n v="347.03800000000001"/>
    <n v="1382.7719999999999"/>
    <d v="2023-10-11T00:00:00"/>
    <d v="2023-10-15T00:00:00"/>
    <s v="Sophie"/>
    <n v="11"/>
    <n v="10"/>
    <x v="5"/>
    <x v="0"/>
    <x v="1"/>
    <n v="41"/>
  </r>
  <r>
    <d v="2024-01-25T00:00:00"/>
    <x v="2"/>
    <x v="6"/>
    <n v="2"/>
    <n v="27.43"/>
    <x v="0"/>
    <x v="1"/>
    <n v="0.15"/>
    <x v="2"/>
    <n v="46.631"/>
    <x v="0"/>
    <s v="WINTER15"/>
    <n v="0"/>
    <x v="956"/>
    <s v="Deepak Patel"/>
    <n v="6.15"/>
    <n v="23.3155"/>
    <n v="40.481000000000002"/>
    <d v="2024-01-25T00:00:00"/>
    <d v="2024-02-01T00:00:00"/>
    <s v="Ryan"/>
    <n v="25"/>
    <n v="1"/>
    <x v="4"/>
    <x v="1"/>
    <x v="0"/>
    <n v="4"/>
  </r>
  <r>
    <d v="2023-02-03T00:00:00"/>
    <x v="0"/>
    <x v="1"/>
    <n v="11"/>
    <n v="321.72000000000003"/>
    <x v="1"/>
    <x v="1"/>
    <n v="0.1"/>
    <x v="3"/>
    <n v="3185.0279999999998"/>
    <x v="0"/>
    <s v="WINTER15"/>
    <n v="1"/>
    <x v="957"/>
    <s v="Dhruv Tripathi"/>
    <n v="17.940000000000001"/>
    <n v="289.548"/>
    <n v="3167.0879999999997"/>
    <d v="2023-02-03T00:00:00"/>
    <d v="2023-02-06T00:00:00"/>
    <s v="Eric"/>
    <n v="3"/>
    <n v="2"/>
    <x v="0"/>
    <x v="0"/>
    <x v="0"/>
    <n v="5"/>
  </r>
  <r>
    <d v="2024-07-08T00:00:00"/>
    <x v="2"/>
    <x v="2"/>
    <n v="5"/>
    <n v="186.32"/>
    <x v="1"/>
    <x v="0"/>
    <n v="0.1"/>
    <x v="3"/>
    <n v="838.43999999999994"/>
    <x v="1"/>
    <s v="WINTER15"/>
    <n v="0"/>
    <x v="958"/>
    <s v="Alina Pillai"/>
    <n v="17.09"/>
    <n v="167.68799999999999"/>
    <n v="821.34999999999991"/>
    <d v="2024-07-08T00:00:00"/>
    <d v="2024-07-14T00:00:00"/>
    <s v="Ryan"/>
    <n v="8"/>
    <n v="7"/>
    <x v="8"/>
    <x v="1"/>
    <x v="3"/>
    <n v="28"/>
  </r>
  <r>
    <d v="2025-05-31T00:00:00"/>
    <x v="1"/>
    <x v="4"/>
    <n v="3"/>
    <n v="390.28"/>
    <x v="0"/>
    <x v="1"/>
    <n v="0"/>
    <x v="2"/>
    <n v="1170.8399999999999"/>
    <x v="0"/>
    <s v="WINTER15"/>
    <n v="1"/>
    <x v="959"/>
    <s v="Raj Hegde"/>
    <n v="45.22"/>
    <n v="390.28"/>
    <n v="1125.6199999999999"/>
    <d v="2025-05-31T00:00:00"/>
    <d v="2025-06-10T00:00:00"/>
    <s v="Sophie"/>
    <n v="31"/>
    <n v="5"/>
    <x v="2"/>
    <x v="2"/>
    <x v="2"/>
    <n v="22"/>
  </r>
  <r>
    <d v="2023-11-09T00:00:00"/>
    <x v="1"/>
    <x v="4"/>
    <n v="13"/>
    <n v="174.9"/>
    <x v="1"/>
    <x v="0"/>
    <n v="0.15"/>
    <x v="3"/>
    <n v="1932.645"/>
    <x v="0"/>
    <s v="WINTER15"/>
    <n v="0"/>
    <x v="960"/>
    <s v="Myra Reddy"/>
    <n v="31.26"/>
    <n v="148.66499999999999"/>
    <n v="1901.385"/>
    <d v="2023-11-09T00:00:00"/>
    <d v="2023-11-12T00:00:00"/>
    <s v="Sophie"/>
    <n v="9"/>
    <n v="11"/>
    <x v="9"/>
    <x v="0"/>
    <x v="1"/>
    <n v="45"/>
  </r>
  <r>
    <d v="2023-07-06T00:00:00"/>
    <x v="2"/>
    <x v="3"/>
    <n v="8"/>
    <n v="419.13"/>
    <x v="1"/>
    <x v="1"/>
    <n v="0.1"/>
    <x v="1"/>
    <n v="3017.7359999999999"/>
    <x v="0"/>
    <s v="nan"/>
    <n v="1"/>
    <x v="961"/>
    <s v="Diya Sharma"/>
    <n v="11.02"/>
    <n v="377.21699999999998"/>
    <n v="3006.7159999999999"/>
    <d v="2023-07-06T00:00:00"/>
    <d v="2023-07-10T00:00:00"/>
    <s v="Ryan"/>
    <n v="6"/>
    <n v="7"/>
    <x v="8"/>
    <x v="0"/>
    <x v="3"/>
    <n v="27"/>
  </r>
  <r>
    <d v="2023-07-14T00:00:00"/>
    <x v="2"/>
    <x v="3"/>
    <n v="12"/>
    <n v="116.96"/>
    <x v="3"/>
    <x v="0"/>
    <n v="0"/>
    <x v="1"/>
    <n v="1403.52"/>
    <x v="1"/>
    <s v="WINTER15"/>
    <n v="0"/>
    <x v="962"/>
    <s v="Tanvi Srivastava"/>
    <n v="22.04"/>
    <n v="116.96"/>
    <n v="1381.48"/>
    <d v="2023-07-14T00:00:00"/>
    <d v="2023-07-22T00:00:00"/>
    <s v="Ryan"/>
    <n v="14"/>
    <n v="7"/>
    <x v="8"/>
    <x v="0"/>
    <x v="3"/>
    <n v="28"/>
  </r>
  <r>
    <d v="2023-11-13T00:00:00"/>
    <x v="4"/>
    <x v="3"/>
    <n v="11"/>
    <n v="323.72000000000003"/>
    <x v="1"/>
    <x v="0"/>
    <n v="0.1"/>
    <x v="5"/>
    <n v="3204.828"/>
    <x v="1"/>
    <s v="WINTER15"/>
    <n v="0"/>
    <x v="963"/>
    <s v="Aisha George"/>
    <n v="7.52"/>
    <n v="291.34800000000001"/>
    <n v="3197.308"/>
    <d v="2023-11-13T00:00:00"/>
    <d v="2023-11-15T00:00:00"/>
    <s v="Wendy"/>
    <n v="13"/>
    <n v="11"/>
    <x v="9"/>
    <x v="0"/>
    <x v="1"/>
    <n v="46"/>
  </r>
  <r>
    <d v="2025-02-02T00:00:00"/>
    <x v="4"/>
    <x v="5"/>
    <n v="11"/>
    <n v="155.49"/>
    <x v="3"/>
    <x v="1"/>
    <n v="0.05"/>
    <x v="2"/>
    <n v="1624.8705"/>
    <x v="4"/>
    <s v="nan"/>
    <n v="0"/>
    <x v="964"/>
    <s v="Sara Patel"/>
    <n v="47.01"/>
    <n v="147.71549999999999"/>
    <n v="1577.8605"/>
    <d v="2025-02-02T00:00:00"/>
    <d v="2025-02-12T00:00:00"/>
    <s v="Wendy"/>
    <n v="2"/>
    <n v="2"/>
    <x v="0"/>
    <x v="2"/>
    <x v="0"/>
    <n v="5"/>
  </r>
  <r>
    <d v="2024-05-06T00:00:00"/>
    <x v="1"/>
    <x v="6"/>
    <n v="20"/>
    <n v="270.2"/>
    <x v="1"/>
    <x v="0"/>
    <n v="0"/>
    <x v="4"/>
    <n v="5404"/>
    <x v="2"/>
    <s v="WINTER15"/>
    <n v="0"/>
    <x v="965"/>
    <s v="Rahul Jain"/>
    <n v="6.8"/>
    <n v="270.2"/>
    <n v="5397.2"/>
    <d v="2024-05-06T00:00:00"/>
    <d v="2024-05-15T00:00:00"/>
    <s v="Sophie"/>
    <n v="6"/>
    <n v="5"/>
    <x v="2"/>
    <x v="1"/>
    <x v="2"/>
    <n v="19"/>
  </r>
  <r>
    <d v="2024-10-17T00:00:00"/>
    <x v="1"/>
    <x v="6"/>
    <n v="15"/>
    <n v="482.08"/>
    <x v="3"/>
    <x v="1"/>
    <n v="0.1"/>
    <x v="0"/>
    <n v="6508.08"/>
    <x v="3"/>
    <s v="FREESHIP"/>
    <n v="1"/>
    <x v="966"/>
    <s v="Charu Pandey"/>
    <n v="13.35"/>
    <n v="433.87200000000001"/>
    <n v="6494.73"/>
    <d v="2024-10-17T00:00:00"/>
    <d v="2024-10-19T00:00:00"/>
    <s v="Sophie"/>
    <n v="17"/>
    <n v="10"/>
    <x v="5"/>
    <x v="1"/>
    <x v="1"/>
    <n v="42"/>
  </r>
  <r>
    <d v="2025-01-29T00:00:00"/>
    <x v="2"/>
    <x v="0"/>
    <n v="11"/>
    <n v="431.51"/>
    <x v="2"/>
    <x v="0"/>
    <n v="0.1"/>
    <x v="3"/>
    <n v="4271.9489999999996"/>
    <x v="3"/>
    <s v="SAVE10"/>
    <n v="0"/>
    <x v="967"/>
    <s v="Aman Hegde"/>
    <n v="22.83"/>
    <n v="388.35899999999998"/>
    <n v="4249.1189999999997"/>
    <d v="2025-01-29T00:00:00"/>
    <d v="2025-02-05T00:00:00"/>
    <s v="Ryan"/>
    <n v="29"/>
    <n v="1"/>
    <x v="4"/>
    <x v="2"/>
    <x v="0"/>
    <n v="5"/>
  </r>
  <r>
    <d v="2025-03-23T00:00:00"/>
    <x v="3"/>
    <x v="3"/>
    <n v="5"/>
    <n v="302.76"/>
    <x v="3"/>
    <x v="0"/>
    <n v="0"/>
    <x v="3"/>
    <n v="1513.8"/>
    <x v="1"/>
    <s v="FREESHIP"/>
    <n v="1"/>
    <x v="968"/>
    <s v="Aditi Rawat"/>
    <n v="46.69"/>
    <n v="302.76"/>
    <n v="1467.11"/>
    <d v="2025-03-23T00:00:00"/>
    <d v="2025-03-29T00:00:00"/>
    <s v="Cameron"/>
    <n v="23"/>
    <n v="3"/>
    <x v="6"/>
    <x v="2"/>
    <x v="0"/>
    <n v="12"/>
  </r>
  <r>
    <d v="2024-04-11T00:00:00"/>
    <x v="4"/>
    <x v="3"/>
    <n v="19"/>
    <n v="344.92"/>
    <x v="2"/>
    <x v="0"/>
    <n v="0"/>
    <x v="0"/>
    <n v="6553.48"/>
    <x v="4"/>
    <s v="WINTER15"/>
    <n v="0"/>
    <x v="969"/>
    <s v="Meera Qureshi"/>
    <n v="6.91"/>
    <n v="344.91999999999996"/>
    <n v="6546.57"/>
    <d v="2024-04-11T00:00:00"/>
    <d v="2024-04-20T00:00:00"/>
    <s v="Wendy"/>
    <n v="11"/>
    <n v="4"/>
    <x v="7"/>
    <x v="1"/>
    <x v="2"/>
    <n v="15"/>
  </r>
  <r>
    <d v="2024-05-03T00:00:00"/>
    <x v="3"/>
    <x v="3"/>
    <n v="7"/>
    <n v="511.46"/>
    <x v="2"/>
    <x v="1"/>
    <n v="0.1"/>
    <x v="0"/>
    <n v="3222.1979999999999"/>
    <x v="4"/>
    <s v="FREESHIP"/>
    <n v="0"/>
    <x v="970"/>
    <s v="Simran Joseph"/>
    <n v="19.2"/>
    <n v="460.31399999999996"/>
    <n v="3202.998"/>
    <d v="2024-05-03T00:00:00"/>
    <d v="2024-05-12T00:00:00"/>
    <s v="Cameron"/>
    <n v="3"/>
    <n v="5"/>
    <x v="2"/>
    <x v="1"/>
    <x v="2"/>
    <n v="18"/>
  </r>
  <r>
    <d v="2024-10-14T00:00:00"/>
    <x v="0"/>
    <x v="4"/>
    <n v="7"/>
    <n v="150.6"/>
    <x v="1"/>
    <x v="0"/>
    <n v="0.15"/>
    <x v="5"/>
    <n v="896.07"/>
    <x v="4"/>
    <s v="WINTER15"/>
    <n v="1"/>
    <x v="971"/>
    <s v="Sana Rawat"/>
    <n v="15.52"/>
    <n v="128.01000000000002"/>
    <n v="880.55000000000007"/>
    <d v="2024-10-14T00:00:00"/>
    <d v="2024-10-21T00:00:00"/>
    <s v="Eric"/>
    <n v="14"/>
    <n v="10"/>
    <x v="5"/>
    <x v="1"/>
    <x v="1"/>
    <n v="42"/>
  </r>
  <r>
    <d v="2024-02-08T00:00:00"/>
    <x v="4"/>
    <x v="1"/>
    <n v="8"/>
    <n v="158.02000000000001"/>
    <x v="2"/>
    <x v="0"/>
    <n v="0.15"/>
    <x v="4"/>
    <n v="1074.5360000000001"/>
    <x v="2"/>
    <s v="FREESHIP"/>
    <n v="0"/>
    <x v="972"/>
    <s v="Avni Ansari"/>
    <n v="47.43"/>
    <n v="134.31700000000001"/>
    <n v="1027.106"/>
    <d v="2024-02-08T00:00:00"/>
    <d v="2024-02-13T00:00:00"/>
    <s v="Wendy"/>
    <n v="8"/>
    <n v="2"/>
    <x v="0"/>
    <x v="1"/>
    <x v="0"/>
    <n v="6"/>
  </r>
  <r>
    <d v="2023-05-10T00:00:00"/>
    <x v="3"/>
    <x v="5"/>
    <n v="2"/>
    <n v="536.17999999999995"/>
    <x v="0"/>
    <x v="1"/>
    <n v="0.1"/>
    <x v="2"/>
    <n v="965.12399999999991"/>
    <x v="2"/>
    <s v="FREESHIP"/>
    <n v="0"/>
    <x v="973"/>
    <s v="Kunal Khanna"/>
    <n v="34.75"/>
    <n v="482.56199999999995"/>
    <n v="930.37399999999991"/>
    <d v="2023-05-10T00:00:00"/>
    <d v="2023-05-13T00:00:00"/>
    <s v="Cameron"/>
    <n v="10"/>
    <n v="5"/>
    <x v="2"/>
    <x v="0"/>
    <x v="2"/>
    <n v="19"/>
  </r>
  <r>
    <d v="2023-03-03T00:00:00"/>
    <x v="2"/>
    <x v="3"/>
    <n v="16"/>
    <n v="571.26"/>
    <x v="2"/>
    <x v="0"/>
    <n v="0.15"/>
    <x v="5"/>
    <n v="7769.1360000000004"/>
    <x v="1"/>
    <s v="SAVE10"/>
    <n v="0"/>
    <x v="974"/>
    <s v="Diya Desai"/>
    <n v="6.13"/>
    <n v="485.57100000000003"/>
    <n v="7763.0060000000003"/>
    <d v="2023-03-03T00:00:00"/>
    <d v="2023-03-12T00:00:00"/>
    <s v="Ryan"/>
    <n v="3"/>
    <n v="3"/>
    <x v="6"/>
    <x v="0"/>
    <x v="0"/>
    <n v="9"/>
  </r>
  <r>
    <d v="2025-05-21T00:00:00"/>
    <x v="3"/>
    <x v="5"/>
    <n v="12"/>
    <n v="134.41999999999999"/>
    <x v="3"/>
    <x v="1"/>
    <n v="0.1"/>
    <x v="4"/>
    <n v="1451.7360000000001"/>
    <x v="1"/>
    <s v="FREESHIP"/>
    <n v="0"/>
    <x v="975"/>
    <s v="Ashwin George"/>
    <n v="33.979999999999997"/>
    <n v="120.97800000000001"/>
    <n v="1417.7560000000001"/>
    <d v="2025-05-21T00:00:00"/>
    <d v="2025-05-27T00:00:00"/>
    <s v="Cameron"/>
    <n v="21"/>
    <n v="5"/>
    <x v="2"/>
    <x v="2"/>
    <x v="2"/>
    <n v="21"/>
  </r>
  <r>
    <d v="2025-04-30T00:00:00"/>
    <x v="3"/>
    <x v="0"/>
    <n v="5"/>
    <n v="563.70000000000005"/>
    <x v="1"/>
    <x v="1"/>
    <n v="0"/>
    <x v="5"/>
    <n v="2818.5"/>
    <x v="0"/>
    <s v="SAVE10"/>
    <n v="0"/>
    <x v="976"/>
    <s v="Alina Bhatia"/>
    <n v="29.28"/>
    <n v="563.70000000000005"/>
    <n v="2789.22"/>
    <d v="2025-04-30T00:00:00"/>
    <d v="2025-05-07T00:00:00"/>
    <s v="Cameron"/>
    <n v="30"/>
    <n v="4"/>
    <x v="7"/>
    <x v="2"/>
    <x v="2"/>
    <n v="18"/>
  </r>
  <r>
    <d v="2023-04-02T00:00:00"/>
    <x v="2"/>
    <x v="1"/>
    <n v="11"/>
    <n v="546.57000000000005"/>
    <x v="3"/>
    <x v="1"/>
    <n v="0.15"/>
    <x v="5"/>
    <n v="5110.4295000000002"/>
    <x v="2"/>
    <s v="SAVE10"/>
    <n v="1"/>
    <x v="977"/>
    <s v="Rahul Pathan"/>
    <n v="24.77"/>
    <n v="464.58449999999999"/>
    <n v="5085.6594999999998"/>
    <d v="2023-04-02T00:00:00"/>
    <d v="2023-04-04T00:00:00"/>
    <s v="Ryan"/>
    <n v="2"/>
    <n v="4"/>
    <x v="7"/>
    <x v="0"/>
    <x v="2"/>
    <n v="13"/>
  </r>
  <r>
    <d v="2024-08-26T00:00:00"/>
    <x v="2"/>
    <x v="4"/>
    <n v="9"/>
    <n v="364.88"/>
    <x v="2"/>
    <x v="0"/>
    <n v="0.05"/>
    <x v="5"/>
    <n v="3119.7240000000002"/>
    <x v="4"/>
    <s v="SAVE10"/>
    <n v="0"/>
    <x v="978"/>
    <s v="Suresh Malik"/>
    <n v="40.26"/>
    <n v="346.63600000000002"/>
    <n v="3079.4639999999999"/>
    <d v="2024-08-26T00:00:00"/>
    <d v="2024-09-05T00:00:00"/>
    <s v="Ryan"/>
    <n v="26"/>
    <n v="8"/>
    <x v="10"/>
    <x v="1"/>
    <x v="3"/>
    <n v="35"/>
  </r>
  <r>
    <d v="2023-11-10T00:00:00"/>
    <x v="1"/>
    <x v="4"/>
    <n v="7"/>
    <n v="368.27"/>
    <x v="2"/>
    <x v="0"/>
    <n v="0.15"/>
    <x v="3"/>
    <n v="2191.2064999999998"/>
    <x v="0"/>
    <s v="WINTER15"/>
    <n v="0"/>
    <x v="979"/>
    <s v="Simran Vora"/>
    <n v="28.98"/>
    <n v="313.02949999999998"/>
    <n v="2162.2264999999998"/>
    <d v="2023-11-10T00:00:00"/>
    <d v="2023-11-20T00:00:00"/>
    <s v="Sophie"/>
    <n v="10"/>
    <n v="11"/>
    <x v="9"/>
    <x v="0"/>
    <x v="1"/>
    <n v="45"/>
  </r>
  <r>
    <d v="2025-01-27T00:00:00"/>
    <x v="3"/>
    <x v="6"/>
    <n v="20"/>
    <n v="537.28"/>
    <x v="2"/>
    <x v="0"/>
    <n v="0"/>
    <x v="2"/>
    <n v="10745.6"/>
    <x v="0"/>
    <s v="nan"/>
    <n v="1"/>
    <x v="980"/>
    <s v="Ishaan Farooqui"/>
    <n v="15.6"/>
    <n v="537.28"/>
    <n v="10730"/>
    <d v="2025-01-27T00:00:00"/>
    <d v="2025-02-02T00:00:00"/>
    <s v="Cameron"/>
    <n v="27"/>
    <n v="1"/>
    <x v="4"/>
    <x v="2"/>
    <x v="0"/>
    <n v="5"/>
  </r>
  <r>
    <d v="2024-04-26T00:00:00"/>
    <x v="1"/>
    <x v="1"/>
    <n v="3"/>
    <n v="103.09"/>
    <x v="3"/>
    <x v="0"/>
    <n v="0"/>
    <x v="3"/>
    <n v="309.27"/>
    <x v="1"/>
    <s v="SAVE10"/>
    <n v="1"/>
    <x v="981"/>
    <s v="Trisha Bhatia"/>
    <n v="46.47"/>
    <n v="103.08999999999999"/>
    <n v="262.79999999999995"/>
    <d v="2024-04-26T00:00:00"/>
    <d v="2024-04-30T00:00:00"/>
    <s v="Sophie"/>
    <n v="26"/>
    <n v="4"/>
    <x v="7"/>
    <x v="1"/>
    <x v="2"/>
    <n v="17"/>
  </r>
  <r>
    <d v="2023-11-27T00:00:00"/>
    <x v="0"/>
    <x v="5"/>
    <n v="9"/>
    <n v="97.56"/>
    <x v="1"/>
    <x v="0"/>
    <n v="0"/>
    <x v="1"/>
    <n v="878.04"/>
    <x v="0"/>
    <s v="nan"/>
    <n v="0"/>
    <x v="982"/>
    <s v="Varun Khan"/>
    <n v="48.84"/>
    <n v="97.56"/>
    <n v="829.19999999999993"/>
    <d v="2023-11-27T00:00:00"/>
    <d v="2023-12-01T00:00:00"/>
    <s v="Eric"/>
    <n v="27"/>
    <n v="11"/>
    <x v="9"/>
    <x v="0"/>
    <x v="1"/>
    <n v="48"/>
  </r>
  <r>
    <d v="2023-03-30T00:00:00"/>
    <x v="3"/>
    <x v="5"/>
    <n v="10"/>
    <n v="338.75"/>
    <x v="1"/>
    <x v="0"/>
    <n v="0.15"/>
    <x v="3"/>
    <n v="2879.375"/>
    <x v="4"/>
    <s v="WINTER15"/>
    <n v="1"/>
    <x v="983"/>
    <s v="Ananya Syed"/>
    <n v="36.56"/>
    <n v="287.9375"/>
    <n v="2842.8150000000001"/>
    <d v="2023-03-30T00:00:00"/>
    <d v="2023-04-06T00:00:00"/>
    <s v="Cameron"/>
    <n v="30"/>
    <n v="3"/>
    <x v="6"/>
    <x v="0"/>
    <x v="0"/>
    <n v="13"/>
  </r>
  <r>
    <d v="2024-03-04T00:00:00"/>
    <x v="2"/>
    <x v="2"/>
    <n v="2"/>
    <n v="239.04"/>
    <x v="1"/>
    <x v="0"/>
    <n v="0"/>
    <x v="5"/>
    <n v="478.08"/>
    <x v="3"/>
    <s v="SAVE10"/>
    <n v="1"/>
    <x v="984"/>
    <s v="Mitali Nair"/>
    <n v="43.84"/>
    <n v="239.04"/>
    <n v="434.24"/>
    <d v="2024-03-04T00:00:00"/>
    <d v="2024-03-11T00:00:00"/>
    <s v="Ryan"/>
    <n v="4"/>
    <n v="3"/>
    <x v="6"/>
    <x v="1"/>
    <x v="0"/>
    <n v="10"/>
  </r>
  <r>
    <d v="2023-07-11T00:00:00"/>
    <x v="1"/>
    <x v="0"/>
    <n v="14"/>
    <n v="362.44"/>
    <x v="2"/>
    <x v="0"/>
    <n v="0.1"/>
    <x v="5"/>
    <n v="4566.7439999999997"/>
    <x v="4"/>
    <s v="WINTER15"/>
    <n v="0"/>
    <x v="985"/>
    <s v="Bhavna Kulkarni"/>
    <n v="36.729999999999997"/>
    <n v="326.19599999999997"/>
    <n v="4530.0140000000001"/>
    <d v="2023-07-11T00:00:00"/>
    <d v="2023-07-15T00:00:00"/>
    <s v="Sophie"/>
    <n v="11"/>
    <n v="7"/>
    <x v="8"/>
    <x v="0"/>
    <x v="3"/>
    <n v="28"/>
  </r>
  <r>
    <d v="2024-09-20T00:00:00"/>
    <x v="4"/>
    <x v="4"/>
    <n v="6"/>
    <n v="551.13"/>
    <x v="3"/>
    <x v="1"/>
    <n v="0"/>
    <x v="3"/>
    <n v="3306.78"/>
    <x v="1"/>
    <s v="FREESHIP"/>
    <n v="0"/>
    <x v="986"/>
    <s v="Vikram Pai"/>
    <n v="14.67"/>
    <n v="551.13"/>
    <n v="3292.11"/>
    <d v="2024-09-20T00:00:00"/>
    <d v="2024-09-29T00:00:00"/>
    <s v="Wendy"/>
    <n v="20"/>
    <n v="9"/>
    <x v="11"/>
    <x v="1"/>
    <x v="3"/>
    <n v="38"/>
  </r>
  <r>
    <d v="2025-02-18T00:00:00"/>
    <x v="4"/>
    <x v="0"/>
    <n v="1"/>
    <n v="82.06"/>
    <x v="3"/>
    <x v="1"/>
    <n v="0.1"/>
    <x v="0"/>
    <n v="73.853999999999999"/>
    <x v="2"/>
    <s v="FREESHIP"/>
    <n v="0"/>
    <x v="987"/>
    <s v="Bhavna Nair"/>
    <n v="11.11"/>
    <n v="73.853999999999999"/>
    <n v="62.744"/>
    <d v="2025-02-18T00:00:00"/>
    <d v="2025-02-24T00:00:00"/>
    <s v="Wendy"/>
    <n v="18"/>
    <n v="2"/>
    <x v="0"/>
    <x v="2"/>
    <x v="0"/>
    <n v="8"/>
  </r>
  <r>
    <d v="2024-07-16T00:00:00"/>
    <x v="0"/>
    <x v="5"/>
    <n v="7"/>
    <n v="498.46"/>
    <x v="2"/>
    <x v="0"/>
    <n v="0.15"/>
    <x v="3"/>
    <n v="2965.837"/>
    <x v="1"/>
    <s v="nan"/>
    <n v="0"/>
    <x v="988"/>
    <s v="Noor Mathew"/>
    <n v="42.72"/>
    <n v="423.69099999999997"/>
    <n v="2923.1170000000002"/>
    <d v="2024-07-16T00:00:00"/>
    <d v="2024-07-20T00:00:00"/>
    <s v="Eric"/>
    <n v="16"/>
    <n v="7"/>
    <x v="8"/>
    <x v="1"/>
    <x v="3"/>
    <n v="29"/>
  </r>
  <r>
    <d v="2023-11-23T00:00:00"/>
    <x v="0"/>
    <x v="3"/>
    <n v="2"/>
    <n v="253.41"/>
    <x v="3"/>
    <x v="1"/>
    <n v="0.1"/>
    <x v="2"/>
    <n v="456.13799999999998"/>
    <x v="4"/>
    <s v="FREESHIP"/>
    <n v="0"/>
    <x v="989"/>
    <s v="Manya Singh"/>
    <n v="49.64"/>
    <n v="228.06899999999999"/>
    <n v="406.49799999999999"/>
    <d v="2023-11-23T00:00:00"/>
    <d v="2023-11-25T00:00:00"/>
    <s v="Eric"/>
    <n v="23"/>
    <n v="11"/>
    <x v="9"/>
    <x v="0"/>
    <x v="1"/>
    <n v="47"/>
  </r>
  <r>
    <d v="2023-09-07T00:00:00"/>
    <x v="1"/>
    <x v="1"/>
    <n v="16"/>
    <n v="144.07"/>
    <x v="3"/>
    <x v="0"/>
    <n v="0.1"/>
    <x v="0"/>
    <n v="2074.6080000000002"/>
    <x v="3"/>
    <s v="FREESHIP"/>
    <n v="0"/>
    <x v="990"/>
    <s v="Zara Mukherjee"/>
    <n v="7.33"/>
    <n v="129.66300000000001"/>
    <n v="2067.2780000000002"/>
    <d v="2023-09-07T00:00:00"/>
    <d v="2023-09-09T00:00:00"/>
    <s v="Sophie"/>
    <n v="7"/>
    <n v="9"/>
    <x v="11"/>
    <x v="0"/>
    <x v="3"/>
    <n v="36"/>
  </r>
  <r>
    <d v="2024-02-01T00:00:00"/>
    <x v="4"/>
    <x v="4"/>
    <n v="11"/>
    <n v="201.09"/>
    <x v="2"/>
    <x v="1"/>
    <n v="0.15"/>
    <x v="3"/>
    <n v="1880.1914999999999"/>
    <x v="4"/>
    <s v="nan"/>
    <n v="1"/>
    <x v="991"/>
    <s v="Aarav Khanna"/>
    <n v="48.42"/>
    <n v="170.9265"/>
    <n v="1831.7714999999998"/>
    <d v="2024-02-01T00:00:00"/>
    <d v="2024-02-04T00:00:00"/>
    <s v="Wendy"/>
    <n v="1"/>
    <n v="2"/>
    <x v="0"/>
    <x v="1"/>
    <x v="0"/>
    <n v="5"/>
  </r>
  <r>
    <d v="2025-05-08T00:00:00"/>
    <x v="1"/>
    <x v="3"/>
    <n v="11"/>
    <n v="585.45000000000005"/>
    <x v="3"/>
    <x v="0"/>
    <n v="0.1"/>
    <x v="1"/>
    <n v="5795.9550000000008"/>
    <x v="2"/>
    <s v="WINTER15"/>
    <n v="0"/>
    <x v="992"/>
    <s v="Hina Malhotra"/>
    <n v="36.590000000000003"/>
    <n v="526.90500000000009"/>
    <n v="5759.3650000000007"/>
    <d v="2025-05-08T00:00:00"/>
    <d v="2025-05-12T00:00:00"/>
    <s v="Sophie"/>
    <n v="8"/>
    <n v="5"/>
    <x v="2"/>
    <x v="2"/>
    <x v="2"/>
    <n v="19"/>
  </r>
  <r>
    <d v="2025-01-17T00:00:00"/>
    <x v="2"/>
    <x v="0"/>
    <n v="3"/>
    <n v="448.77"/>
    <x v="1"/>
    <x v="1"/>
    <n v="0"/>
    <x v="1"/>
    <n v="1346.31"/>
    <x v="0"/>
    <s v="FREESHIP"/>
    <n v="0"/>
    <x v="993"/>
    <s v="Rohan Fernandes"/>
    <n v="28.5"/>
    <n v="448.77"/>
    <n v="1317.81"/>
    <d v="2025-01-17T00:00:00"/>
    <d v="2025-01-24T00:00:00"/>
    <s v="Ryan"/>
    <n v="17"/>
    <n v="1"/>
    <x v="4"/>
    <x v="2"/>
    <x v="0"/>
    <n v="3"/>
  </r>
  <r>
    <d v="2023-09-02T00:00:00"/>
    <x v="0"/>
    <x v="4"/>
    <n v="9"/>
    <n v="184.43"/>
    <x v="3"/>
    <x v="0"/>
    <n v="0"/>
    <x v="3"/>
    <n v="1659.87"/>
    <x v="0"/>
    <s v="WINTER15"/>
    <n v="0"/>
    <x v="994"/>
    <s v="Rahul Joshi"/>
    <n v="30.78"/>
    <n v="184.42999999999998"/>
    <n v="1629.09"/>
    <d v="2023-09-02T00:00:00"/>
    <d v="2023-09-08T00:00:00"/>
    <s v="Eric"/>
    <n v="2"/>
    <n v="9"/>
    <x v="11"/>
    <x v="0"/>
    <x v="3"/>
    <n v="35"/>
  </r>
  <r>
    <d v="2023-06-23T00:00:00"/>
    <x v="3"/>
    <x v="0"/>
    <n v="16"/>
    <n v="594.1"/>
    <x v="3"/>
    <x v="1"/>
    <n v="0"/>
    <x v="5"/>
    <n v="9505.6"/>
    <x v="1"/>
    <s v="FREESHIP"/>
    <n v="0"/>
    <x v="995"/>
    <s v="Akash Verma"/>
    <n v="18.2"/>
    <n v="594.1"/>
    <n v="9487.4"/>
    <d v="2023-06-23T00:00:00"/>
    <d v="2023-07-01T00:00:00"/>
    <s v="Cameron"/>
    <n v="23"/>
    <n v="6"/>
    <x v="3"/>
    <x v="0"/>
    <x v="2"/>
    <n v="25"/>
  </r>
  <r>
    <d v="2024-01-20T00:00:00"/>
    <x v="0"/>
    <x v="0"/>
    <n v="19"/>
    <n v="482.07"/>
    <x v="0"/>
    <x v="0"/>
    <n v="0.1"/>
    <x v="5"/>
    <n v="8243.3970000000008"/>
    <x v="2"/>
    <s v="nan"/>
    <n v="0"/>
    <x v="996"/>
    <s v="Ritika Shetty"/>
    <n v="25.96"/>
    <n v="433.86300000000006"/>
    <n v="8217.4370000000017"/>
    <d v="2024-01-20T00:00:00"/>
    <d v="2024-01-26T00:00:00"/>
    <s v="Eric"/>
    <n v="20"/>
    <n v="1"/>
    <x v="4"/>
    <x v="1"/>
    <x v="0"/>
    <n v="3"/>
  </r>
  <r>
    <d v="2024-06-26T00:00:00"/>
    <x v="0"/>
    <x v="3"/>
    <n v="20"/>
    <n v="75.45"/>
    <x v="0"/>
    <x v="0"/>
    <n v="0.05"/>
    <x v="0"/>
    <n v="1433.55"/>
    <x v="2"/>
    <s v="SAVE10"/>
    <n v="0"/>
    <x v="997"/>
    <s v="Avni Rawat"/>
    <n v="44.77"/>
    <n v="71.677499999999995"/>
    <n v="1388.78"/>
    <d v="2024-06-26T00:00:00"/>
    <d v="2024-07-06T00:00:00"/>
    <s v="Eric"/>
    <n v="26"/>
    <n v="6"/>
    <x v="3"/>
    <x v="1"/>
    <x v="2"/>
    <n v="26"/>
  </r>
  <r>
    <d v="2024-12-12T00:00:00"/>
    <x v="3"/>
    <x v="4"/>
    <n v="2"/>
    <n v="494.22"/>
    <x v="2"/>
    <x v="1"/>
    <n v="0.1"/>
    <x v="3"/>
    <n v="889.59600000000012"/>
    <x v="1"/>
    <s v="FREESHIP"/>
    <n v="0"/>
    <x v="998"/>
    <s v="Laksh Dubey"/>
    <n v="13.45"/>
    <n v="444.79800000000006"/>
    <n v="876.14600000000007"/>
    <d v="2024-12-12T00:00:00"/>
    <d v="2024-12-17T00:00:00"/>
    <s v="Cameron"/>
    <n v="12"/>
    <n v="12"/>
    <x v="1"/>
    <x v="1"/>
    <x v="1"/>
    <n v="50"/>
  </r>
  <r>
    <d v="2024-02-21T00:00:00"/>
    <x v="0"/>
    <x v="0"/>
    <n v="15"/>
    <n v="112.82"/>
    <x v="0"/>
    <x v="0"/>
    <n v="0.05"/>
    <x v="2"/>
    <n v="1607.6849999999999"/>
    <x v="2"/>
    <s v="WINTER15"/>
    <n v="0"/>
    <x v="999"/>
    <s v="Priya Hussain"/>
    <n v="18.21"/>
    <n v="107.179"/>
    <n v="1589.4749999999999"/>
    <d v="2024-02-21T00:00:00"/>
    <d v="2024-03-01T00:00:00"/>
    <s v="Eric"/>
    <n v="21"/>
    <n v="2"/>
    <x v="0"/>
    <x v="1"/>
    <x v="0"/>
    <n v="8"/>
  </r>
  <r>
    <d v="2023-07-18T00:00:00"/>
    <x v="0"/>
    <x v="2"/>
    <n v="3"/>
    <n v="121.56"/>
    <x v="3"/>
    <x v="0"/>
    <n v="0"/>
    <x v="0"/>
    <n v="364.68"/>
    <x v="3"/>
    <s v="WINTER15"/>
    <n v="0"/>
    <x v="1000"/>
    <s v="Meera Chaudhary"/>
    <n v="29.06"/>
    <n v="121.56"/>
    <n v="335.62"/>
    <d v="2023-07-18T00:00:00"/>
    <d v="2023-07-25T00:00:00"/>
    <s v="Eric"/>
    <n v="18"/>
    <n v="7"/>
    <x v="8"/>
    <x v="0"/>
    <x v="3"/>
    <n v="29"/>
  </r>
  <r>
    <d v="2024-10-02T00:00:00"/>
    <x v="2"/>
    <x v="2"/>
    <n v="12"/>
    <n v="465.94"/>
    <x v="3"/>
    <x v="0"/>
    <n v="0"/>
    <x v="1"/>
    <n v="5591.28"/>
    <x v="2"/>
    <s v="WINTER15"/>
    <n v="0"/>
    <x v="1001"/>
    <s v="Isha Yadav"/>
    <n v="34.159999999999997"/>
    <n v="465.94"/>
    <n v="5557.12"/>
    <d v="2024-10-02T00:00:00"/>
    <d v="2024-10-06T00:00:00"/>
    <s v="Ryan"/>
    <n v="2"/>
    <n v="10"/>
    <x v="5"/>
    <x v="1"/>
    <x v="1"/>
    <n v="40"/>
  </r>
  <r>
    <d v="2024-12-01T00:00:00"/>
    <x v="4"/>
    <x v="1"/>
    <n v="12"/>
    <n v="187.8"/>
    <x v="3"/>
    <x v="0"/>
    <n v="0.15"/>
    <x v="4"/>
    <n v="1915.56"/>
    <x v="0"/>
    <s v="FREESHIP"/>
    <n v="0"/>
    <x v="1002"/>
    <s v="Kunal Naidu"/>
    <n v="17.739999999999998"/>
    <n v="159.63"/>
    <n v="1897.82"/>
    <d v="2024-12-01T00:00:00"/>
    <d v="2024-12-04T00:00:00"/>
    <s v="Wendy"/>
    <n v="1"/>
    <n v="12"/>
    <x v="1"/>
    <x v="1"/>
    <x v="1"/>
    <n v="48"/>
  </r>
  <r>
    <d v="2024-09-03T00:00:00"/>
    <x v="0"/>
    <x v="2"/>
    <n v="1"/>
    <n v="561.29999999999995"/>
    <x v="3"/>
    <x v="1"/>
    <n v="0.15"/>
    <x v="2"/>
    <n v="477.10500000000002"/>
    <x v="1"/>
    <s v="nan"/>
    <n v="0"/>
    <x v="1003"/>
    <s v="Ashwin Kulkarni"/>
    <n v="5.19"/>
    <n v="477.10500000000002"/>
    <n v="471.91500000000002"/>
    <d v="2024-09-03T00:00:00"/>
    <d v="2024-09-12T00:00:00"/>
    <s v="Eric"/>
    <n v="3"/>
    <n v="9"/>
    <x v="11"/>
    <x v="1"/>
    <x v="3"/>
    <n v="36"/>
  </r>
  <r>
    <d v="2025-02-22T00:00:00"/>
    <x v="4"/>
    <x v="6"/>
    <n v="7"/>
    <n v="178.26"/>
    <x v="2"/>
    <x v="1"/>
    <n v="0.15"/>
    <x v="5"/>
    <n v="1060.6469999999999"/>
    <x v="0"/>
    <s v="FREESHIP"/>
    <n v="0"/>
    <x v="1004"/>
    <s v="Devansh Sharma"/>
    <n v="44.91"/>
    <n v="151.52099999999999"/>
    <n v="1015.737"/>
    <d v="2025-02-22T00:00:00"/>
    <d v="2025-03-01T00:00:00"/>
    <s v="Wendy"/>
    <n v="22"/>
    <n v="2"/>
    <x v="0"/>
    <x v="2"/>
    <x v="0"/>
    <n v="8"/>
  </r>
  <r>
    <d v="2025-05-11T00:00:00"/>
    <x v="4"/>
    <x v="4"/>
    <n v="20"/>
    <n v="552.83000000000004"/>
    <x v="3"/>
    <x v="1"/>
    <n v="0.15"/>
    <x v="0"/>
    <n v="9398.11"/>
    <x v="0"/>
    <s v="FREESHIP"/>
    <n v="1"/>
    <x v="1005"/>
    <s v="Aditya Tiwari"/>
    <n v="20.5"/>
    <n v="469.90550000000002"/>
    <n v="9377.61"/>
    <d v="2025-05-11T00:00:00"/>
    <d v="2025-05-13T00:00:00"/>
    <s v="Wendy"/>
    <n v="11"/>
    <n v="5"/>
    <x v="2"/>
    <x v="2"/>
    <x v="2"/>
    <n v="19"/>
  </r>
  <r>
    <d v="2024-12-20T00:00:00"/>
    <x v="3"/>
    <x v="5"/>
    <n v="2"/>
    <n v="458.25"/>
    <x v="0"/>
    <x v="0"/>
    <n v="0"/>
    <x v="0"/>
    <n v="916.5"/>
    <x v="1"/>
    <s v="SAVE10"/>
    <n v="0"/>
    <x v="1006"/>
    <s v="Charu Hussain"/>
    <n v="25.94"/>
    <n v="458.25"/>
    <n v="890.56"/>
    <d v="2024-12-20T00:00:00"/>
    <d v="2024-12-29T00:00:00"/>
    <s v="Cameron"/>
    <n v="20"/>
    <n v="12"/>
    <x v="1"/>
    <x v="1"/>
    <x v="1"/>
    <n v="51"/>
  </r>
  <r>
    <d v="2023-04-18T00:00:00"/>
    <x v="0"/>
    <x v="0"/>
    <n v="2"/>
    <n v="129.43"/>
    <x v="3"/>
    <x v="1"/>
    <n v="0.05"/>
    <x v="1"/>
    <n v="245.917"/>
    <x v="3"/>
    <s v="FREESHIP"/>
    <n v="0"/>
    <x v="1007"/>
    <s v="Raina Malik"/>
    <n v="6.91"/>
    <n v="122.9585"/>
    <n v="239.00700000000001"/>
    <d v="2023-04-18T00:00:00"/>
    <d v="2023-04-21T00:00:00"/>
    <s v="Eric"/>
    <n v="18"/>
    <n v="4"/>
    <x v="7"/>
    <x v="0"/>
    <x v="2"/>
    <n v="16"/>
  </r>
  <r>
    <d v="2024-08-29T00:00:00"/>
    <x v="0"/>
    <x v="6"/>
    <n v="19"/>
    <n v="448.21"/>
    <x v="2"/>
    <x v="0"/>
    <n v="0.1"/>
    <x v="1"/>
    <n v="7664.3909999999996"/>
    <x v="3"/>
    <s v="WINTER15"/>
    <n v="0"/>
    <x v="1008"/>
    <s v="Laksh Mishra"/>
    <n v="30.71"/>
    <n v="403.38899999999995"/>
    <n v="7633.6809999999996"/>
    <d v="2024-08-29T00:00:00"/>
    <d v="2024-09-03T00:00:00"/>
    <s v="Eric"/>
    <n v="29"/>
    <n v="8"/>
    <x v="10"/>
    <x v="1"/>
    <x v="3"/>
    <n v="35"/>
  </r>
  <r>
    <d v="2023-09-03T00:00:00"/>
    <x v="2"/>
    <x v="2"/>
    <n v="16"/>
    <n v="440.48"/>
    <x v="0"/>
    <x v="1"/>
    <n v="0.05"/>
    <x v="2"/>
    <n v="6695.2960000000003"/>
    <x v="4"/>
    <s v="FREESHIP"/>
    <n v="1"/>
    <x v="1009"/>
    <s v="Diya Joseph"/>
    <n v="26.87"/>
    <n v="418.45600000000002"/>
    <n v="6668.4260000000004"/>
    <d v="2023-09-03T00:00:00"/>
    <d v="2023-09-10T00:00:00"/>
    <s v="Ryan"/>
    <n v="3"/>
    <n v="9"/>
    <x v="11"/>
    <x v="0"/>
    <x v="3"/>
    <n v="35"/>
  </r>
  <r>
    <d v="2025-05-19T00:00:00"/>
    <x v="0"/>
    <x v="0"/>
    <n v="8"/>
    <n v="262.62"/>
    <x v="2"/>
    <x v="0"/>
    <n v="0"/>
    <x v="1"/>
    <n v="2100.96"/>
    <x v="4"/>
    <s v="FREESHIP"/>
    <n v="1"/>
    <x v="1010"/>
    <s v="Krish Kaur"/>
    <n v="36.729999999999997"/>
    <n v="262.62"/>
    <n v="2064.23"/>
    <d v="2025-05-19T00:00:00"/>
    <d v="2025-05-24T00:00:00"/>
    <s v="Eric"/>
    <n v="19"/>
    <n v="5"/>
    <x v="2"/>
    <x v="2"/>
    <x v="2"/>
    <n v="21"/>
  </r>
  <r>
    <d v="2023-06-18T00:00:00"/>
    <x v="0"/>
    <x v="5"/>
    <n v="15"/>
    <n v="124.91"/>
    <x v="1"/>
    <x v="0"/>
    <n v="0.1"/>
    <x v="0"/>
    <n v="1686.2850000000001"/>
    <x v="1"/>
    <s v="FREESHIP"/>
    <n v="0"/>
    <x v="1011"/>
    <s v="Pooja Verma"/>
    <n v="31.95"/>
    <n v="112.41900000000001"/>
    <n v="1654.335"/>
    <d v="2023-06-18T00:00:00"/>
    <d v="2023-06-26T00:00:00"/>
    <s v="Eric"/>
    <n v="18"/>
    <n v="6"/>
    <x v="3"/>
    <x v="0"/>
    <x v="2"/>
    <n v="24"/>
  </r>
  <r>
    <d v="2025-06-18T00:00:00"/>
    <x v="4"/>
    <x v="4"/>
    <n v="9"/>
    <n v="391"/>
    <x v="3"/>
    <x v="0"/>
    <n v="0.1"/>
    <x v="0"/>
    <n v="3167.1"/>
    <x v="3"/>
    <s v="WINTER15"/>
    <n v="0"/>
    <x v="1012"/>
    <s v="Avni Singh"/>
    <n v="46.76"/>
    <n v="351.9"/>
    <n v="3120.3399999999997"/>
    <d v="2025-06-18T00:00:00"/>
    <d v="2025-06-22T00:00:00"/>
    <s v="Wendy"/>
    <n v="18"/>
    <n v="6"/>
    <x v="3"/>
    <x v="2"/>
    <x v="2"/>
    <n v="25"/>
  </r>
  <r>
    <d v="2024-09-29T00:00:00"/>
    <x v="1"/>
    <x v="0"/>
    <n v="12"/>
    <n v="204.15"/>
    <x v="2"/>
    <x v="1"/>
    <n v="0.05"/>
    <x v="1"/>
    <n v="2327.31"/>
    <x v="3"/>
    <s v="FREESHIP"/>
    <n v="1"/>
    <x v="1013"/>
    <s v="Aisha Arora"/>
    <n v="26.4"/>
    <n v="193.9425"/>
    <n v="2300.91"/>
    <d v="2024-09-29T00:00:00"/>
    <d v="2024-10-07T00:00:00"/>
    <s v="Sophie"/>
    <n v="29"/>
    <n v="9"/>
    <x v="11"/>
    <x v="1"/>
    <x v="3"/>
    <n v="39"/>
  </r>
  <r>
    <d v="2024-02-25T00:00:00"/>
    <x v="0"/>
    <x v="0"/>
    <n v="20"/>
    <n v="13.64"/>
    <x v="2"/>
    <x v="1"/>
    <n v="0.15"/>
    <x v="2"/>
    <n v="231.88"/>
    <x v="2"/>
    <s v="SAVE10"/>
    <n v="0"/>
    <x v="1014"/>
    <s v="Neel Reddy"/>
    <n v="33.6"/>
    <n v="11.593999999999999"/>
    <n v="198.28"/>
    <d v="2024-02-25T00:00:00"/>
    <d v="2024-03-04T00:00:00"/>
    <s v="Eric"/>
    <n v="25"/>
    <n v="2"/>
    <x v="0"/>
    <x v="1"/>
    <x v="0"/>
    <n v="8"/>
  </r>
  <r>
    <d v="2024-03-21T00:00:00"/>
    <x v="2"/>
    <x v="6"/>
    <n v="14"/>
    <n v="524.9"/>
    <x v="2"/>
    <x v="0"/>
    <n v="0.05"/>
    <x v="1"/>
    <n v="6981.1699999999992"/>
    <x v="4"/>
    <s v="FREESHIP"/>
    <n v="1"/>
    <x v="1015"/>
    <s v="Aaliyah Verma"/>
    <n v="20.23"/>
    <n v="498.65499999999992"/>
    <n v="6960.94"/>
    <d v="2024-03-21T00:00:00"/>
    <d v="2024-03-30T00:00:00"/>
    <s v="Ryan"/>
    <n v="21"/>
    <n v="3"/>
    <x v="6"/>
    <x v="1"/>
    <x v="0"/>
    <n v="12"/>
  </r>
  <r>
    <d v="2024-02-03T00:00:00"/>
    <x v="2"/>
    <x v="0"/>
    <n v="8"/>
    <n v="143.94999999999999"/>
    <x v="0"/>
    <x v="1"/>
    <n v="0.1"/>
    <x v="4"/>
    <n v="1036.44"/>
    <x v="4"/>
    <s v="SAVE10"/>
    <n v="0"/>
    <x v="1016"/>
    <s v="Mitali Kapoor"/>
    <n v="28.09"/>
    <n v="129.55500000000001"/>
    <n v="1008.35"/>
    <d v="2024-02-03T00:00:00"/>
    <d v="2024-02-09T00:00:00"/>
    <s v="Ryan"/>
    <n v="3"/>
    <n v="2"/>
    <x v="0"/>
    <x v="1"/>
    <x v="0"/>
    <n v="5"/>
  </r>
  <r>
    <d v="2023-11-21T00:00:00"/>
    <x v="1"/>
    <x v="0"/>
    <n v="2"/>
    <n v="576.84"/>
    <x v="3"/>
    <x v="1"/>
    <n v="0.1"/>
    <x v="2"/>
    <n v="1038.3119999999999"/>
    <x v="2"/>
    <s v="FREESHIP"/>
    <n v="0"/>
    <x v="1017"/>
    <s v="Diya Gupta"/>
    <n v="43.32"/>
    <n v="519.15599999999995"/>
    <n v="994.99199999999985"/>
    <d v="2023-11-21T00:00:00"/>
    <d v="2023-11-24T00:00:00"/>
    <s v="Sophie"/>
    <n v="21"/>
    <n v="11"/>
    <x v="9"/>
    <x v="0"/>
    <x v="1"/>
    <n v="47"/>
  </r>
  <r>
    <d v="2023-01-10T00:00:00"/>
    <x v="4"/>
    <x v="3"/>
    <n v="14"/>
    <n v="250.98"/>
    <x v="2"/>
    <x v="1"/>
    <n v="0"/>
    <x v="0"/>
    <n v="3513.72"/>
    <x v="3"/>
    <s v="nan"/>
    <n v="0"/>
    <x v="1018"/>
    <s v="Tanishq Nair"/>
    <n v="14.94"/>
    <n v="250.98"/>
    <n v="3498.7799999999997"/>
    <d v="2023-01-10T00:00:00"/>
    <d v="2023-01-18T00:00:00"/>
    <s v="Wendy"/>
    <n v="10"/>
    <n v="1"/>
    <x v="4"/>
    <x v="0"/>
    <x v="0"/>
    <n v="2"/>
  </r>
  <r>
    <d v="2023-02-06T00:00:00"/>
    <x v="3"/>
    <x v="1"/>
    <n v="7"/>
    <n v="335.41"/>
    <x v="2"/>
    <x v="1"/>
    <n v="0"/>
    <x v="5"/>
    <n v="2347.87"/>
    <x v="0"/>
    <s v="SAVE10"/>
    <n v="0"/>
    <x v="1019"/>
    <s v="Nikhil Chopra"/>
    <n v="18.91"/>
    <n v="335.40999999999997"/>
    <n v="2328.96"/>
    <d v="2023-02-06T00:00:00"/>
    <d v="2023-02-10T00:00:00"/>
    <s v="Cameron"/>
    <n v="6"/>
    <n v="2"/>
    <x v="0"/>
    <x v="0"/>
    <x v="0"/>
    <n v="6"/>
  </r>
  <r>
    <d v="2025-04-10T00:00:00"/>
    <x v="2"/>
    <x v="6"/>
    <n v="11"/>
    <n v="204.5"/>
    <x v="1"/>
    <x v="1"/>
    <n v="0"/>
    <x v="0"/>
    <n v="2249.5"/>
    <x v="3"/>
    <s v="WINTER15"/>
    <n v="0"/>
    <x v="1020"/>
    <s v="Sara Saxena"/>
    <n v="13.82"/>
    <n v="204.5"/>
    <n v="2235.6799999999998"/>
    <d v="2025-04-10T00:00:00"/>
    <d v="2025-04-20T00:00:00"/>
    <s v="Ryan"/>
    <n v="10"/>
    <n v="4"/>
    <x v="7"/>
    <x v="2"/>
    <x v="2"/>
    <n v="15"/>
  </r>
  <r>
    <d v="2024-02-14T00:00:00"/>
    <x v="0"/>
    <x v="5"/>
    <n v="1"/>
    <n v="542.63"/>
    <x v="1"/>
    <x v="1"/>
    <n v="0.05"/>
    <x v="3"/>
    <n v="515.49849999999992"/>
    <x v="2"/>
    <s v="nan"/>
    <n v="0"/>
    <x v="1021"/>
    <s v="Ankit Agarwal"/>
    <n v="33.200000000000003"/>
    <n v="515.49849999999992"/>
    <n v="482.29849999999993"/>
    <d v="2024-02-14T00:00:00"/>
    <d v="2024-02-21T00:00:00"/>
    <s v="Eric"/>
    <n v="14"/>
    <n v="2"/>
    <x v="0"/>
    <x v="1"/>
    <x v="0"/>
    <n v="7"/>
  </r>
  <r>
    <d v="2025-05-26T00:00:00"/>
    <x v="0"/>
    <x v="1"/>
    <n v="1"/>
    <n v="204.54"/>
    <x v="3"/>
    <x v="1"/>
    <n v="0.1"/>
    <x v="3"/>
    <n v="184.08600000000001"/>
    <x v="0"/>
    <s v="nan"/>
    <n v="1"/>
    <x v="1022"/>
    <s v="Kiara Tiwari"/>
    <n v="17.760000000000002"/>
    <n v="184.08600000000001"/>
    <n v="166.32600000000002"/>
    <d v="2025-05-26T00:00:00"/>
    <d v="2025-05-29T00:00:00"/>
    <s v="Eric"/>
    <n v="26"/>
    <n v="5"/>
    <x v="2"/>
    <x v="2"/>
    <x v="2"/>
    <n v="22"/>
  </r>
  <r>
    <d v="2023-09-12T00:00:00"/>
    <x v="4"/>
    <x v="3"/>
    <n v="10"/>
    <n v="419.58"/>
    <x v="1"/>
    <x v="0"/>
    <n v="0.15"/>
    <x v="0"/>
    <n v="3566.43"/>
    <x v="3"/>
    <s v="FREESHIP"/>
    <n v="0"/>
    <x v="1023"/>
    <s v="Zoya Yadav"/>
    <n v="13.09"/>
    <n v="356.64299999999997"/>
    <n v="3553.3399999999997"/>
    <d v="2023-09-12T00:00:00"/>
    <d v="2023-09-19T00:00:00"/>
    <s v="Wendy"/>
    <n v="12"/>
    <n v="9"/>
    <x v="11"/>
    <x v="0"/>
    <x v="3"/>
    <n v="37"/>
  </r>
  <r>
    <d v="2023-05-17T00:00:00"/>
    <x v="0"/>
    <x v="2"/>
    <n v="7"/>
    <n v="87.88"/>
    <x v="2"/>
    <x v="0"/>
    <n v="0.15"/>
    <x v="1"/>
    <n v="522.88599999999997"/>
    <x v="0"/>
    <s v="WINTER15"/>
    <n v="1"/>
    <x v="1024"/>
    <s v="Raina Shaikh"/>
    <n v="22.2"/>
    <n v="74.697999999999993"/>
    <n v="500.68599999999998"/>
    <d v="2023-05-17T00:00:00"/>
    <d v="2023-05-26T00:00:00"/>
    <s v="Eric"/>
    <n v="17"/>
    <n v="5"/>
    <x v="2"/>
    <x v="0"/>
    <x v="2"/>
    <n v="20"/>
  </r>
  <r>
    <d v="2024-01-29T00:00:00"/>
    <x v="4"/>
    <x v="6"/>
    <n v="7"/>
    <n v="386.88"/>
    <x v="0"/>
    <x v="0"/>
    <n v="0.05"/>
    <x v="3"/>
    <n v="2572.752"/>
    <x v="4"/>
    <s v="SAVE10"/>
    <n v="0"/>
    <x v="1025"/>
    <s v="Karan Chaudhary"/>
    <n v="38.46"/>
    <n v="367.536"/>
    <n v="2534.2919999999999"/>
    <d v="2024-01-29T00:00:00"/>
    <d v="2024-01-31T00:00:00"/>
    <s v="Wendy"/>
    <n v="29"/>
    <n v="1"/>
    <x v="4"/>
    <x v="1"/>
    <x v="0"/>
    <n v="5"/>
  </r>
  <r>
    <d v="2025-05-09T00:00:00"/>
    <x v="2"/>
    <x v="2"/>
    <n v="4"/>
    <n v="242.8"/>
    <x v="3"/>
    <x v="0"/>
    <n v="0.05"/>
    <x v="4"/>
    <n v="922.64"/>
    <x v="3"/>
    <s v="FREESHIP"/>
    <n v="0"/>
    <x v="1026"/>
    <s v="Laksh Rao"/>
    <n v="30.03"/>
    <n v="230.66"/>
    <n v="892.61"/>
    <d v="2025-05-09T00:00:00"/>
    <d v="2025-05-18T00:00:00"/>
    <s v="Ryan"/>
    <n v="9"/>
    <n v="5"/>
    <x v="2"/>
    <x v="2"/>
    <x v="2"/>
    <n v="19"/>
  </r>
  <r>
    <d v="2024-04-05T00:00:00"/>
    <x v="0"/>
    <x v="6"/>
    <n v="4"/>
    <n v="410.59"/>
    <x v="1"/>
    <x v="1"/>
    <n v="0"/>
    <x v="0"/>
    <n v="1642.36"/>
    <x v="4"/>
    <s v="nan"/>
    <n v="0"/>
    <x v="1027"/>
    <s v="Kunal Ansari"/>
    <n v="17.36"/>
    <n v="410.59"/>
    <n v="1625"/>
    <d v="2024-04-05T00:00:00"/>
    <d v="2024-04-09T00:00:00"/>
    <s v="Eric"/>
    <n v="5"/>
    <n v="4"/>
    <x v="7"/>
    <x v="1"/>
    <x v="2"/>
    <n v="14"/>
  </r>
  <r>
    <d v="2024-08-01T00:00:00"/>
    <x v="1"/>
    <x v="3"/>
    <n v="3"/>
    <n v="10.93"/>
    <x v="3"/>
    <x v="0"/>
    <n v="0.15"/>
    <x v="0"/>
    <n v="27.871500000000001"/>
    <x v="4"/>
    <s v="FREESHIP"/>
    <n v="0"/>
    <x v="1028"/>
    <s v="Aisha Agarwal"/>
    <n v="19.010000000000002"/>
    <n v="9.2904999999999998"/>
    <n v="8.8614999999999995"/>
    <d v="2024-08-01T00:00:00"/>
    <d v="2024-08-10T00:00:00"/>
    <s v="Sophie"/>
    <n v="1"/>
    <n v="8"/>
    <x v="10"/>
    <x v="1"/>
    <x v="3"/>
    <n v="31"/>
  </r>
  <r>
    <d v="2024-07-10T00:00:00"/>
    <x v="1"/>
    <x v="3"/>
    <n v="20"/>
    <n v="150.16"/>
    <x v="2"/>
    <x v="0"/>
    <n v="0"/>
    <x v="5"/>
    <n v="3003.2"/>
    <x v="4"/>
    <s v="nan"/>
    <n v="0"/>
    <x v="1029"/>
    <s v="Palak Chawla"/>
    <n v="41.66"/>
    <n v="150.16"/>
    <n v="2961.54"/>
    <d v="2024-07-10T00:00:00"/>
    <d v="2024-07-12T00:00:00"/>
    <s v="Sophie"/>
    <n v="10"/>
    <n v="7"/>
    <x v="8"/>
    <x v="1"/>
    <x v="3"/>
    <n v="28"/>
  </r>
  <r>
    <d v="2024-06-15T00:00:00"/>
    <x v="0"/>
    <x v="3"/>
    <n v="1"/>
    <n v="394.41"/>
    <x v="0"/>
    <x v="1"/>
    <n v="0.1"/>
    <x v="1"/>
    <n v="354.96900000000011"/>
    <x v="1"/>
    <s v="WINTER15"/>
    <n v="0"/>
    <x v="1030"/>
    <s v="Charu Nair"/>
    <n v="6.37"/>
    <n v="354.96900000000011"/>
    <n v="348.5990000000001"/>
    <d v="2024-06-15T00:00:00"/>
    <d v="2024-06-20T00:00:00"/>
    <s v="Eric"/>
    <n v="15"/>
    <n v="6"/>
    <x v="3"/>
    <x v="1"/>
    <x v="2"/>
    <n v="24"/>
  </r>
  <r>
    <d v="2024-05-22T00:00:00"/>
    <x v="0"/>
    <x v="4"/>
    <n v="6"/>
    <n v="535.38"/>
    <x v="2"/>
    <x v="0"/>
    <n v="0.15"/>
    <x v="1"/>
    <n v="2730.4380000000001"/>
    <x v="0"/>
    <s v="nan"/>
    <n v="0"/>
    <x v="1031"/>
    <s v="Noor Shetty"/>
    <n v="48.66"/>
    <n v="455.07300000000004"/>
    <n v="2681.7780000000002"/>
    <d v="2024-05-22T00:00:00"/>
    <d v="2024-05-29T00:00:00"/>
    <s v="Eric"/>
    <n v="22"/>
    <n v="5"/>
    <x v="2"/>
    <x v="1"/>
    <x v="2"/>
    <n v="21"/>
  </r>
  <r>
    <d v="2024-01-14T00:00:00"/>
    <x v="0"/>
    <x v="4"/>
    <n v="19"/>
    <n v="407.82"/>
    <x v="3"/>
    <x v="1"/>
    <n v="0.05"/>
    <x v="4"/>
    <n v="7361.1509999999998"/>
    <x v="1"/>
    <s v="FREESHIP"/>
    <n v="0"/>
    <x v="1032"/>
    <s v="Avni Mirza"/>
    <n v="38.979999999999997"/>
    <n v="387.42899999999997"/>
    <n v="7322.1710000000003"/>
    <d v="2024-01-14T00:00:00"/>
    <d v="2024-01-18T00:00:00"/>
    <s v="Eric"/>
    <n v="14"/>
    <n v="1"/>
    <x v="4"/>
    <x v="1"/>
    <x v="0"/>
    <n v="2"/>
  </r>
  <r>
    <d v="2024-10-31T00:00:00"/>
    <x v="2"/>
    <x v="5"/>
    <n v="16"/>
    <n v="120.83"/>
    <x v="0"/>
    <x v="1"/>
    <n v="0.05"/>
    <x v="3"/>
    <n v="1836.616"/>
    <x v="4"/>
    <s v="WINTER15"/>
    <n v="1"/>
    <x v="1033"/>
    <s v="Varun Bansal"/>
    <n v="39.64"/>
    <n v="114.7885"/>
    <n v="1796.9759999999999"/>
    <d v="2024-10-31T00:00:00"/>
    <d v="2024-11-02T00:00:00"/>
    <s v="Ryan"/>
    <n v="31"/>
    <n v="10"/>
    <x v="5"/>
    <x v="1"/>
    <x v="1"/>
    <n v="44"/>
  </r>
  <r>
    <d v="2024-04-23T00:00:00"/>
    <x v="4"/>
    <x v="6"/>
    <n v="7"/>
    <n v="39.53"/>
    <x v="3"/>
    <x v="1"/>
    <n v="0.1"/>
    <x v="3"/>
    <n v="249.03899999999999"/>
    <x v="3"/>
    <s v="WINTER15"/>
    <n v="0"/>
    <x v="1034"/>
    <s v="Priya George"/>
    <n v="18.16"/>
    <n v="35.576999999999998"/>
    <n v="230.87899999999999"/>
    <d v="2024-04-23T00:00:00"/>
    <d v="2024-04-29T00:00:00"/>
    <s v="Wendy"/>
    <n v="23"/>
    <n v="4"/>
    <x v="7"/>
    <x v="1"/>
    <x v="2"/>
    <n v="17"/>
  </r>
  <r>
    <d v="2023-06-14T00:00:00"/>
    <x v="1"/>
    <x v="5"/>
    <n v="2"/>
    <n v="224.08"/>
    <x v="1"/>
    <x v="1"/>
    <n v="0.05"/>
    <x v="2"/>
    <n v="425.75200000000001"/>
    <x v="2"/>
    <s v="WINTER15"/>
    <n v="0"/>
    <x v="1035"/>
    <s v="Ved Iyer"/>
    <n v="47.35"/>
    <n v="212.876"/>
    <n v="378.40199999999999"/>
    <d v="2023-06-14T00:00:00"/>
    <d v="2023-06-20T00:00:00"/>
    <s v="Sophie"/>
    <n v="14"/>
    <n v="6"/>
    <x v="3"/>
    <x v="0"/>
    <x v="2"/>
    <n v="24"/>
  </r>
  <r>
    <d v="2024-02-28T00:00:00"/>
    <x v="2"/>
    <x v="6"/>
    <n v="11"/>
    <n v="382.08"/>
    <x v="3"/>
    <x v="0"/>
    <n v="0.05"/>
    <x v="2"/>
    <n v="3992.7359999999999"/>
    <x v="4"/>
    <s v="WINTER15"/>
    <n v="0"/>
    <x v="1036"/>
    <s v="Kunal Pillai"/>
    <n v="5.95"/>
    <n v="362.976"/>
    <n v="3986.7860000000001"/>
    <d v="2024-02-28T00:00:00"/>
    <d v="2024-03-02T00:00:00"/>
    <s v="Ryan"/>
    <n v="28"/>
    <n v="2"/>
    <x v="0"/>
    <x v="1"/>
    <x v="0"/>
    <n v="9"/>
  </r>
  <r>
    <d v="2024-06-19T00:00:00"/>
    <x v="1"/>
    <x v="6"/>
    <n v="9"/>
    <n v="88.49"/>
    <x v="3"/>
    <x v="0"/>
    <n v="0.05"/>
    <x v="4"/>
    <n v="756.58949999999993"/>
    <x v="0"/>
    <s v="nan"/>
    <n v="0"/>
    <x v="1037"/>
    <s v="Karan Dutta"/>
    <n v="35.6"/>
    <n v="84.065499999999986"/>
    <n v="720.98949999999991"/>
    <d v="2024-06-19T00:00:00"/>
    <d v="2024-06-26T00:00:00"/>
    <s v="Sophie"/>
    <n v="19"/>
    <n v="6"/>
    <x v="3"/>
    <x v="1"/>
    <x v="2"/>
    <n v="25"/>
  </r>
  <r>
    <d v="2023-03-18T00:00:00"/>
    <x v="3"/>
    <x v="5"/>
    <n v="20"/>
    <n v="139.1"/>
    <x v="2"/>
    <x v="0"/>
    <n v="0.05"/>
    <x v="3"/>
    <n v="2642.9"/>
    <x v="0"/>
    <s v="FREESHIP"/>
    <n v="0"/>
    <x v="1038"/>
    <s v="Laksh Gupta"/>
    <n v="30.22"/>
    <n v="132.14500000000001"/>
    <n v="2612.6800000000003"/>
    <d v="2023-03-18T00:00:00"/>
    <d v="2023-03-20T00:00:00"/>
    <s v="Cameron"/>
    <n v="18"/>
    <n v="3"/>
    <x v="6"/>
    <x v="0"/>
    <x v="0"/>
    <n v="11"/>
  </r>
  <r>
    <d v="2023-03-21T00:00:00"/>
    <x v="4"/>
    <x v="2"/>
    <n v="19"/>
    <n v="322.35000000000002"/>
    <x v="3"/>
    <x v="0"/>
    <n v="0.1"/>
    <x v="1"/>
    <n v="5512.1850000000004"/>
    <x v="3"/>
    <s v="WINTER15"/>
    <n v="0"/>
    <x v="1039"/>
    <s v="Yash Pillai"/>
    <n v="30.06"/>
    <n v="290.11500000000001"/>
    <n v="5482.125"/>
    <d v="2023-03-21T00:00:00"/>
    <d v="2023-03-31T00:00:00"/>
    <s v="Wendy"/>
    <n v="21"/>
    <n v="3"/>
    <x v="6"/>
    <x v="0"/>
    <x v="0"/>
    <n v="12"/>
  </r>
  <r>
    <d v="2024-05-28T00:00:00"/>
    <x v="0"/>
    <x v="6"/>
    <n v="16"/>
    <n v="334.55"/>
    <x v="0"/>
    <x v="0"/>
    <n v="0.1"/>
    <x v="0"/>
    <n v="4817.5200000000004"/>
    <x v="2"/>
    <s v="SAVE10"/>
    <n v="0"/>
    <x v="1040"/>
    <s v="Aryan Tiwari"/>
    <n v="37.42"/>
    <n v="301.09500000000003"/>
    <n v="4780.1000000000004"/>
    <d v="2024-05-28T00:00:00"/>
    <d v="2024-06-01T00:00:00"/>
    <s v="Eric"/>
    <n v="28"/>
    <n v="5"/>
    <x v="2"/>
    <x v="1"/>
    <x v="2"/>
    <n v="22"/>
  </r>
  <r>
    <d v="2023-03-27T00:00:00"/>
    <x v="4"/>
    <x v="2"/>
    <n v="20"/>
    <n v="332.48"/>
    <x v="0"/>
    <x v="0"/>
    <n v="0"/>
    <x v="0"/>
    <n v="6649.6"/>
    <x v="0"/>
    <s v="SAVE10"/>
    <n v="1"/>
    <x v="1041"/>
    <s v="Vivaan Khanna"/>
    <n v="7.79"/>
    <n v="332.48"/>
    <n v="6641.81"/>
    <d v="2023-03-27T00:00:00"/>
    <d v="2023-03-30T00:00:00"/>
    <s v="Wendy"/>
    <n v="27"/>
    <n v="3"/>
    <x v="6"/>
    <x v="0"/>
    <x v="0"/>
    <n v="13"/>
  </r>
  <r>
    <d v="2023-06-19T00:00:00"/>
    <x v="3"/>
    <x v="6"/>
    <n v="1"/>
    <n v="123.4"/>
    <x v="1"/>
    <x v="1"/>
    <n v="0"/>
    <x v="0"/>
    <n v="123.4"/>
    <x v="4"/>
    <s v="nan"/>
    <n v="1"/>
    <x v="1042"/>
    <s v="Manish Jain"/>
    <n v="12.63"/>
    <n v="123.4"/>
    <n v="110.77000000000001"/>
    <d v="2023-06-19T00:00:00"/>
    <d v="2023-06-25T00:00:00"/>
    <s v="Cameron"/>
    <n v="19"/>
    <n v="6"/>
    <x v="3"/>
    <x v="0"/>
    <x v="2"/>
    <n v="25"/>
  </r>
  <r>
    <d v="2023-10-31T00:00:00"/>
    <x v="1"/>
    <x v="0"/>
    <n v="3"/>
    <n v="88.26"/>
    <x v="3"/>
    <x v="0"/>
    <n v="0.05"/>
    <x v="5"/>
    <n v="251.541"/>
    <x v="3"/>
    <s v="FREESHIP"/>
    <n v="0"/>
    <x v="1043"/>
    <s v="Abhishek Banerjee"/>
    <n v="46.45"/>
    <n v="83.846999999999994"/>
    <n v="205.09100000000001"/>
    <d v="2023-10-31T00:00:00"/>
    <d v="2023-11-07T00:00:00"/>
    <s v="Sophie"/>
    <n v="31"/>
    <n v="10"/>
    <x v="5"/>
    <x v="0"/>
    <x v="1"/>
    <n v="44"/>
  </r>
  <r>
    <d v="2023-07-11T00:00:00"/>
    <x v="4"/>
    <x v="1"/>
    <n v="13"/>
    <n v="50.51"/>
    <x v="3"/>
    <x v="0"/>
    <n v="0.1"/>
    <x v="1"/>
    <n v="590.96699999999998"/>
    <x v="3"/>
    <s v="WINTER15"/>
    <n v="0"/>
    <x v="1044"/>
    <s v="Laksh Mathew"/>
    <n v="40.57"/>
    <n v="45.458999999999996"/>
    <n v="550.39699999999993"/>
    <d v="2023-07-11T00:00:00"/>
    <d v="2023-07-18T00:00:00"/>
    <s v="Wendy"/>
    <n v="11"/>
    <n v="7"/>
    <x v="8"/>
    <x v="0"/>
    <x v="3"/>
    <n v="28"/>
  </r>
  <r>
    <d v="2023-05-19T00:00:00"/>
    <x v="1"/>
    <x v="4"/>
    <n v="11"/>
    <n v="237.99"/>
    <x v="3"/>
    <x v="0"/>
    <n v="0.05"/>
    <x v="5"/>
    <n v="2486.9955"/>
    <x v="3"/>
    <s v="FREESHIP"/>
    <n v="0"/>
    <x v="1045"/>
    <s v="Kunal Solanki"/>
    <n v="44.7"/>
    <n v="226.09049999999999"/>
    <n v="2442.2955000000002"/>
    <d v="2023-05-19T00:00:00"/>
    <d v="2023-05-28T00:00:00"/>
    <s v="Sophie"/>
    <n v="19"/>
    <n v="5"/>
    <x v="2"/>
    <x v="0"/>
    <x v="2"/>
    <n v="20"/>
  </r>
  <r>
    <d v="2023-08-05T00:00:00"/>
    <x v="2"/>
    <x v="3"/>
    <n v="7"/>
    <n v="294.95"/>
    <x v="3"/>
    <x v="0"/>
    <n v="0"/>
    <x v="2"/>
    <n v="2064.65"/>
    <x v="0"/>
    <s v="FREESHIP"/>
    <n v="0"/>
    <x v="1046"/>
    <s v="Manya Ghosh"/>
    <n v="15.78"/>
    <n v="294.95"/>
    <n v="2048.87"/>
    <d v="2023-08-05T00:00:00"/>
    <d v="2023-08-10T00:00:00"/>
    <s v="Ryan"/>
    <n v="5"/>
    <n v="8"/>
    <x v="10"/>
    <x v="0"/>
    <x v="3"/>
    <n v="31"/>
  </r>
  <r>
    <d v="2023-03-24T00:00:00"/>
    <x v="4"/>
    <x v="2"/>
    <n v="8"/>
    <n v="384.3"/>
    <x v="2"/>
    <x v="0"/>
    <n v="0.1"/>
    <x v="2"/>
    <n v="2766.96"/>
    <x v="1"/>
    <s v="FREESHIP"/>
    <n v="0"/>
    <x v="1047"/>
    <s v="Charu Reddy"/>
    <n v="48.83"/>
    <n v="345.87"/>
    <n v="2718.13"/>
    <d v="2023-03-24T00:00:00"/>
    <d v="2023-04-03T00:00:00"/>
    <s v="Wendy"/>
    <n v="24"/>
    <n v="3"/>
    <x v="6"/>
    <x v="0"/>
    <x v="0"/>
    <n v="12"/>
  </r>
  <r>
    <d v="2025-02-14T00:00:00"/>
    <x v="4"/>
    <x v="4"/>
    <n v="1"/>
    <n v="378.35"/>
    <x v="2"/>
    <x v="0"/>
    <n v="0.05"/>
    <x v="4"/>
    <n v="359.4325"/>
    <x v="4"/>
    <s v="FREESHIP"/>
    <n v="0"/>
    <x v="1048"/>
    <s v="Akash Chopra"/>
    <n v="20.97"/>
    <n v="359.4325"/>
    <n v="338.46249999999998"/>
    <d v="2025-02-14T00:00:00"/>
    <d v="2025-02-17T00:00:00"/>
    <s v="Wendy"/>
    <n v="14"/>
    <n v="2"/>
    <x v="0"/>
    <x v="2"/>
    <x v="0"/>
    <n v="7"/>
  </r>
  <r>
    <d v="2024-12-14T00:00:00"/>
    <x v="2"/>
    <x v="2"/>
    <n v="1"/>
    <n v="461.35"/>
    <x v="3"/>
    <x v="1"/>
    <n v="0"/>
    <x v="5"/>
    <n v="461.35"/>
    <x v="3"/>
    <s v="FREESHIP"/>
    <n v="1"/>
    <x v="1049"/>
    <s v="Varun Rawat"/>
    <n v="43.74"/>
    <n v="461.35"/>
    <n v="417.61"/>
    <d v="2024-12-14T00:00:00"/>
    <d v="2024-12-16T00:00:00"/>
    <s v="Ryan"/>
    <n v="14"/>
    <n v="12"/>
    <x v="1"/>
    <x v="1"/>
    <x v="1"/>
    <n v="50"/>
  </r>
  <r>
    <d v="2023-06-28T00:00:00"/>
    <x v="1"/>
    <x v="6"/>
    <n v="20"/>
    <n v="354.9"/>
    <x v="1"/>
    <x v="0"/>
    <n v="0"/>
    <x v="5"/>
    <n v="7098"/>
    <x v="1"/>
    <s v="WINTER15"/>
    <n v="0"/>
    <x v="1050"/>
    <s v="Kabir Shetty"/>
    <n v="43.24"/>
    <n v="354.9"/>
    <n v="7054.76"/>
    <d v="2023-06-28T00:00:00"/>
    <d v="2023-07-01T00:00:00"/>
    <s v="Sophie"/>
    <n v="28"/>
    <n v="6"/>
    <x v="3"/>
    <x v="0"/>
    <x v="2"/>
    <n v="26"/>
  </r>
  <r>
    <d v="2023-01-24T00:00:00"/>
    <x v="4"/>
    <x v="2"/>
    <n v="7"/>
    <n v="438.41"/>
    <x v="2"/>
    <x v="1"/>
    <n v="0.1"/>
    <x v="4"/>
    <n v="2761.9830000000002"/>
    <x v="3"/>
    <s v="SAVE10"/>
    <n v="1"/>
    <x v="1051"/>
    <s v="Aditya Ghosh"/>
    <n v="47.77"/>
    <n v="394.56900000000002"/>
    <n v="2714.2130000000002"/>
    <d v="2023-01-24T00:00:00"/>
    <d v="2023-01-28T00:00:00"/>
    <s v="Wendy"/>
    <n v="24"/>
    <n v="1"/>
    <x v="4"/>
    <x v="0"/>
    <x v="0"/>
    <n v="4"/>
  </r>
  <r>
    <d v="2024-06-21T00:00:00"/>
    <x v="3"/>
    <x v="5"/>
    <n v="14"/>
    <n v="542.6"/>
    <x v="2"/>
    <x v="1"/>
    <n v="0.05"/>
    <x v="0"/>
    <n v="7216.58"/>
    <x v="3"/>
    <s v="nan"/>
    <n v="0"/>
    <x v="1052"/>
    <s v="Fatima Pai"/>
    <n v="44.76"/>
    <n v="515.47"/>
    <n v="7171.82"/>
    <d v="2024-06-21T00:00:00"/>
    <d v="2024-06-30T00:00:00"/>
    <s v="Cameron"/>
    <n v="21"/>
    <n v="6"/>
    <x v="3"/>
    <x v="1"/>
    <x v="2"/>
    <n v="25"/>
  </r>
  <r>
    <d v="2025-04-09T00:00:00"/>
    <x v="2"/>
    <x v="6"/>
    <n v="3"/>
    <n v="238.82"/>
    <x v="2"/>
    <x v="1"/>
    <n v="0.1"/>
    <x v="5"/>
    <n v="644.81400000000008"/>
    <x v="1"/>
    <s v="WINTER15"/>
    <n v="0"/>
    <x v="1053"/>
    <s v="Aditi Kaur"/>
    <n v="37.07"/>
    <n v="214.93800000000002"/>
    <n v="607.74400000000003"/>
    <d v="2025-04-09T00:00:00"/>
    <d v="2025-04-18T00:00:00"/>
    <s v="Ryan"/>
    <n v="9"/>
    <n v="4"/>
    <x v="7"/>
    <x v="2"/>
    <x v="2"/>
    <n v="15"/>
  </r>
  <r>
    <d v="2025-01-11T00:00:00"/>
    <x v="2"/>
    <x v="5"/>
    <n v="16"/>
    <n v="332.19"/>
    <x v="2"/>
    <x v="1"/>
    <n v="0.1"/>
    <x v="0"/>
    <n v="4783.5360000000001"/>
    <x v="2"/>
    <s v="SAVE10"/>
    <n v="1"/>
    <x v="1054"/>
    <s v="Suresh Bansal"/>
    <n v="34.97"/>
    <n v="298.971"/>
    <n v="4748.5659999999998"/>
    <d v="2025-01-11T00:00:00"/>
    <d v="2025-01-19T00:00:00"/>
    <s v="Ryan"/>
    <n v="11"/>
    <n v="1"/>
    <x v="4"/>
    <x v="2"/>
    <x v="0"/>
    <n v="2"/>
  </r>
  <r>
    <d v="2024-07-13T00:00:00"/>
    <x v="3"/>
    <x v="6"/>
    <n v="9"/>
    <n v="454.6"/>
    <x v="3"/>
    <x v="0"/>
    <n v="0.05"/>
    <x v="3"/>
    <n v="3886.83"/>
    <x v="3"/>
    <s v="nan"/>
    <n v="0"/>
    <x v="1055"/>
    <s v="Nikhil Dubey"/>
    <n v="32.86"/>
    <n v="431.87"/>
    <n v="3853.97"/>
    <d v="2024-07-13T00:00:00"/>
    <d v="2024-07-20T00:00:00"/>
    <s v="Cameron"/>
    <n v="13"/>
    <n v="7"/>
    <x v="8"/>
    <x v="1"/>
    <x v="3"/>
    <n v="28"/>
  </r>
  <r>
    <d v="2025-01-04T00:00:00"/>
    <x v="4"/>
    <x v="6"/>
    <n v="6"/>
    <n v="540.54"/>
    <x v="1"/>
    <x v="1"/>
    <n v="0.05"/>
    <x v="3"/>
    <n v="3081.078"/>
    <x v="3"/>
    <s v="SAVE10"/>
    <n v="0"/>
    <x v="1056"/>
    <s v="Alina Banerjee"/>
    <n v="19.77"/>
    <n v="513.51300000000003"/>
    <n v="3061.308"/>
    <d v="2025-01-04T00:00:00"/>
    <d v="2025-01-10T00:00:00"/>
    <s v="Wendy"/>
    <n v="4"/>
    <n v="1"/>
    <x v="4"/>
    <x v="2"/>
    <x v="0"/>
    <n v="1"/>
  </r>
  <r>
    <d v="2023-10-25T00:00:00"/>
    <x v="4"/>
    <x v="2"/>
    <n v="14"/>
    <n v="147.37"/>
    <x v="3"/>
    <x v="0"/>
    <n v="0.15"/>
    <x v="2"/>
    <n v="1753.703"/>
    <x v="3"/>
    <s v="WINTER15"/>
    <n v="1"/>
    <x v="1057"/>
    <s v="Pranav Bhargava"/>
    <n v="45.75"/>
    <n v="125.2645"/>
    <n v="1707.953"/>
    <d v="2023-10-25T00:00:00"/>
    <d v="2023-10-31T00:00:00"/>
    <s v="Wendy"/>
    <n v="25"/>
    <n v="10"/>
    <x v="5"/>
    <x v="0"/>
    <x v="1"/>
    <n v="43"/>
  </r>
  <r>
    <d v="2023-09-30T00:00:00"/>
    <x v="1"/>
    <x v="0"/>
    <n v="7"/>
    <n v="421.12"/>
    <x v="3"/>
    <x v="0"/>
    <n v="0.15"/>
    <x v="4"/>
    <n v="2505.6640000000002"/>
    <x v="1"/>
    <s v="nan"/>
    <n v="0"/>
    <x v="1058"/>
    <s v="Shruti Khan"/>
    <n v="44.49"/>
    <n v="357.95200000000006"/>
    <n v="2461.1740000000004"/>
    <d v="2023-09-30T00:00:00"/>
    <d v="2023-10-02T00:00:00"/>
    <s v="Sophie"/>
    <n v="30"/>
    <n v="9"/>
    <x v="11"/>
    <x v="0"/>
    <x v="3"/>
    <n v="39"/>
  </r>
  <r>
    <d v="2023-03-16T00:00:00"/>
    <x v="2"/>
    <x v="1"/>
    <n v="20"/>
    <n v="436.32"/>
    <x v="3"/>
    <x v="1"/>
    <n v="0"/>
    <x v="4"/>
    <n v="8726.4"/>
    <x v="2"/>
    <s v="FREESHIP"/>
    <n v="1"/>
    <x v="1059"/>
    <s v="Gaurav Joseph"/>
    <n v="37.49"/>
    <n v="436.32"/>
    <n v="8688.91"/>
    <d v="2023-03-16T00:00:00"/>
    <d v="2023-03-26T00:00:00"/>
    <s v="Ryan"/>
    <n v="16"/>
    <n v="3"/>
    <x v="6"/>
    <x v="0"/>
    <x v="0"/>
    <n v="11"/>
  </r>
  <r>
    <d v="2023-07-26T00:00:00"/>
    <x v="2"/>
    <x v="0"/>
    <n v="18"/>
    <n v="436.83"/>
    <x v="1"/>
    <x v="0"/>
    <n v="0.1"/>
    <x v="5"/>
    <n v="7076.6459999999997"/>
    <x v="2"/>
    <s v="SAVE10"/>
    <n v="0"/>
    <x v="1060"/>
    <s v="Harsh Solanki"/>
    <n v="28.8"/>
    <n v="393.14699999999999"/>
    <n v="7047.8459999999995"/>
    <d v="2023-07-26T00:00:00"/>
    <d v="2023-08-02T00:00:00"/>
    <s v="Ryan"/>
    <n v="26"/>
    <n v="7"/>
    <x v="8"/>
    <x v="0"/>
    <x v="3"/>
    <n v="30"/>
  </r>
  <r>
    <d v="2023-07-10T00:00:00"/>
    <x v="0"/>
    <x v="4"/>
    <n v="2"/>
    <n v="327.57"/>
    <x v="1"/>
    <x v="1"/>
    <n v="0.05"/>
    <x v="4"/>
    <n v="622.38299999999992"/>
    <x v="3"/>
    <s v="nan"/>
    <n v="0"/>
    <x v="1061"/>
    <s v="Harsh Shah"/>
    <n v="19.489999999999998"/>
    <n v="311.19149999999996"/>
    <n v="602.89299999999992"/>
    <d v="2023-07-10T00:00:00"/>
    <d v="2023-07-19T00:00:00"/>
    <s v="Eric"/>
    <n v="10"/>
    <n v="7"/>
    <x v="8"/>
    <x v="0"/>
    <x v="3"/>
    <n v="28"/>
  </r>
  <r>
    <d v="2024-08-06T00:00:00"/>
    <x v="0"/>
    <x v="6"/>
    <n v="18"/>
    <n v="166.92"/>
    <x v="2"/>
    <x v="0"/>
    <n v="0.05"/>
    <x v="1"/>
    <n v="2854.3319999999999"/>
    <x v="1"/>
    <s v="WINTER15"/>
    <n v="0"/>
    <x v="1062"/>
    <s v="Mohit Khan"/>
    <n v="9.35"/>
    <n v="158.57399999999998"/>
    <n v="2844.982"/>
    <d v="2024-08-06T00:00:00"/>
    <d v="2024-08-16T00:00:00"/>
    <s v="Eric"/>
    <n v="6"/>
    <n v="8"/>
    <x v="10"/>
    <x v="1"/>
    <x v="3"/>
    <n v="32"/>
  </r>
  <r>
    <d v="2024-07-16T00:00:00"/>
    <x v="3"/>
    <x v="1"/>
    <n v="14"/>
    <n v="300.38"/>
    <x v="1"/>
    <x v="1"/>
    <n v="0.1"/>
    <x v="1"/>
    <n v="3784.788"/>
    <x v="0"/>
    <s v="nan"/>
    <n v="0"/>
    <x v="1063"/>
    <s v="Deepak Hussain"/>
    <n v="38.6"/>
    <n v="270.34199999999998"/>
    <n v="3746.1880000000001"/>
    <d v="2024-07-16T00:00:00"/>
    <d v="2024-07-19T00:00:00"/>
    <s v="Cameron"/>
    <n v="16"/>
    <n v="7"/>
    <x v="8"/>
    <x v="1"/>
    <x v="3"/>
    <n v="29"/>
  </r>
  <r>
    <d v="2024-01-31T00:00:00"/>
    <x v="2"/>
    <x v="6"/>
    <n v="5"/>
    <n v="232.29"/>
    <x v="1"/>
    <x v="0"/>
    <n v="0"/>
    <x v="1"/>
    <n v="1161.45"/>
    <x v="0"/>
    <s v="nan"/>
    <n v="1"/>
    <x v="1064"/>
    <s v="Rahul Mirza"/>
    <n v="42.38"/>
    <n v="232.29000000000002"/>
    <n v="1119.07"/>
    <d v="2024-01-31T00:00:00"/>
    <d v="2024-02-09T00:00:00"/>
    <s v="Ryan"/>
    <n v="31"/>
    <n v="1"/>
    <x v="4"/>
    <x v="1"/>
    <x v="0"/>
    <n v="5"/>
  </r>
  <r>
    <d v="2023-04-22T00:00:00"/>
    <x v="3"/>
    <x v="5"/>
    <n v="1"/>
    <n v="173.44"/>
    <x v="1"/>
    <x v="1"/>
    <n v="0"/>
    <x v="5"/>
    <n v="173.44"/>
    <x v="1"/>
    <s v="FREESHIP"/>
    <n v="0"/>
    <x v="1065"/>
    <s v="Sai Malhotra"/>
    <n v="32.83"/>
    <n v="173.44"/>
    <n v="140.61000000000001"/>
    <d v="2023-04-22T00:00:00"/>
    <d v="2023-04-24T00:00:00"/>
    <s v="Cameron"/>
    <n v="22"/>
    <n v="4"/>
    <x v="7"/>
    <x v="0"/>
    <x v="2"/>
    <n v="16"/>
  </r>
  <r>
    <d v="2025-02-04T00:00:00"/>
    <x v="0"/>
    <x v="1"/>
    <n v="9"/>
    <n v="256.14"/>
    <x v="1"/>
    <x v="1"/>
    <n v="0.15"/>
    <x v="2"/>
    <n v="1959.471"/>
    <x v="2"/>
    <s v="SAVE10"/>
    <n v="1"/>
    <x v="1066"/>
    <s v="Karan Sharma"/>
    <n v="5.21"/>
    <n v="217.71899999999999"/>
    <n v="1954.261"/>
    <d v="2025-02-04T00:00:00"/>
    <d v="2025-02-07T00:00:00"/>
    <s v="Eric"/>
    <n v="4"/>
    <n v="2"/>
    <x v="0"/>
    <x v="2"/>
    <x v="0"/>
    <n v="6"/>
  </r>
  <r>
    <d v="2024-08-25T00:00:00"/>
    <x v="3"/>
    <x v="0"/>
    <n v="12"/>
    <n v="461.3"/>
    <x v="3"/>
    <x v="0"/>
    <n v="0.15"/>
    <x v="4"/>
    <n v="4705.26"/>
    <x v="1"/>
    <s v="FREESHIP"/>
    <n v="0"/>
    <x v="1067"/>
    <s v="Kiara Shah"/>
    <n v="8.6"/>
    <n v="392.10500000000002"/>
    <n v="4696.66"/>
    <d v="2024-08-25T00:00:00"/>
    <d v="2024-09-03T00:00:00"/>
    <s v="Cameron"/>
    <n v="25"/>
    <n v="8"/>
    <x v="10"/>
    <x v="1"/>
    <x v="3"/>
    <n v="34"/>
  </r>
  <r>
    <d v="2023-08-30T00:00:00"/>
    <x v="0"/>
    <x v="1"/>
    <n v="1"/>
    <n v="193.08"/>
    <x v="1"/>
    <x v="0"/>
    <n v="0.05"/>
    <x v="2"/>
    <n v="183.42599999999999"/>
    <x v="0"/>
    <s v="SAVE10"/>
    <n v="0"/>
    <x v="1068"/>
    <s v="Nikhil Joshi"/>
    <n v="23.99"/>
    <n v="183.42599999999999"/>
    <n v="159.43599999999998"/>
    <d v="2023-08-30T00:00:00"/>
    <d v="2023-09-05T00:00:00"/>
    <s v="Eric"/>
    <n v="30"/>
    <n v="8"/>
    <x v="10"/>
    <x v="0"/>
    <x v="3"/>
    <n v="35"/>
  </r>
  <r>
    <d v="2023-09-06T00:00:00"/>
    <x v="4"/>
    <x v="3"/>
    <n v="3"/>
    <n v="312.97000000000003"/>
    <x v="2"/>
    <x v="1"/>
    <n v="0.05"/>
    <x v="0"/>
    <n v="891.96450000000004"/>
    <x v="2"/>
    <s v="nan"/>
    <n v="1"/>
    <x v="1069"/>
    <s v="Simran Patel"/>
    <n v="20.059999999999999"/>
    <n v="297.32150000000001"/>
    <n v="871.9045000000001"/>
    <d v="2023-09-06T00:00:00"/>
    <d v="2023-09-12T00:00:00"/>
    <s v="Wendy"/>
    <n v="6"/>
    <n v="9"/>
    <x v="11"/>
    <x v="0"/>
    <x v="3"/>
    <n v="36"/>
  </r>
  <r>
    <d v="2025-05-13T00:00:00"/>
    <x v="1"/>
    <x v="0"/>
    <n v="6"/>
    <n v="214.14"/>
    <x v="3"/>
    <x v="0"/>
    <n v="0.05"/>
    <x v="4"/>
    <n v="1220.598"/>
    <x v="4"/>
    <s v="FREESHIP"/>
    <n v="0"/>
    <x v="1070"/>
    <s v="Aditya Sharma"/>
    <n v="44.86"/>
    <n v="203.43299999999999"/>
    <n v="1175.7380000000001"/>
    <d v="2025-05-13T00:00:00"/>
    <d v="2025-05-21T00:00:00"/>
    <s v="Sophie"/>
    <n v="13"/>
    <n v="5"/>
    <x v="2"/>
    <x v="2"/>
    <x v="2"/>
    <n v="20"/>
  </r>
  <r>
    <d v="2023-10-29T00:00:00"/>
    <x v="2"/>
    <x v="1"/>
    <n v="4"/>
    <n v="59.8"/>
    <x v="3"/>
    <x v="1"/>
    <n v="0.1"/>
    <x v="2"/>
    <n v="215.28"/>
    <x v="0"/>
    <s v="FREESHIP"/>
    <n v="0"/>
    <x v="1071"/>
    <s v="Kunal Shetty"/>
    <n v="42.59"/>
    <n v="53.82"/>
    <n v="172.69"/>
    <d v="2023-10-29T00:00:00"/>
    <d v="2023-11-06T00:00:00"/>
    <s v="Ryan"/>
    <n v="29"/>
    <n v="10"/>
    <x v="5"/>
    <x v="0"/>
    <x v="1"/>
    <n v="43"/>
  </r>
  <r>
    <d v="2024-06-12T00:00:00"/>
    <x v="0"/>
    <x v="0"/>
    <n v="9"/>
    <n v="418"/>
    <x v="2"/>
    <x v="0"/>
    <n v="0"/>
    <x v="5"/>
    <n v="3762"/>
    <x v="2"/>
    <s v="WINTER15"/>
    <n v="0"/>
    <x v="1072"/>
    <s v="Vivaan Singh"/>
    <n v="30.45"/>
    <n v="418"/>
    <n v="3731.55"/>
    <d v="2024-06-12T00:00:00"/>
    <d v="2024-06-18T00:00:00"/>
    <s v="Eric"/>
    <n v="12"/>
    <n v="6"/>
    <x v="3"/>
    <x v="1"/>
    <x v="2"/>
    <n v="24"/>
  </r>
  <r>
    <d v="2023-02-02T00:00:00"/>
    <x v="1"/>
    <x v="3"/>
    <n v="1"/>
    <n v="80.959999999999994"/>
    <x v="1"/>
    <x v="0"/>
    <n v="0"/>
    <x v="5"/>
    <n v="80.959999999999994"/>
    <x v="2"/>
    <s v="FREESHIP"/>
    <n v="0"/>
    <x v="1073"/>
    <s v="Ashwin Sen"/>
    <n v="48.07"/>
    <n v="80.959999999999994"/>
    <n v="32.889999999999993"/>
    <d v="2023-02-02T00:00:00"/>
    <d v="2023-02-05T00:00:00"/>
    <s v="Sophie"/>
    <n v="2"/>
    <n v="2"/>
    <x v="0"/>
    <x v="0"/>
    <x v="0"/>
    <n v="5"/>
  </r>
  <r>
    <d v="2023-05-04T00:00:00"/>
    <x v="0"/>
    <x v="1"/>
    <n v="20"/>
    <n v="42.12"/>
    <x v="0"/>
    <x v="0"/>
    <n v="0.15"/>
    <x v="1"/>
    <n v="716.04"/>
    <x v="2"/>
    <s v="nan"/>
    <n v="0"/>
    <x v="1074"/>
    <s v="Kunal Roy"/>
    <n v="43.22"/>
    <n v="35.802"/>
    <n v="672.81999999999994"/>
    <d v="2023-05-04T00:00:00"/>
    <d v="2023-05-12T00:00:00"/>
    <s v="Eric"/>
    <n v="4"/>
    <n v="5"/>
    <x v="2"/>
    <x v="0"/>
    <x v="2"/>
    <n v="18"/>
  </r>
  <r>
    <d v="2023-05-24T00:00:00"/>
    <x v="4"/>
    <x v="4"/>
    <n v="3"/>
    <n v="366.65"/>
    <x v="3"/>
    <x v="0"/>
    <n v="0"/>
    <x v="3"/>
    <n v="1099.95"/>
    <x v="2"/>
    <s v="SAVE10"/>
    <n v="0"/>
    <x v="1075"/>
    <s v="Aditya Pathan"/>
    <n v="33.6"/>
    <n v="366.65000000000003"/>
    <n v="1066.3500000000001"/>
    <d v="2023-05-24T00:00:00"/>
    <d v="2023-05-31T00:00:00"/>
    <s v="Wendy"/>
    <n v="24"/>
    <n v="5"/>
    <x v="2"/>
    <x v="0"/>
    <x v="2"/>
    <n v="21"/>
  </r>
  <r>
    <d v="2023-02-03T00:00:00"/>
    <x v="4"/>
    <x v="4"/>
    <n v="19"/>
    <n v="534.91999999999996"/>
    <x v="3"/>
    <x v="1"/>
    <n v="0"/>
    <x v="4"/>
    <n v="10163.48"/>
    <x v="0"/>
    <s v="nan"/>
    <n v="0"/>
    <x v="1076"/>
    <s v="Ira Yadav"/>
    <n v="26.97"/>
    <n v="534.91999999999996"/>
    <n v="10136.51"/>
    <d v="2023-02-03T00:00:00"/>
    <d v="2023-02-13T00:00:00"/>
    <s v="Wendy"/>
    <n v="3"/>
    <n v="2"/>
    <x v="0"/>
    <x v="0"/>
    <x v="0"/>
    <n v="5"/>
  </r>
  <r>
    <d v="2023-12-25T00:00:00"/>
    <x v="0"/>
    <x v="3"/>
    <n v="1"/>
    <n v="494.52"/>
    <x v="3"/>
    <x v="1"/>
    <n v="0"/>
    <x v="5"/>
    <n v="494.52"/>
    <x v="2"/>
    <s v="nan"/>
    <n v="0"/>
    <x v="1077"/>
    <s v="Kavya Reddy"/>
    <n v="43.02"/>
    <n v="494.52"/>
    <n v="451.5"/>
    <d v="2023-12-25T00:00:00"/>
    <d v="2024-01-02T00:00:00"/>
    <s v="Eric"/>
    <n v="25"/>
    <n v="12"/>
    <x v="1"/>
    <x v="0"/>
    <x v="1"/>
    <n v="52"/>
  </r>
  <r>
    <d v="2023-07-26T00:00:00"/>
    <x v="0"/>
    <x v="4"/>
    <n v="6"/>
    <n v="344.67"/>
    <x v="3"/>
    <x v="0"/>
    <n v="0.1"/>
    <x v="4"/>
    <n v="1861.2180000000001"/>
    <x v="0"/>
    <s v="SAVE10"/>
    <n v="1"/>
    <x v="1078"/>
    <s v="Ashwin Kaur"/>
    <n v="31.13"/>
    <n v="310.20300000000003"/>
    <n v="1830.088"/>
    <d v="2023-07-26T00:00:00"/>
    <d v="2023-08-01T00:00:00"/>
    <s v="Eric"/>
    <n v="26"/>
    <n v="7"/>
    <x v="8"/>
    <x v="0"/>
    <x v="3"/>
    <n v="30"/>
  </r>
  <r>
    <d v="2024-06-06T00:00:00"/>
    <x v="3"/>
    <x v="4"/>
    <n v="12"/>
    <n v="489.14"/>
    <x v="3"/>
    <x v="1"/>
    <n v="0.15"/>
    <x v="5"/>
    <n v="4989.2280000000001"/>
    <x v="0"/>
    <s v="SAVE10"/>
    <n v="0"/>
    <x v="1079"/>
    <s v="Aisha Pillai"/>
    <n v="29.31"/>
    <n v="415.76900000000001"/>
    <n v="4959.9179999999997"/>
    <d v="2024-06-06T00:00:00"/>
    <d v="2024-06-15T00:00:00"/>
    <s v="Cameron"/>
    <n v="6"/>
    <n v="6"/>
    <x v="3"/>
    <x v="1"/>
    <x v="2"/>
    <n v="23"/>
  </r>
  <r>
    <d v="2024-10-13T00:00:00"/>
    <x v="1"/>
    <x v="6"/>
    <n v="18"/>
    <n v="256.23"/>
    <x v="0"/>
    <x v="0"/>
    <n v="0.05"/>
    <x v="0"/>
    <n v="4381.5330000000004"/>
    <x v="3"/>
    <s v="nan"/>
    <n v="0"/>
    <x v="1080"/>
    <s v="Rukhsar Mirza"/>
    <n v="11.21"/>
    <n v="243.41850000000002"/>
    <n v="4370.3230000000003"/>
    <d v="2024-10-13T00:00:00"/>
    <d v="2024-10-18T00:00:00"/>
    <s v="Sophie"/>
    <n v="13"/>
    <n v="10"/>
    <x v="5"/>
    <x v="1"/>
    <x v="1"/>
    <n v="41"/>
  </r>
  <r>
    <d v="2024-11-03T00:00:00"/>
    <x v="2"/>
    <x v="6"/>
    <n v="17"/>
    <n v="99.76"/>
    <x v="2"/>
    <x v="0"/>
    <n v="0"/>
    <x v="4"/>
    <n v="1695.92"/>
    <x v="0"/>
    <s v="FREESHIP"/>
    <n v="1"/>
    <x v="1081"/>
    <s v="Shruti Solanki"/>
    <n v="21.89"/>
    <n v="99.76"/>
    <n v="1674.03"/>
    <d v="2024-11-03T00:00:00"/>
    <d v="2024-11-13T00:00:00"/>
    <s v="Ryan"/>
    <n v="3"/>
    <n v="11"/>
    <x v="9"/>
    <x v="1"/>
    <x v="1"/>
    <n v="44"/>
  </r>
  <r>
    <d v="2024-02-03T00:00:00"/>
    <x v="2"/>
    <x v="6"/>
    <n v="14"/>
    <n v="575.66"/>
    <x v="2"/>
    <x v="0"/>
    <n v="0.1"/>
    <x v="2"/>
    <n v="7253.3159999999998"/>
    <x v="2"/>
    <s v="nan"/>
    <n v="0"/>
    <x v="1082"/>
    <s v="Neha Naidu"/>
    <n v="32.53"/>
    <n v="518.09399999999994"/>
    <n v="7220.7860000000001"/>
    <d v="2024-02-03T00:00:00"/>
    <d v="2024-02-11T00:00:00"/>
    <s v="Ryan"/>
    <n v="3"/>
    <n v="2"/>
    <x v="0"/>
    <x v="1"/>
    <x v="0"/>
    <n v="5"/>
  </r>
  <r>
    <d v="2023-01-10T00:00:00"/>
    <x v="0"/>
    <x v="3"/>
    <n v="6"/>
    <n v="176.52"/>
    <x v="3"/>
    <x v="0"/>
    <n v="0.15"/>
    <x v="1"/>
    <n v="900.25200000000007"/>
    <x v="0"/>
    <s v="FREESHIP"/>
    <n v="0"/>
    <x v="1083"/>
    <s v="Priya Rawat"/>
    <n v="16.98"/>
    <n v="150.042"/>
    <n v="883.27200000000005"/>
    <d v="2023-01-10T00:00:00"/>
    <d v="2023-01-13T00:00:00"/>
    <s v="Eric"/>
    <n v="10"/>
    <n v="1"/>
    <x v="4"/>
    <x v="0"/>
    <x v="0"/>
    <n v="2"/>
  </r>
  <r>
    <d v="2023-10-16T00:00:00"/>
    <x v="0"/>
    <x v="5"/>
    <n v="6"/>
    <n v="485.66"/>
    <x v="3"/>
    <x v="0"/>
    <n v="0.05"/>
    <x v="0"/>
    <n v="2768.2620000000002"/>
    <x v="1"/>
    <s v="FREESHIP"/>
    <n v="0"/>
    <x v="1084"/>
    <s v="Myra Joseph"/>
    <n v="30.62"/>
    <n v="461.37700000000001"/>
    <n v="2737.6420000000003"/>
    <d v="2023-10-16T00:00:00"/>
    <d v="2023-10-22T00:00:00"/>
    <s v="Eric"/>
    <n v="16"/>
    <n v="10"/>
    <x v="5"/>
    <x v="0"/>
    <x v="1"/>
    <n v="42"/>
  </r>
  <r>
    <d v="2025-03-19T00:00:00"/>
    <x v="3"/>
    <x v="0"/>
    <n v="8"/>
    <n v="141.61000000000001"/>
    <x v="0"/>
    <x v="1"/>
    <n v="0.1"/>
    <x v="5"/>
    <n v="1019.592"/>
    <x v="1"/>
    <s v="WINTER15"/>
    <n v="0"/>
    <x v="1085"/>
    <s v="Priya Verma"/>
    <n v="14.02"/>
    <n v="127.449"/>
    <n v="1005.572"/>
    <d v="2025-03-19T00:00:00"/>
    <d v="2025-03-24T00:00:00"/>
    <s v="Cameron"/>
    <n v="19"/>
    <n v="3"/>
    <x v="6"/>
    <x v="2"/>
    <x v="0"/>
    <n v="12"/>
  </r>
  <r>
    <d v="2024-12-16T00:00:00"/>
    <x v="4"/>
    <x v="2"/>
    <n v="9"/>
    <n v="215.29"/>
    <x v="2"/>
    <x v="0"/>
    <n v="0.1"/>
    <x v="1"/>
    <n v="1743.8489999999999"/>
    <x v="2"/>
    <s v="WINTER15"/>
    <n v="0"/>
    <x v="1086"/>
    <s v="Ananya Hegde"/>
    <n v="5.84"/>
    <n v="193.761"/>
    <n v="1738.009"/>
    <d v="2024-12-16T00:00:00"/>
    <d v="2024-12-19T00:00:00"/>
    <s v="Wendy"/>
    <n v="16"/>
    <n v="12"/>
    <x v="1"/>
    <x v="1"/>
    <x v="1"/>
    <n v="51"/>
  </r>
  <r>
    <d v="2023-08-16T00:00:00"/>
    <x v="4"/>
    <x v="0"/>
    <n v="18"/>
    <n v="497.22"/>
    <x v="0"/>
    <x v="0"/>
    <n v="0.05"/>
    <x v="4"/>
    <n v="8502.4620000000014"/>
    <x v="2"/>
    <s v="WINTER15"/>
    <n v="0"/>
    <x v="1087"/>
    <s v="Rahul Patel"/>
    <n v="17.39"/>
    <n v="472.35900000000009"/>
    <n v="8485.0720000000019"/>
    <d v="2023-08-16T00:00:00"/>
    <d v="2023-08-20T00:00:00"/>
    <s v="Wendy"/>
    <n v="16"/>
    <n v="8"/>
    <x v="10"/>
    <x v="0"/>
    <x v="3"/>
    <n v="33"/>
  </r>
  <r>
    <d v="2023-01-10T00:00:00"/>
    <x v="0"/>
    <x v="2"/>
    <n v="13"/>
    <n v="347.73"/>
    <x v="0"/>
    <x v="0"/>
    <n v="0.05"/>
    <x v="4"/>
    <n v="4294.4654999999993"/>
    <x v="1"/>
    <s v="FREESHIP"/>
    <n v="1"/>
    <x v="1088"/>
    <s v="Ira Bansal"/>
    <n v="31.81"/>
    <n v="330.34349999999995"/>
    <n v="4262.6554999999989"/>
    <d v="2023-01-10T00:00:00"/>
    <d v="2023-01-20T00:00:00"/>
    <s v="Eric"/>
    <n v="10"/>
    <n v="1"/>
    <x v="4"/>
    <x v="0"/>
    <x v="0"/>
    <n v="2"/>
  </r>
  <r>
    <d v="2025-05-09T00:00:00"/>
    <x v="3"/>
    <x v="3"/>
    <n v="3"/>
    <n v="371.21"/>
    <x v="2"/>
    <x v="0"/>
    <n v="0.1"/>
    <x v="0"/>
    <n v="1002.2670000000001"/>
    <x v="1"/>
    <s v="SAVE10"/>
    <n v="0"/>
    <x v="1089"/>
    <s v="Alina Reddy"/>
    <n v="20.02"/>
    <n v="334.089"/>
    <n v="982.24700000000007"/>
    <d v="2025-05-09T00:00:00"/>
    <d v="2025-05-18T00:00:00"/>
    <s v="Cameron"/>
    <n v="9"/>
    <n v="5"/>
    <x v="2"/>
    <x v="2"/>
    <x v="2"/>
    <n v="19"/>
  </r>
  <r>
    <d v="2024-04-08T00:00:00"/>
    <x v="0"/>
    <x v="6"/>
    <n v="12"/>
    <n v="434.33"/>
    <x v="1"/>
    <x v="0"/>
    <n v="0.15"/>
    <x v="5"/>
    <n v="4430.1660000000002"/>
    <x v="4"/>
    <s v="FREESHIP"/>
    <n v="0"/>
    <x v="1090"/>
    <s v="Ashwin Gupta"/>
    <n v="15.33"/>
    <n v="369.18049999999999"/>
    <n v="4414.8360000000002"/>
    <d v="2024-04-08T00:00:00"/>
    <d v="2024-04-16T00:00:00"/>
    <s v="Eric"/>
    <n v="8"/>
    <n v="4"/>
    <x v="7"/>
    <x v="1"/>
    <x v="2"/>
    <n v="15"/>
  </r>
  <r>
    <d v="2025-05-06T00:00:00"/>
    <x v="0"/>
    <x v="4"/>
    <n v="16"/>
    <n v="426.65"/>
    <x v="1"/>
    <x v="1"/>
    <n v="0.1"/>
    <x v="4"/>
    <n v="6143.76"/>
    <x v="1"/>
    <s v="nan"/>
    <n v="0"/>
    <x v="1091"/>
    <s v="Nikhil Khanna"/>
    <n v="10.199999999999999"/>
    <n v="383.98500000000001"/>
    <n v="6133.56"/>
    <d v="2025-05-06T00:00:00"/>
    <d v="2025-05-15T00:00:00"/>
    <s v="Eric"/>
    <n v="6"/>
    <n v="5"/>
    <x v="2"/>
    <x v="2"/>
    <x v="2"/>
    <n v="19"/>
  </r>
  <r>
    <d v="2023-05-21T00:00:00"/>
    <x v="4"/>
    <x v="2"/>
    <n v="6"/>
    <n v="294.97000000000003"/>
    <x v="1"/>
    <x v="0"/>
    <n v="0.05"/>
    <x v="5"/>
    <n v="1681.329"/>
    <x v="2"/>
    <s v="WINTER15"/>
    <n v="0"/>
    <x v="1092"/>
    <s v="Alina Ansari"/>
    <n v="48.08"/>
    <n v="280.22149999999999"/>
    <n v="1633.249"/>
    <d v="2023-05-21T00:00:00"/>
    <d v="2023-05-29T00:00:00"/>
    <s v="Wendy"/>
    <n v="21"/>
    <n v="5"/>
    <x v="2"/>
    <x v="0"/>
    <x v="2"/>
    <n v="20"/>
  </r>
  <r>
    <d v="2023-11-23T00:00:00"/>
    <x v="3"/>
    <x v="1"/>
    <n v="12"/>
    <n v="130.9"/>
    <x v="3"/>
    <x v="1"/>
    <n v="0.15"/>
    <x v="1"/>
    <n v="1335.18"/>
    <x v="3"/>
    <s v="SAVE10"/>
    <n v="0"/>
    <x v="1093"/>
    <s v="Sanya Hussain"/>
    <n v="34.69"/>
    <n v="111.265"/>
    <n v="1300.49"/>
    <d v="2023-11-23T00:00:00"/>
    <d v="2023-11-30T00:00:00"/>
    <s v="Cameron"/>
    <n v="23"/>
    <n v="11"/>
    <x v="9"/>
    <x v="0"/>
    <x v="1"/>
    <n v="47"/>
  </r>
  <r>
    <d v="2024-03-26T00:00:00"/>
    <x v="2"/>
    <x v="4"/>
    <n v="18"/>
    <n v="539.98"/>
    <x v="2"/>
    <x v="1"/>
    <n v="0.15"/>
    <x v="0"/>
    <n v="8261.6939999999995"/>
    <x v="4"/>
    <s v="FREESHIP"/>
    <n v="1"/>
    <x v="1094"/>
    <s v="Alina Verma"/>
    <n v="34.44"/>
    <n v="458.98299999999995"/>
    <n v="8227.253999999999"/>
    <d v="2024-03-26T00:00:00"/>
    <d v="2024-04-05T00:00:00"/>
    <s v="Ryan"/>
    <n v="26"/>
    <n v="3"/>
    <x v="6"/>
    <x v="1"/>
    <x v="0"/>
    <n v="13"/>
  </r>
  <r>
    <d v="2024-09-25T00:00:00"/>
    <x v="1"/>
    <x v="2"/>
    <n v="12"/>
    <n v="149.37"/>
    <x v="3"/>
    <x v="1"/>
    <n v="0.1"/>
    <x v="5"/>
    <n v="1613.1959999999999"/>
    <x v="2"/>
    <s v="nan"/>
    <n v="0"/>
    <x v="1095"/>
    <s v="Raj Chopra"/>
    <n v="20.21"/>
    <n v="134.43299999999999"/>
    <n v="1592.9859999999999"/>
    <d v="2024-09-25T00:00:00"/>
    <d v="2024-10-02T00:00:00"/>
    <s v="Sophie"/>
    <n v="25"/>
    <n v="9"/>
    <x v="11"/>
    <x v="1"/>
    <x v="3"/>
    <n v="39"/>
  </r>
  <r>
    <d v="2023-04-06T00:00:00"/>
    <x v="0"/>
    <x v="3"/>
    <n v="5"/>
    <n v="411.24"/>
    <x v="1"/>
    <x v="0"/>
    <n v="0.15"/>
    <x v="5"/>
    <n v="1747.77"/>
    <x v="4"/>
    <s v="WINTER15"/>
    <n v="1"/>
    <x v="1096"/>
    <s v="Aditya Arora"/>
    <n v="5.35"/>
    <n v="349.55399999999997"/>
    <n v="1742.42"/>
    <d v="2023-04-06T00:00:00"/>
    <d v="2023-04-10T00:00:00"/>
    <s v="Eric"/>
    <n v="6"/>
    <n v="4"/>
    <x v="7"/>
    <x v="0"/>
    <x v="2"/>
    <n v="14"/>
  </r>
  <r>
    <d v="2024-06-24T00:00:00"/>
    <x v="2"/>
    <x v="3"/>
    <n v="16"/>
    <n v="462.86"/>
    <x v="3"/>
    <x v="1"/>
    <n v="0.05"/>
    <x v="5"/>
    <n v="7035.4719999999998"/>
    <x v="4"/>
    <s v="nan"/>
    <n v="1"/>
    <x v="1097"/>
    <s v="Zoya Chawla"/>
    <n v="17.43"/>
    <n v="439.71699999999998"/>
    <n v="7018.0419999999995"/>
    <d v="2024-06-24T00:00:00"/>
    <d v="2024-06-26T00:00:00"/>
    <s v="Ryan"/>
    <n v="24"/>
    <n v="6"/>
    <x v="3"/>
    <x v="1"/>
    <x v="2"/>
    <n v="26"/>
  </r>
  <r>
    <d v="2024-12-15T00:00:00"/>
    <x v="1"/>
    <x v="0"/>
    <n v="17"/>
    <n v="506.38"/>
    <x v="0"/>
    <x v="0"/>
    <n v="0"/>
    <x v="3"/>
    <n v="8608.4599999999991"/>
    <x v="4"/>
    <s v="WINTER15"/>
    <n v="1"/>
    <x v="1098"/>
    <s v="Zara Malhotra"/>
    <n v="33.36"/>
    <n v="506.37999999999994"/>
    <n v="8575.0999999999985"/>
    <d v="2024-12-15T00:00:00"/>
    <d v="2024-12-23T00:00:00"/>
    <s v="Sophie"/>
    <n v="15"/>
    <n v="12"/>
    <x v="1"/>
    <x v="1"/>
    <x v="1"/>
    <n v="50"/>
  </r>
  <r>
    <d v="2024-10-03T00:00:00"/>
    <x v="2"/>
    <x v="2"/>
    <n v="19"/>
    <n v="25.61"/>
    <x v="0"/>
    <x v="1"/>
    <n v="0"/>
    <x v="5"/>
    <n v="486.59"/>
    <x v="1"/>
    <s v="nan"/>
    <n v="0"/>
    <x v="1099"/>
    <s v="Palak Sinha"/>
    <n v="30.32"/>
    <n v="25.61"/>
    <n v="456.27"/>
    <d v="2024-10-03T00:00:00"/>
    <d v="2024-10-11T00:00:00"/>
    <s v="Ryan"/>
    <n v="3"/>
    <n v="10"/>
    <x v="5"/>
    <x v="1"/>
    <x v="1"/>
    <n v="40"/>
  </r>
  <r>
    <d v="2023-09-03T00:00:00"/>
    <x v="1"/>
    <x v="2"/>
    <n v="4"/>
    <n v="467.45"/>
    <x v="2"/>
    <x v="0"/>
    <n v="0.05"/>
    <x v="2"/>
    <n v="1776.31"/>
    <x v="1"/>
    <s v="WINTER15"/>
    <n v="0"/>
    <x v="1100"/>
    <s v="Alina Bose"/>
    <n v="25.05"/>
    <n v="444.07749999999999"/>
    <n v="1751.26"/>
    <d v="2023-09-03T00:00:00"/>
    <d v="2023-09-13T00:00:00"/>
    <s v="Sophie"/>
    <n v="3"/>
    <n v="9"/>
    <x v="11"/>
    <x v="0"/>
    <x v="3"/>
    <n v="35"/>
  </r>
  <r>
    <d v="2023-01-29T00:00:00"/>
    <x v="2"/>
    <x v="6"/>
    <n v="10"/>
    <n v="140.5"/>
    <x v="0"/>
    <x v="1"/>
    <n v="0.15"/>
    <x v="3"/>
    <n v="1194.25"/>
    <x v="0"/>
    <s v="FREESHIP"/>
    <n v="0"/>
    <x v="1101"/>
    <s v="Alina Srivastava"/>
    <n v="43.81"/>
    <n v="119.425"/>
    <n v="1150.44"/>
    <d v="2023-01-29T00:00:00"/>
    <d v="2023-02-05T00:00:00"/>
    <s v="Ryan"/>
    <n v="29"/>
    <n v="1"/>
    <x v="4"/>
    <x v="0"/>
    <x v="0"/>
    <n v="4"/>
  </r>
  <r>
    <d v="2024-06-12T00:00:00"/>
    <x v="2"/>
    <x v="1"/>
    <n v="8"/>
    <n v="57.85"/>
    <x v="3"/>
    <x v="0"/>
    <n v="0"/>
    <x v="2"/>
    <n v="462.8"/>
    <x v="0"/>
    <s v="WINTER15"/>
    <n v="1"/>
    <x v="1102"/>
    <s v="Mohit Bansal"/>
    <n v="49.82"/>
    <n v="57.85"/>
    <n v="412.98"/>
    <d v="2024-06-12T00:00:00"/>
    <d v="2024-06-20T00:00:00"/>
    <s v="Ryan"/>
    <n v="12"/>
    <n v="6"/>
    <x v="3"/>
    <x v="1"/>
    <x v="2"/>
    <n v="24"/>
  </r>
  <r>
    <d v="2024-11-24T00:00:00"/>
    <x v="2"/>
    <x v="4"/>
    <n v="9"/>
    <n v="539.64"/>
    <x v="1"/>
    <x v="1"/>
    <n v="0.15"/>
    <x v="1"/>
    <n v="4128.2460000000001"/>
    <x v="1"/>
    <s v="nan"/>
    <n v="0"/>
    <x v="1103"/>
    <s v="Atharv Shah"/>
    <n v="16.079999999999998"/>
    <n v="458.69400000000002"/>
    <n v="4112.1660000000002"/>
    <d v="2024-11-24T00:00:00"/>
    <d v="2024-12-03T00:00:00"/>
    <s v="Ryan"/>
    <n v="24"/>
    <n v="11"/>
    <x v="9"/>
    <x v="1"/>
    <x v="1"/>
    <n v="47"/>
  </r>
  <r>
    <d v="2023-08-15T00:00:00"/>
    <x v="4"/>
    <x v="4"/>
    <n v="18"/>
    <n v="476.32"/>
    <x v="1"/>
    <x v="0"/>
    <n v="0"/>
    <x v="4"/>
    <n v="8573.76"/>
    <x v="2"/>
    <s v="SAVE10"/>
    <n v="1"/>
    <x v="1104"/>
    <s v="Priya Pathan"/>
    <n v="47.43"/>
    <n v="476.32"/>
    <n v="8526.33"/>
    <d v="2023-08-15T00:00:00"/>
    <d v="2023-08-20T00:00:00"/>
    <s v="Wendy"/>
    <n v="15"/>
    <n v="8"/>
    <x v="10"/>
    <x v="0"/>
    <x v="3"/>
    <n v="33"/>
  </r>
  <r>
    <d v="2024-08-21T00:00:00"/>
    <x v="3"/>
    <x v="5"/>
    <n v="11"/>
    <n v="143.85"/>
    <x v="1"/>
    <x v="0"/>
    <n v="0.1"/>
    <x v="0"/>
    <n v="1424.115"/>
    <x v="3"/>
    <s v="FREESHIP"/>
    <n v="0"/>
    <x v="1105"/>
    <s v="Krish Kapoor"/>
    <n v="6.85"/>
    <n v="129.465"/>
    <n v="1417.2650000000001"/>
    <d v="2024-08-21T00:00:00"/>
    <d v="2024-08-30T00:00:00"/>
    <s v="Cameron"/>
    <n v="21"/>
    <n v="8"/>
    <x v="10"/>
    <x v="1"/>
    <x v="3"/>
    <n v="34"/>
  </r>
  <r>
    <d v="2023-05-24T00:00:00"/>
    <x v="4"/>
    <x v="4"/>
    <n v="4"/>
    <n v="323.63"/>
    <x v="2"/>
    <x v="1"/>
    <n v="0.1"/>
    <x v="3"/>
    <n v="1165.068"/>
    <x v="2"/>
    <s v="FREESHIP"/>
    <n v="0"/>
    <x v="1106"/>
    <s v="Sneha D'Souza"/>
    <n v="32.92"/>
    <n v="291.267"/>
    <n v="1132.1479999999999"/>
    <d v="2023-05-24T00:00:00"/>
    <d v="2023-06-01T00:00:00"/>
    <s v="Wendy"/>
    <n v="24"/>
    <n v="5"/>
    <x v="2"/>
    <x v="0"/>
    <x v="2"/>
    <n v="21"/>
  </r>
  <r>
    <d v="2023-04-27T00:00:00"/>
    <x v="4"/>
    <x v="4"/>
    <n v="16"/>
    <n v="37.4"/>
    <x v="1"/>
    <x v="0"/>
    <n v="0.05"/>
    <x v="5"/>
    <n v="568.4799999999999"/>
    <x v="2"/>
    <s v="FREESHIP"/>
    <n v="0"/>
    <x v="1107"/>
    <s v="Nikhil Malhotra"/>
    <n v="49.55"/>
    <n v="35.529999999999994"/>
    <n v="518.92999999999995"/>
    <d v="2023-04-27T00:00:00"/>
    <d v="2023-05-01T00:00:00"/>
    <s v="Wendy"/>
    <n v="27"/>
    <n v="4"/>
    <x v="7"/>
    <x v="0"/>
    <x v="2"/>
    <n v="17"/>
  </r>
  <r>
    <d v="2023-05-21T00:00:00"/>
    <x v="0"/>
    <x v="5"/>
    <n v="1"/>
    <n v="418.98"/>
    <x v="0"/>
    <x v="1"/>
    <n v="0.1"/>
    <x v="3"/>
    <n v="377.08200000000011"/>
    <x v="1"/>
    <s v="FREESHIP"/>
    <n v="0"/>
    <x v="1108"/>
    <s v="Ishaan Mehta"/>
    <n v="43.72"/>
    <n v="377.08200000000011"/>
    <n v="333.36200000000008"/>
    <d v="2023-05-21T00:00:00"/>
    <d v="2023-05-26T00:00:00"/>
    <s v="Eric"/>
    <n v="21"/>
    <n v="5"/>
    <x v="2"/>
    <x v="0"/>
    <x v="2"/>
    <n v="20"/>
  </r>
  <r>
    <d v="2025-02-16T00:00:00"/>
    <x v="0"/>
    <x v="4"/>
    <n v="12"/>
    <n v="108.35"/>
    <x v="1"/>
    <x v="0"/>
    <n v="0"/>
    <x v="4"/>
    <n v="1300.2"/>
    <x v="0"/>
    <s v="FREESHIP"/>
    <n v="0"/>
    <x v="1109"/>
    <s v="Om Dubey"/>
    <n v="42.06"/>
    <n v="108.35000000000001"/>
    <n v="1258.1400000000001"/>
    <d v="2025-02-16T00:00:00"/>
    <d v="2025-02-25T00:00:00"/>
    <s v="Eric"/>
    <n v="16"/>
    <n v="2"/>
    <x v="0"/>
    <x v="2"/>
    <x v="0"/>
    <n v="7"/>
  </r>
  <r>
    <d v="2023-08-24T00:00:00"/>
    <x v="0"/>
    <x v="5"/>
    <n v="5"/>
    <n v="256.42"/>
    <x v="0"/>
    <x v="1"/>
    <n v="0"/>
    <x v="1"/>
    <n v="1282.0999999999999"/>
    <x v="1"/>
    <s v="FREESHIP"/>
    <n v="0"/>
    <x v="1110"/>
    <s v="Aditi Banerjee"/>
    <n v="28.74"/>
    <n v="256.41999999999996"/>
    <n v="1253.3599999999999"/>
    <d v="2023-08-24T00:00:00"/>
    <d v="2023-08-29T00:00:00"/>
    <s v="Eric"/>
    <n v="24"/>
    <n v="8"/>
    <x v="10"/>
    <x v="0"/>
    <x v="3"/>
    <n v="34"/>
  </r>
  <r>
    <d v="2024-03-14T00:00:00"/>
    <x v="0"/>
    <x v="2"/>
    <n v="16"/>
    <n v="544.91"/>
    <x v="0"/>
    <x v="1"/>
    <n v="0.1"/>
    <x v="2"/>
    <n v="7846.7039999999997"/>
    <x v="2"/>
    <s v="FREESHIP"/>
    <n v="0"/>
    <x v="1111"/>
    <s v="Yash Desai"/>
    <n v="39.26"/>
    <n v="490.41899999999998"/>
    <n v="7807.4439999999995"/>
    <d v="2024-03-14T00:00:00"/>
    <d v="2024-03-21T00:00:00"/>
    <s v="Eric"/>
    <n v="14"/>
    <n v="3"/>
    <x v="6"/>
    <x v="1"/>
    <x v="0"/>
    <n v="11"/>
  </r>
  <r>
    <d v="2024-01-29T00:00:00"/>
    <x v="2"/>
    <x v="2"/>
    <n v="19"/>
    <n v="113.42"/>
    <x v="1"/>
    <x v="1"/>
    <n v="0"/>
    <x v="0"/>
    <n v="2154.98"/>
    <x v="3"/>
    <s v="WINTER15"/>
    <n v="0"/>
    <x v="1112"/>
    <s v="Neha Kaur"/>
    <n v="44.96"/>
    <n v="113.42"/>
    <n v="2110.02"/>
    <d v="2024-01-29T00:00:00"/>
    <d v="2024-02-07T00:00:00"/>
    <s v="Ryan"/>
    <n v="29"/>
    <n v="1"/>
    <x v="4"/>
    <x v="1"/>
    <x v="0"/>
    <n v="5"/>
  </r>
  <r>
    <d v="2024-08-09T00:00:00"/>
    <x v="1"/>
    <x v="1"/>
    <n v="10"/>
    <n v="522.73"/>
    <x v="2"/>
    <x v="1"/>
    <n v="0.1"/>
    <x v="5"/>
    <n v="4704.5700000000006"/>
    <x v="2"/>
    <s v="nan"/>
    <n v="0"/>
    <x v="1113"/>
    <s v="Laksh Kaur"/>
    <n v="20.059999999999999"/>
    <n v="470.45700000000005"/>
    <n v="4684.51"/>
    <d v="2024-08-09T00:00:00"/>
    <d v="2024-08-15T00:00:00"/>
    <s v="Sophie"/>
    <n v="9"/>
    <n v="8"/>
    <x v="10"/>
    <x v="1"/>
    <x v="3"/>
    <n v="32"/>
  </r>
  <r>
    <d v="2024-07-08T00:00:00"/>
    <x v="2"/>
    <x v="5"/>
    <n v="18"/>
    <n v="448.03"/>
    <x v="0"/>
    <x v="1"/>
    <n v="0.15"/>
    <x v="2"/>
    <n v="6854.8589999999986"/>
    <x v="4"/>
    <s v="WINTER15"/>
    <n v="1"/>
    <x v="1114"/>
    <s v="Atharv Chopra"/>
    <n v="13.23"/>
    <n v="380.82549999999992"/>
    <n v="6841.628999999999"/>
    <d v="2024-07-08T00:00:00"/>
    <d v="2024-07-17T00:00:00"/>
    <s v="Ryan"/>
    <n v="8"/>
    <n v="7"/>
    <x v="8"/>
    <x v="1"/>
    <x v="3"/>
    <n v="28"/>
  </r>
  <r>
    <d v="2024-08-20T00:00:00"/>
    <x v="2"/>
    <x v="4"/>
    <n v="15"/>
    <n v="208.51"/>
    <x v="1"/>
    <x v="1"/>
    <n v="0.05"/>
    <x v="3"/>
    <n v="2971.267499999999"/>
    <x v="1"/>
    <s v="nan"/>
    <n v="0"/>
    <x v="1115"/>
    <s v="Parth Menon"/>
    <n v="37.81"/>
    <n v="198.08449999999993"/>
    <n v="2933.4574999999991"/>
    <d v="2024-08-20T00:00:00"/>
    <d v="2024-08-29T00:00:00"/>
    <s v="Ryan"/>
    <n v="20"/>
    <n v="8"/>
    <x v="10"/>
    <x v="1"/>
    <x v="3"/>
    <n v="34"/>
  </r>
  <r>
    <d v="2023-06-26T00:00:00"/>
    <x v="3"/>
    <x v="0"/>
    <n v="13"/>
    <n v="423.64"/>
    <x v="2"/>
    <x v="1"/>
    <n v="0.1"/>
    <x v="1"/>
    <n v="4956.5879999999997"/>
    <x v="3"/>
    <s v="nan"/>
    <n v="1"/>
    <x v="1116"/>
    <s v="Ananya Sharma"/>
    <n v="23.31"/>
    <n v="381.27599999999995"/>
    <n v="4933.2779999999993"/>
    <d v="2023-06-26T00:00:00"/>
    <d v="2023-06-28T00:00:00"/>
    <s v="Cameron"/>
    <n v="26"/>
    <n v="6"/>
    <x v="3"/>
    <x v="0"/>
    <x v="2"/>
    <n v="26"/>
  </r>
  <r>
    <d v="2023-12-23T00:00:00"/>
    <x v="0"/>
    <x v="3"/>
    <n v="5"/>
    <n v="552.26"/>
    <x v="3"/>
    <x v="0"/>
    <n v="0.15"/>
    <x v="1"/>
    <n v="2347.105"/>
    <x v="3"/>
    <s v="WINTER15"/>
    <n v="0"/>
    <x v="1117"/>
    <s v="Manya Thomas"/>
    <n v="26.5"/>
    <n v="469.42099999999999"/>
    <n v="2320.605"/>
    <d v="2023-12-23T00:00:00"/>
    <d v="2023-12-25T00:00:00"/>
    <s v="Eric"/>
    <n v="23"/>
    <n v="12"/>
    <x v="1"/>
    <x v="0"/>
    <x v="1"/>
    <n v="51"/>
  </r>
  <r>
    <d v="2023-08-20T00:00:00"/>
    <x v="3"/>
    <x v="2"/>
    <n v="1"/>
    <n v="182.11"/>
    <x v="1"/>
    <x v="1"/>
    <n v="0.1"/>
    <x v="3"/>
    <n v="163.899"/>
    <x v="2"/>
    <s v="WINTER15"/>
    <n v="0"/>
    <x v="1118"/>
    <s v="Parth Dutta"/>
    <n v="7.31"/>
    <n v="163.899"/>
    <n v="156.589"/>
    <d v="2023-08-20T00:00:00"/>
    <d v="2023-08-27T00:00:00"/>
    <s v="Cameron"/>
    <n v="20"/>
    <n v="8"/>
    <x v="10"/>
    <x v="0"/>
    <x v="3"/>
    <n v="33"/>
  </r>
  <r>
    <d v="2024-10-28T00:00:00"/>
    <x v="4"/>
    <x v="2"/>
    <n v="7"/>
    <n v="466.36"/>
    <x v="3"/>
    <x v="0"/>
    <n v="0.05"/>
    <x v="5"/>
    <n v="3101.2939999999999"/>
    <x v="0"/>
    <s v="SAVE10"/>
    <n v="1"/>
    <x v="1119"/>
    <s v="Kavya Kulkarni"/>
    <n v="11.45"/>
    <n v="443.04199999999997"/>
    <n v="3089.8440000000001"/>
    <d v="2024-10-28T00:00:00"/>
    <d v="2024-11-06T00:00:00"/>
    <s v="Wendy"/>
    <n v="28"/>
    <n v="10"/>
    <x v="5"/>
    <x v="1"/>
    <x v="1"/>
    <n v="44"/>
  </r>
  <r>
    <d v="2024-11-11T00:00:00"/>
    <x v="0"/>
    <x v="6"/>
    <n v="15"/>
    <n v="140.54"/>
    <x v="1"/>
    <x v="0"/>
    <n v="0.1"/>
    <x v="0"/>
    <n v="1897.29"/>
    <x v="2"/>
    <s v="SAVE10"/>
    <n v="0"/>
    <x v="1120"/>
    <s v="Ananya Rao"/>
    <n v="49.91"/>
    <n v="126.486"/>
    <n v="1847.3799999999999"/>
    <d v="2024-11-11T00:00:00"/>
    <d v="2024-11-21T00:00:00"/>
    <s v="Eric"/>
    <n v="11"/>
    <n v="11"/>
    <x v="9"/>
    <x v="1"/>
    <x v="1"/>
    <n v="46"/>
  </r>
  <r>
    <d v="2023-12-07T00:00:00"/>
    <x v="4"/>
    <x v="2"/>
    <n v="17"/>
    <n v="460.31"/>
    <x v="1"/>
    <x v="1"/>
    <n v="0.15"/>
    <x v="4"/>
    <n v="6651.4795000000004"/>
    <x v="0"/>
    <s v="WINTER15"/>
    <n v="0"/>
    <x v="1121"/>
    <s v="Vikram Shetty"/>
    <n v="40.18"/>
    <n v="391.26350000000002"/>
    <n v="6611.2995000000001"/>
    <d v="2023-12-07T00:00:00"/>
    <d v="2023-12-15T00:00:00"/>
    <s v="Wendy"/>
    <n v="7"/>
    <n v="12"/>
    <x v="1"/>
    <x v="0"/>
    <x v="1"/>
    <n v="49"/>
  </r>
  <r>
    <d v="2024-03-23T00:00:00"/>
    <x v="4"/>
    <x v="0"/>
    <n v="5"/>
    <n v="132.87"/>
    <x v="0"/>
    <x v="1"/>
    <n v="0"/>
    <x v="5"/>
    <n v="664.35"/>
    <x v="3"/>
    <s v="WINTER15"/>
    <n v="0"/>
    <x v="1122"/>
    <s v="Fatima Iyer"/>
    <n v="37.909999999999997"/>
    <n v="132.87"/>
    <n v="626.44000000000005"/>
    <d v="2024-03-23T00:00:00"/>
    <d v="2024-04-02T00:00:00"/>
    <s v="Wendy"/>
    <n v="23"/>
    <n v="3"/>
    <x v="6"/>
    <x v="1"/>
    <x v="0"/>
    <n v="12"/>
  </r>
  <r>
    <d v="2024-10-29T00:00:00"/>
    <x v="4"/>
    <x v="5"/>
    <n v="12"/>
    <n v="209.86"/>
    <x v="3"/>
    <x v="1"/>
    <n v="0.05"/>
    <x v="5"/>
    <n v="2392.404"/>
    <x v="0"/>
    <s v="WINTER15"/>
    <n v="0"/>
    <x v="1123"/>
    <s v="Vivaan Tripathi"/>
    <n v="8.7799999999999994"/>
    <n v="199.36699999999999"/>
    <n v="2383.6239999999998"/>
    <d v="2024-10-29T00:00:00"/>
    <d v="2024-11-02T00:00:00"/>
    <s v="Wendy"/>
    <n v="29"/>
    <n v="10"/>
    <x v="5"/>
    <x v="1"/>
    <x v="1"/>
    <n v="44"/>
  </r>
  <r>
    <d v="2025-06-17T00:00:00"/>
    <x v="0"/>
    <x v="0"/>
    <n v="9"/>
    <n v="31.35"/>
    <x v="0"/>
    <x v="1"/>
    <n v="0.1"/>
    <x v="4"/>
    <n v="253.935"/>
    <x v="4"/>
    <s v="SAVE10"/>
    <n v="0"/>
    <x v="1124"/>
    <s v="Kiara Srivastava"/>
    <n v="39.32"/>
    <n v="28.215"/>
    <n v="214.61500000000001"/>
    <d v="2025-06-17T00:00:00"/>
    <d v="2025-06-22T00:00:00"/>
    <s v="Eric"/>
    <n v="17"/>
    <n v="6"/>
    <x v="3"/>
    <x v="2"/>
    <x v="2"/>
    <n v="25"/>
  </r>
  <r>
    <d v="2023-03-18T00:00:00"/>
    <x v="2"/>
    <x v="3"/>
    <n v="11"/>
    <n v="335.11"/>
    <x v="2"/>
    <x v="1"/>
    <n v="0"/>
    <x v="2"/>
    <n v="3686.21"/>
    <x v="1"/>
    <s v="FREESHIP"/>
    <n v="0"/>
    <x v="1125"/>
    <s v="Neha Tiwari"/>
    <n v="29.95"/>
    <n v="335.11"/>
    <n v="3656.26"/>
    <d v="2023-03-18T00:00:00"/>
    <d v="2023-03-26T00:00:00"/>
    <s v="Ryan"/>
    <n v="18"/>
    <n v="3"/>
    <x v="6"/>
    <x v="0"/>
    <x v="0"/>
    <n v="11"/>
  </r>
  <r>
    <d v="2023-01-19T00:00:00"/>
    <x v="0"/>
    <x v="1"/>
    <n v="8"/>
    <n v="277.43"/>
    <x v="3"/>
    <x v="0"/>
    <n v="0"/>
    <x v="3"/>
    <n v="2219.44"/>
    <x v="0"/>
    <s v="SAVE10"/>
    <n v="0"/>
    <x v="1126"/>
    <s v="Neha Shaikh"/>
    <n v="36.380000000000003"/>
    <n v="277.43"/>
    <n v="2183.06"/>
    <d v="2023-01-19T00:00:00"/>
    <d v="2023-01-23T00:00:00"/>
    <s v="Eric"/>
    <n v="19"/>
    <n v="1"/>
    <x v="4"/>
    <x v="0"/>
    <x v="0"/>
    <n v="3"/>
  </r>
  <r>
    <d v="2023-07-09T00:00:00"/>
    <x v="4"/>
    <x v="2"/>
    <n v="6"/>
    <n v="287.72000000000003"/>
    <x v="1"/>
    <x v="1"/>
    <n v="0.05"/>
    <x v="5"/>
    <n v="1640.0039999999999"/>
    <x v="3"/>
    <s v="WINTER15"/>
    <n v="0"/>
    <x v="1127"/>
    <s v="Riya Joshi"/>
    <n v="17.14"/>
    <n v="273.334"/>
    <n v="1622.8639999999998"/>
    <d v="2023-07-09T00:00:00"/>
    <d v="2023-07-14T00:00:00"/>
    <s v="Wendy"/>
    <n v="9"/>
    <n v="7"/>
    <x v="8"/>
    <x v="0"/>
    <x v="3"/>
    <n v="27"/>
  </r>
  <r>
    <d v="2025-03-16T00:00:00"/>
    <x v="0"/>
    <x v="0"/>
    <n v="14"/>
    <n v="459.61"/>
    <x v="0"/>
    <x v="1"/>
    <n v="0.05"/>
    <x v="2"/>
    <n v="6112.8130000000001"/>
    <x v="0"/>
    <s v="nan"/>
    <n v="1"/>
    <x v="1128"/>
    <s v="Harsh D'Souza"/>
    <n v="43.41"/>
    <n v="436.62950000000001"/>
    <n v="6069.4030000000002"/>
    <d v="2025-03-16T00:00:00"/>
    <d v="2025-03-26T00:00:00"/>
    <s v="Eric"/>
    <n v="16"/>
    <n v="3"/>
    <x v="6"/>
    <x v="2"/>
    <x v="0"/>
    <n v="11"/>
  </r>
  <r>
    <d v="2025-02-08T00:00:00"/>
    <x v="2"/>
    <x v="5"/>
    <n v="10"/>
    <n v="396.73"/>
    <x v="0"/>
    <x v="1"/>
    <n v="0.1"/>
    <x v="0"/>
    <n v="3570.57"/>
    <x v="0"/>
    <s v="FREESHIP"/>
    <n v="0"/>
    <x v="1129"/>
    <s v="Yash Thakur"/>
    <n v="18.13"/>
    <n v="357.05700000000002"/>
    <n v="3552.44"/>
    <d v="2025-02-08T00:00:00"/>
    <d v="2025-02-13T00:00:00"/>
    <s v="Ryan"/>
    <n v="8"/>
    <n v="2"/>
    <x v="0"/>
    <x v="2"/>
    <x v="0"/>
    <n v="6"/>
  </r>
  <r>
    <d v="2024-04-20T00:00:00"/>
    <x v="1"/>
    <x v="6"/>
    <n v="20"/>
    <n v="516.42999999999995"/>
    <x v="0"/>
    <x v="1"/>
    <n v="0"/>
    <x v="5"/>
    <n v="10328.6"/>
    <x v="0"/>
    <s v="FREESHIP"/>
    <n v="0"/>
    <x v="1130"/>
    <s v="Shruti Banerjee"/>
    <n v="36.229999999999997"/>
    <n v="516.43000000000006"/>
    <n v="10292.370000000001"/>
    <d v="2024-04-20T00:00:00"/>
    <d v="2024-04-22T00:00:00"/>
    <s v="Sophie"/>
    <n v="20"/>
    <n v="4"/>
    <x v="7"/>
    <x v="1"/>
    <x v="2"/>
    <n v="16"/>
  </r>
  <r>
    <d v="2025-06-05T00:00:00"/>
    <x v="0"/>
    <x v="0"/>
    <n v="1"/>
    <n v="299.66000000000003"/>
    <x v="1"/>
    <x v="1"/>
    <n v="0.1"/>
    <x v="4"/>
    <n v="269.69400000000002"/>
    <x v="4"/>
    <s v="SAVE10"/>
    <n v="0"/>
    <x v="1131"/>
    <s v="Pranav Das"/>
    <n v="38.94"/>
    <n v="269.69400000000002"/>
    <n v="230.75400000000002"/>
    <d v="2025-06-05T00:00:00"/>
    <d v="2025-06-07T00:00:00"/>
    <s v="Eric"/>
    <n v="5"/>
    <n v="6"/>
    <x v="3"/>
    <x v="2"/>
    <x v="2"/>
    <n v="23"/>
  </r>
  <r>
    <d v="2025-04-25T00:00:00"/>
    <x v="1"/>
    <x v="3"/>
    <n v="12"/>
    <n v="31.72"/>
    <x v="0"/>
    <x v="1"/>
    <n v="0"/>
    <x v="1"/>
    <n v="380.64"/>
    <x v="3"/>
    <s v="SAVE10"/>
    <n v="0"/>
    <x v="1132"/>
    <s v="Bhavna Menon"/>
    <n v="30.78"/>
    <n v="31.72"/>
    <n v="349.86"/>
    <d v="2025-04-25T00:00:00"/>
    <d v="2025-05-03T00:00:00"/>
    <s v="Sophie"/>
    <n v="25"/>
    <n v="4"/>
    <x v="7"/>
    <x v="2"/>
    <x v="2"/>
    <n v="17"/>
  </r>
  <r>
    <d v="2023-09-06T00:00:00"/>
    <x v="3"/>
    <x v="1"/>
    <n v="17"/>
    <n v="588.58000000000004"/>
    <x v="3"/>
    <x v="0"/>
    <n v="0.05"/>
    <x v="4"/>
    <n v="9505.5670000000009"/>
    <x v="3"/>
    <s v="SAVE10"/>
    <n v="1"/>
    <x v="1133"/>
    <s v="Meera Tiwari"/>
    <n v="25.31"/>
    <n v="559.15100000000007"/>
    <n v="9480.2570000000014"/>
    <d v="2023-09-06T00:00:00"/>
    <d v="2023-09-13T00:00:00"/>
    <s v="Cameron"/>
    <n v="6"/>
    <n v="9"/>
    <x v="11"/>
    <x v="0"/>
    <x v="3"/>
    <n v="36"/>
  </r>
  <r>
    <d v="2023-09-29T00:00:00"/>
    <x v="0"/>
    <x v="0"/>
    <n v="11"/>
    <n v="203.15"/>
    <x v="2"/>
    <x v="1"/>
    <n v="0.1"/>
    <x v="0"/>
    <n v="2011.1849999999999"/>
    <x v="0"/>
    <s v="FREESHIP"/>
    <n v="0"/>
    <x v="1134"/>
    <s v="Aarav Naidu"/>
    <n v="30.97"/>
    <n v="182.83500000000001"/>
    <n v="1980.2149999999999"/>
    <d v="2023-09-29T00:00:00"/>
    <d v="2023-10-02T00:00:00"/>
    <s v="Eric"/>
    <n v="29"/>
    <n v="9"/>
    <x v="11"/>
    <x v="0"/>
    <x v="3"/>
    <n v="39"/>
  </r>
  <r>
    <d v="2024-05-21T00:00:00"/>
    <x v="3"/>
    <x v="4"/>
    <n v="18"/>
    <n v="139.13999999999999"/>
    <x v="1"/>
    <x v="0"/>
    <n v="0"/>
    <x v="3"/>
    <n v="2504.52"/>
    <x v="0"/>
    <s v="FREESHIP"/>
    <n v="1"/>
    <x v="1135"/>
    <s v="Aryan Dubey"/>
    <n v="10.56"/>
    <n v="139.13999999999999"/>
    <n v="2493.96"/>
    <d v="2024-05-21T00:00:00"/>
    <d v="2024-05-23T00:00:00"/>
    <s v="Cameron"/>
    <n v="21"/>
    <n v="5"/>
    <x v="2"/>
    <x v="1"/>
    <x v="2"/>
    <n v="21"/>
  </r>
  <r>
    <d v="2025-04-13T00:00:00"/>
    <x v="4"/>
    <x v="4"/>
    <n v="2"/>
    <n v="158.99"/>
    <x v="1"/>
    <x v="0"/>
    <n v="0"/>
    <x v="5"/>
    <n v="317.98"/>
    <x v="0"/>
    <s v="nan"/>
    <n v="0"/>
    <x v="1136"/>
    <s v="Aryan Thomas"/>
    <n v="48.32"/>
    <n v="158.99"/>
    <n v="269.66000000000003"/>
    <d v="2025-04-13T00:00:00"/>
    <d v="2025-04-19T00:00:00"/>
    <s v="Wendy"/>
    <n v="13"/>
    <n v="4"/>
    <x v="7"/>
    <x v="2"/>
    <x v="2"/>
    <n v="15"/>
  </r>
  <r>
    <d v="2024-11-16T00:00:00"/>
    <x v="0"/>
    <x v="3"/>
    <n v="3"/>
    <n v="387.63"/>
    <x v="1"/>
    <x v="0"/>
    <n v="0"/>
    <x v="4"/>
    <n v="1162.8900000000001"/>
    <x v="2"/>
    <s v="WINTER15"/>
    <n v="0"/>
    <x v="1137"/>
    <s v="Aryan D'Souza"/>
    <n v="30.08"/>
    <n v="387.63000000000005"/>
    <n v="1132.8100000000002"/>
    <d v="2024-11-16T00:00:00"/>
    <d v="2024-11-20T00:00:00"/>
    <s v="Eric"/>
    <n v="16"/>
    <n v="11"/>
    <x v="9"/>
    <x v="1"/>
    <x v="1"/>
    <n v="46"/>
  </r>
  <r>
    <d v="2024-07-20T00:00:00"/>
    <x v="2"/>
    <x v="2"/>
    <n v="5"/>
    <n v="202.12"/>
    <x v="1"/>
    <x v="1"/>
    <n v="0.1"/>
    <x v="4"/>
    <n v="909.54000000000008"/>
    <x v="0"/>
    <s v="FREESHIP"/>
    <n v="1"/>
    <x v="1138"/>
    <s v="Aaliyah Shah"/>
    <n v="45.61"/>
    <n v="181.90800000000002"/>
    <n v="863.93000000000006"/>
    <d v="2024-07-20T00:00:00"/>
    <d v="2024-07-28T00:00:00"/>
    <s v="Ryan"/>
    <n v="20"/>
    <n v="7"/>
    <x v="8"/>
    <x v="1"/>
    <x v="3"/>
    <n v="29"/>
  </r>
  <r>
    <d v="2023-05-20T00:00:00"/>
    <x v="2"/>
    <x v="2"/>
    <n v="4"/>
    <n v="334.57"/>
    <x v="2"/>
    <x v="1"/>
    <n v="0.15"/>
    <x v="3"/>
    <n v="1137.538"/>
    <x v="1"/>
    <s v="nan"/>
    <n v="0"/>
    <x v="1139"/>
    <s v="Palak Saxena"/>
    <n v="11.49"/>
    <n v="284.3845"/>
    <n v="1126.048"/>
    <d v="2023-05-20T00:00:00"/>
    <d v="2023-05-27T00:00:00"/>
    <s v="Ryan"/>
    <n v="20"/>
    <n v="5"/>
    <x v="2"/>
    <x v="0"/>
    <x v="2"/>
    <n v="20"/>
  </r>
  <r>
    <d v="2023-10-22T00:00:00"/>
    <x v="4"/>
    <x v="1"/>
    <n v="16"/>
    <n v="486.71"/>
    <x v="0"/>
    <x v="0"/>
    <n v="0.15"/>
    <x v="3"/>
    <n v="6619.2559999999994"/>
    <x v="0"/>
    <s v="FREESHIP"/>
    <n v="1"/>
    <x v="1140"/>
    <s v="Sana Das"/>
    <n v="12.53"/>
    <n v="413.70349999999996"/>
    <n v="6606.7259999999997"/>
    <d v="2023-10-22T00:00:00"/>
    <d v="2023-10-26T00:00:00"/>
    <s v="Wendy"/>
    <n v="22"/>
    <n v="10"/>
    <x v="5"/>
    <x v="0"/>
    <x v="1"/>
    <n v="42"/>
  </r>
  <r>
    <d v="2025-05-18T00:00:00"/>
    <x v="2"/>
    <x v="4"/>
    <n v="2"/>
    <n v="188.29"/>
    <x v="3"/>
    <x v="0"/>
    <n v="0.15"/>
    <x v="5"/>
    <n v="320.09300000000002"/>
    <x v="2"/>
    <s v="SAVE10"/>
    <n v="0"/>
    <x v="1141"/>
    <s v="Abhishek Chopra"/>
    <n v="32.22"/>
    <n v="160.04650000000001"/>
    <n v="287.87300000000005"/>
    <d v="2025-05-18T00:00:00"/>
    <d v="2025-05-21T00:00:00"/>
    <s v="Ryan"/>
    <n v="18"/>
    <n v="5"/>
    <x v="2"/>
    <x v="2"/>
    <x v="2"/>
    <n v="20"/>
  </r>
  <r>
    <d v="2024-03-03T00:00:00"/>
    <x v="1"/>
    <x v="0"/>
    <n v="3"/>
    <n v="260.72000000000003"/>
    <x v="0"/>
    <x v="0"/>
    <n v="0.15"/>
    <x v="2"/>
    <n v="664.83600000000001"/>
    <x v="0"/>
    <s v="WINTER15"/>
    <n v="0"/>
    <x v="1142"/>
    <s v="Raj Naidu"/>
    <n v="19.41"/>
    <n v="221.61199999999999"/>
    <n v="645.42600000000004"/>
    <d v="2024-03-03T00:00:00"/>
    <d v="2024-03-06T00:00:00"/>
    <s v="Sophie"/>
    <n v="3"/>
    <n v="3"/>
    <x v="6"/>
    <x v="1"/>
    <x v="0"/>
    <n v="9"/>
  </r>
  <r>
    <d v="2023-07-23T00:00:00"/>
    <x v="0"/>
    <x v="2"/>
    <n v="6"/>
    <n v="358.27"/>
    <x v="0"/>
    <x v="1"/>
    <n v="0.1"/>
    <x v="2"/>
    <n v="1934.6579999999999"/>
    <x v="1"/>
    <s v="nan"/>
    <n v="0"/>
    <x v="1143"/>
    <s v="Kabir Tripathi"/>
    <n v="7.34"/>
    <n v="322.44299999999998"/>
    <n v="1927.318"/>
    <d v="2023-07-23T00:00:00"/>
    <d v="2023-08-02T00:00:00"/>
    <s v="Eric"/>
    <n v="23"/>
    <n v="7"/>
    <x v="8"/>
    <x v="0"/>
    <x v="3"/>
    <n v="29"/>
  </r>
  <r>
    <d v="2025-02-09T00:00:00"/>
    <x v="2"/>
    <x v="2"/>
    <n v="13"/>
    <n v="492.66"/>
    <x v="0"/>
    <x v="1"/>
    <n v="0.1"/>
    <x v="2"/>
    <n v="5764.1220000000003"/>
    <x v="1"/>
    <s v="FREESHIP"/>
    <n v="0"/>
    <x v="1144"/>
    <s v="Gaurav Banerjee"/>
    <n v="46.21"/>
    <n v="443.39400000000001"/>
    <n v="5717.9120000000003"/>
    <d v="2025-02-09T00:00:00"/>
    <d v="2025-02-14T00:00:00"/>
    <s v="Ryan"/>
    <n v="9"/>
    <n v="2"/>
    <x v="0"/>
    <x v="2"/>
    <x v="0"/>
    <n v="6"/>
  </r>
  <r>
    <d v="2023-01-17T00:00:00"/>
    <x v="1"/>
    <x v="3"/>
    <n v="3"/>
    <n v="348.38"/>
    <x v="0"/>
    <x v="0"/>
    <n v="0"/>
    <x v="3"/>
    <n v="1045.1400000000001"/>
    <x v="1"/>
    <s v="FREESHIP"/>
    <n v="0"/>
    <x v="1145"/>
    <s v="Ishaan Dubey"/>
    <n v="26.25"/>
    <n v="348.38000000000005"/>
    <n v="1018.8900000000001"/>
    <d v="2023-01-17T00:00:00"/>
    <d v="2023-01-23T00:00:00"/>
    <s v="Sophie"/>
    <n v="17"/>
    <n v="1"/>
    <x v="4"/>
    <x v="0"/>
    <x v="0"/>
    <n v="3"/>
  </r>
  <r>
    <d v="2023-09-17T00:00:00"/>
    <x v="2"/>
    <x v="1"/>
    <n v="6"/>
    <n v="437.59"/>
    <x v="3"/>
    <x v="0"/>
    <n v="0.05"/>
    <x v="4"/>
    <n v="2494.2629999999999"/>
    <x v="1"/>
    <s v="WINTER15"/>
    <n v="1"/>
    <x v="1146"/>
    <s v="Sanya Naidu"/>
    <n v="39.4"/>
    <n v="415.71049999999997"/>
    <n v="2454.8629999999998"/>
    <d v="2023-09-17T00:00:00"/>
    <d v="2023-09-26T00:00:00"/>
    <s v="Ryan"/>
    <n v="17"/>
    <n v="9"/>
    <x v="11"/>
    <x v="0"/>
    <x v="3"/>
    <n v="37"/>
  </r>
  <r>
    <d v="2025-02-15T00:00:00"/>
    <x v="2"/>
    <x v="6"/>
    <n v="19"/>
    <n v="118.09"/>
    <x v="3"/>
    <x v="0"/>
    <n v="0.1"/>
    <x v="1"/>
    <n v="2019.3389999999999"/>
    <x v="0"/>
    <s v="SAVE10"/>
    <n v="0"/>
    <x v="1147"/>
    <s v="Parth Bhatia"/>
    <n v="10.77"/>
    <n v="106.28099999999999"/>
    <n v="2008.569"/>
    <d v="2025-02-15T00:00:00"/>
    <d v="2025-02-23T00:00:00"/>
    <s v="Ryan"/>
    <n v="15"/>
    <n v="2"/>
    <x v="0"/>
    <x v="2"/>
    <x v="0"/>
    <n v="7"/>
  </r>
  <r>
    <d v="2023-10-07T00:00:00"/>
    <x v="4"/>
    <x v="5"/>
    <n v="15"/>
    <n v="188.57"/>
    <x v="2"/>
    <x v="0"/>
    <n v="0.05"/>
    <x v="5"/>
    <n v="2687.122499999999"/>
    <x v="2"/>
    <s v="FREESHIP"/>
    <n v="1"/>
    <x v="1148"/>
    <s v="Alina Das"/>
    <n v="38.61"/>
    <n v="179.14149999999992"/>
    <n v="2648.5124999999989"/>
    <d v="2023-10-07T00:00:00"/>
    <d v="2023-10-09T00:00:00"/>
    <s v="Wendy"/>
    <n v="7"/>
    <n v="10"/>
    <x v="5"/>
    <x v="0"/>
    <x v="1"/>
    <n v="40"/>
  </r>
  <r>
    <d v="2023-08-08T00:00:00"/>
    <x v="4"/>
    <x v="1"/>
    <n v="8"/>
    <n v="200.74"/>
    <x v="1"/>
    <x v="0"/>
    <n v="0"/>
    <x v="4"/>
    <n v="1605.92"/>
    <x v="1"/>
    <s v="SAVE10"/>
    <n v="1"/>
    <x v="1149"/>
    <s v="Zoya Hussain"/>
    <n v="30.7"/>
    <n v="200.74"/>
    <n v="1575.22"/>
    <d v="2023-08-08T00:00:00"/>
    <d v="2023-08-10T00:00:00"/>
    <s v="Wendy"/>
    <n v="8"/>
    <n v="8"/>
    <x v="10"/>
    <x v="0"/>
    <x v="3"/>
    <n v="32"/>
  </r>
  <r>
    <d v="2023-08-21T00:00:00"/>
    <x v="0"/>
    <x v="0"/>
    <n v="3"/>
    <n v="142.09"/>
    <x v="2"/>
    <x v="0"/>
    <n v="0.15"/>
    <x v="2"/>
    <n v="362.3295"/>
    <x v="1"/>
    <s v="WINTER15"/>
    <n v="0"/>
    <x v="1150"/>
    <s v="Deepak Mehta"/>
    <n v="26.04"/>
    <n v="120.7765"/>
    <n v="336.28949999999998"/>
    <d v="2023-08-21T00:00:00"/>
    <d v="2023-08-27T00:00:00"/>
    <s v="Eric"/>
    <n v="21"/>
    <n v="8"/>
    <x v="10"/>
    <x v="0"/>
    <x v="3"/>
    <n v="34"/>
  </r>
  <r>
    <d v="2024-07-07T00:00:00"/>
    <x v="2"/>
    <x v="5"/>
    <n v="15"/>
    <n v="576.12"/>
    <x v="3"/>
    <x v="1"/>
    <n v="0.1"/>
    <x v="1"/>
    <n v="7777.62"/>
    <x v="0"/>
    <s v="WINTER15"/>
    <n v="0"/>
    <x v="1151"/>
    <s v="Charu Arora"/>
    <n v="29.31"/>
    <n v="518.50800000000004"/>
    <n v="7748.3099999999995"/>
    <d v="2024-07-07T00:00:00"/>
    <d v="2024-07-11T00:00:00"/>
    <s v="Ryan"/>
    <n v="7"/>
    <n v="7"/>
    <x v="8"/>
    <x v="1"/>
    <x v="3"/>
    <n v="27"/>
  </r>
  <r>
    <d v="2025-01-17T00:00:00"/>
    <x v="1"/>
    <x v="2"/>
    <n v="9"/>
    <n v="96.97"/>
    <x v="3"/>
    <x v="1"/>
    <n v="0.15"/>
    <x v="5"/>
    <n v="741.82050000000004"/>
    <x v="2"/>
    <s v="WINTER15"/>
    <n v="1"/>
    <x v="1152"/>
    <s v="Trisha Tripathi"/>
    <n v="30.87"/>
    <n v="82.424500000000009"/>
    <n v="710.95050000000003"/>
    <d v="2025-01-17T00:00:00"/>
    <d v="2025-01-24T00:00:00"/>
    <s v="Sophie"/>
    <n v="17"/>
    <n v="1"/>
    <x v="4"/>
    <x v="2"/>
    <x v="0"/>
    <n v="3"/>
  </r>
  <r>
    <d v="2023-12-06T00:00:00"/>
    <x v="2"/>
    <x v="5"/>
    <n v="17"/>
    <n v="218.04"/>
    <x v="3"/>
    <x v="0"/>
    <n v="0.15"/>
    <x v="5"/>
    <n v="3150.6779999999999"/>
    <x v="4"/>
    <s v="nan"/>
    <n v="0"/>
    <x v="1153"/>
    <s v="Neel Shetty"/>
    <n v="16"/>
    <n v="185.334"/>
    <n v="3134.6779999999999"/>
    <d v="2023-12-06T00:00:00"/>
    <d v="2023-12-16T00:00:00"/>
    <s v="Ryan"/>
    <n v="6"/>
    <n v="12"/>
    <x v="1"/>
    <x v="0"/>
    <x v="1"/>
    <n v="49"/>
  </r>
  <r>
    <d v="2023-03-01T00:00:00"/>
    <x v="1"/>
    <x v="2"/>
    <n v="2"/>
    <n v="153.33000000000001"/>
    <x v="2"/>
    <x v="0"/>
    <n v="0.05"/>
    <x v="3"/>
    <n v="291.327"/>
    <x v="4"/>
    <s v="nan"/>
    <n v="0"/>
    <x v="1154"/>
    <s v="Pranav Shah"/>
    <n v="31.55"/>
    <n v="145.6635"/>
    <n v="259.77699999999999"/>
    <d v="2023-03-01T00:00:00"/>
    <d v="2023-03-04T00:00:00"/>
    <s v="Sophie"/>
    <n v="1"/>
    <n v="3"/>
    <x v="6"/>
    <x v="0"/>
    <x v="0"/>
    <n v="9"/>
  </r>
  <r>
    <d v="2025-02-11T00:00:00"/>
    <x v="2"/>
    <x v="6"/>
    <n v="8"/>
    <n v="316.12"/>
    <x v="0"/>
    <x v="0"/>
    <n v="0.1"/>
    <x v="4"/>
    <n v="2276.0639999999999"/>
    <x v="1"/>
    <s v="WINTER15"/>
    <n v="0"/>
    <x v="1155"/>
    <s v="Palak Bose"/>
    <n v="6.28"/>
    <n v="284.50799999999998"/>
    <n v="2269.7839999999997"/>
    <d v="2025-02-11T00:00:00"/>
    <d v="2025-02-15T00:00:00"/>
    <s v="Ryan"/>
    <n v="11"/>
    <n v="2"/>
    <x v="0"/>
    <x v="2"/>
    <x v="0"/>
    <n v="7"/>
  </r>
  <r>
    <d v="2023-06-20T00:00:00"/>
    <x v="3"/>
    <x v="6"/>
    <n v="13"/>
    <n v="153.57"/>
    <x v="0"/>
    <x v="0"/>
    <n v="0.05"/>
    <x v="3"/>
    <n v="1896.5895"/>
    <x v="1"/>
    <s v="nan"/>
    <n v="0"/>
    <x v="1156"/>
    <s v="Shruti Kaur"/>
    <n v="27.98"/>
    <n v="145.89150000000001"/>
    <n v="1868.6095"/>
    <d v="2023-06-20T00:00:00"/>
    <d v="2023-06-25T00:00:00"/>
    <s v="Cameron"/>
    <n v="20"/>
    <n v="6"/>
    <x v="3"/>
    <x v="0"/>
    <x v="2"/>
    <n v="25"/>
  </r>
  <r>
    <d v="2024-02-29T00:00:00"/>
    <x v="4"/>
    <x v="6"/>
    <n v="7"/>
    <n v="208.31"/>
    <x v="2"/>
    <x v="0"/>
    <n v="0.05"/>
    <x v="2"/>
    <n v="1385.2615000000001"/>
    <x v="0"/>
    <s v="SAVE10"/>
    <n v="0"/>
    <x v="1157"/>
    <s v="Raina Dubey"/>
    <n v="26.57"/>
    <n v="197.89450000000002"/>
    <n v="1358.6915000000001"/>
    <d v="2024-02-29T00:00:00"/>
    <d v="2024-03-03T00:00:00"/>
    <s v="Wendy"/>
    <n v="29"/>
    <n v="2"/>
    <x v="0"/>
    <x v="1"/>
    <x v="0"/>
    <n v="9"/>
  </r>
  <r>
    <d v="2025-06-30T00:00:00"/>
    <x v="2"/>
    <x v="3"/>
    <n v="2"/>
    <n v="160.96"/>
    <x v="2"/>
    <x v="0"/>
    <n v="0.1"/>
    <x v="0"/>
    <n v="289.72800000000001"/>
    <x v="1"/>
    <s v="WINTER15"/>
    <n v="0"/>
    <x v="1158"/>
    <s v="Abhishek Hegde"/>
    <n v="44.97"/>
    <n v="144.864"/>
    <n v="244.75800000000001"/>
    <d v="2025-06-30T00:00:00"/>
    <d v="2025-07-05T00:00:00"/>
    <s v="Ryan"/>
    <n v="30"/>
    <n v="6"/>
    <x v="3"/>
    <x v="2"/>
    <x v="2"/>
    <n v="27"/>
  </r>
  <r>
    <d v="2024-08-19T00:00:00"/>
    <x v="2"/>
    <x v="4"/>
    <n v="3"/>
    <n v="373.77"/>
    <x v="0"/>
    <x v="1"/>
    <n v="0.1"/>
    <x v="0"/>
    <n v="1009.179"/>
    <x v="4"/>
    <s v="WINTER15"/>
    <n v="1"/>
    <x v="1159"/>
    <s v="Kunal Pathan"/>
    <n v="17.62"/>
    <n v="336.39299999999997"/>
    <n v="991.55899999999997"/>
    <d v="2024-08-19T00:00:00"/>
    <d v="2024-08-25T00:00:00"/>
    <s v="Ryan"/>
    <n v="19"/>
    <n v="8"/>
    <x v="10"/>
    <x v="1"/>
    <x v="3"/>
    <n v="34"/>
  </r>
  <r>
    <d v="2024-01-15T00:00:00"/>
    <x v="3"/>
    <x v="6"/>
    <n v="20"/>
    <n v="200.7"/>
    <x v="3"/>
    <x v="1"/>
    <n v="0.1"/>
    <x v="1"/>
    <n v="3612.6"/>
    <x v="0"/>
    <s v="FREESHIP"/>
    <n v="0"/>
    <x v="1160"/>
    <s v="Avni Hussain"/>
    <n v="29.6"/>
    <n v="180.63"/>
    <n v="3583"/>
    <d v="2024-01-15T00:00:00"/>
    <d v="2024-01-19T00:00:00"/>
    <s v="Cameron"/>
    <n v="15"/>
    <n v="1"/>
    <x v="4"/>
    <x v="1"/>
    <x v="0"/>
    <n v="3"/>
  </r>
  <r>
    <d v="2024-08-08T00:00:00"/>
    <x v="3"/>
    <x v="2"/>
    <n v="14"/>
    <n v="115.77"/>
    <x v="0"/>
    <x v="0"/>
    <n v="0.15"/>
    <x v="2"/>
    <n v="1377.663"/>
    <x v="2"/>
    <s v="SAVE10"/>
    <n v="1"/>
    <x v="1161"/>
    <s v="Kunal Desai"/>
    <n v="20.12"/>
    <n v="98.404499999999999"/>
    <n v="1357.5430000000001"/>
    <d v="2024-08-08T00:00:00"/>
    <d v="2024-08-11T00:00:00"/>
    <s v="Cameron"/>
    <n v="8"/>
    <n v="8"/>
    <x v="10"/>
    <x v="1"/>
    <x v="3"/>
    <n v="32"/>
  </r>
  <r>
    <d v="2024-10-05T00:00:00"/>
    <x v="4"/>
    <x v="1"/>
    <n v="12"/>
    <n v="535.41"/>
    <x v="2"/>
    <x v="1"/>
    <n v="0.1"/>
    <x v="2"/>
    <n v="5782.4279999999999"/>
    <x v="1"/>
    <s v="nan"/>
    <n v="0"/>
    <x v="1162"/>
    <s v="Om Vora"/>
    <n v="27.82"/>
    <n v="481.86899999999997"/>
    <n v="5754.6080000000002"/>
    <d v="2024-10-05T00:00:00"/>
    <d v="2024-10-07T00:00:00"/>
    <s v="Wendy"/>
    <n v="5"/>
    <n v="10"/>
    <x v="5"/>
    <x v="1"/>
    <x v="1"/>
    <n v="40"/>
  </r>
  <r>
    <d v="2024-01-13T00:00:00"/>
    <x v="1"/>
    <x v="2"/>
    <n v="12"/>
    <n v="103.59"/>
    <x v="1"/>
    <x v="1"/>
    <n v="0.1"/>
    <x v="2"/>
    <n v="1118.7719999999999"/>
    <x v="3"/>
    <s v="FREESHIP"/>
    <n v="0"/>
    <x v="1163"/>
    <s v="Nazia Gupta"/>
    <n v="48.11"/>
    <n v="93.230999999999995"/>
    <n v="1070.662"/>
    <d v="2024-01-13T00:00:00"/>
    <d v="2024-01-21T00:00:00"/>
    <s v="Sophie"/>
    <n v="13"/>
    <n v="1"/>
    <x v="4"/>
    <x v="1"/>
    <x v="0"/>
    <n v="2"/>
  </r>
  <r>
    <d v="2023-03-29T00:00:00"/>
    <x v="4"/>
    <x v="0"/>
    <n v="18"/>
    <n v="176.32"/>
    <x v="0"/>
    <x v="0"/>
    <n v="0.05"/>
    <x v="4"/>
    <n v="3015.0720000000001"/>
    <x v="3"/>
    <s v="nan"/>
    <n v="0"/>
    <x v="1164"/>
    <s v="Sneha Ghosh"/>
    <n v="36.35"/>
    <n v="167.50400000000002"/>
    <n v="2978.7220000000002"/>
    <d v="2023-03-29T00:00:00"/>
    <d v="2023-04-04T00:00:00"/>
    <s v="Wendy"/>
    <n v="29"/>
    <n v="3"/>
    <x v="6"/>
    <x v="0"/>
    <x v="0"/>
    <n v="13"/>
  </r>
  <r>
    <d v="2023-10-19T00:00:00"/>
    <x v="2"/>
    <x v="6"/>
    <n v="5"/>
    <n v="112.44"/>
    <x v="3"/>
    <x v="1"/>
    <n v="0.1"/>
    <x v="5"/>
    <n v="505.98000000000008"/>
    <x v="2"/>
    <s v="nan"/>
    <n v="1"/>
    <x v="1165"/>
    <s v="Devansh Syed"/>
    <n v="7.46"/>
    <n v="101.19600000000001"/>
    <n v="498.5200000000001"/>
    <d v="2023-10-19T00:00:00"/>
    <d v="2023-10-23T00:00:00"/>
    <s v="Ryan"/>
    <n v="19"/>
    <n v="10"/>
    <x v="5"/>
    <x v="0"/>
    <x v="1"/>
    <n v="42"/>
  </r>
  <r>
    <d v="2023-10-23T00:00:00"/>
    <x v="4"/>
    <x v="3"/>
    <n v="20"/>
    <n v="19.3"/>
    <x v="2"/>
    <x v="0"/>
    <n v="0"/>
    <x v="5"/>
    <n v="386"/>
    <x v="3"/>
    <s v="SAVE10"/>
    <n v="0"/>
    <x v="1166"/>
    <s v="Zara Mathew"/>
    <n v="47.23"/>
    <n v="19.3"/>
    <n v="338.77"/>
    <d v="2023-10-23T00:00:00"/>
    <d v="2023-11-01T00:00:00"/>
    <s v="Wendy"/>
    <n v="23"/>
    <n v="10"/>
    <x v="5"/>
    <x v="0"/>
    <x v="1"/>
    <n v="43"/>
  </r>
  <r>
    <d v="2023-03-24T00:00:00"/>
    <x v="1"/>
    <x v="1"/>
    <n v="9"/>
    <n v="233.11"/>
    <x v="0"/>
    <x v="1"/>
    <n v="0.05"/>
    <x v="0"/>
    <n v="1993.0905"/>
    <x v="3"/>
    <s v="WINTER15"/>
    <n v="0"/>
    <x v="1167"/>
    <s v="Zoya Pathan"/>
    <n v="31.43"/>
    <n v="221.4545"/>
    <n v="1961.6605"/>
    <d v="2023-03-24T00:00:00"/>
    <d v="2023-03-28T00:00:00"/>
    <s v="Sophie"/>
    <n v="24"/>
    <n v="3"/>
    <x v="6"/>
    <x v="0"/>
    <x v="0"/>
    <n v="12"/>
  </r>
  <r>
    <d v="2024-08-09T00:00:00"/>
    <x v="4"/>
    <x v="6"/>
    <n v="17"/>
    <n v="66.48"/>
    <x v="2"/>
    <x v="0"/>
    <n v="0.15"/>
    <x v="0"/>
    <n v="960.63600000000008"/>
    <x v="1"/>
    <s v="WINTER15"/>
    <n v="1"/>
    <x v="1168"/>
    <s v="Simran Chaudhary"/>
    <n v="10.79"/>
    <n v="56.508000000000003"/>
    <n v="949.84600000000012"/>
    <d v="2024-08-09T00:00:00"/>
    <d v="2024-08-14T00:00:00"/>
    <s v="Wendy"/>
    <n v="9"/>
    <n v="8"/>
    <x v="10"/>
    <x v="1"/>
    <x v="3"/>
    <n v="32"/>
  </r>
  <r>
    <d v="2023-04-26T00:00:00"/>
    <x v="1"/>
    <x v="0"/>
    <n v="17"/>
    <n v="504.63"/>
    <x v="1"/>
    <x v="0"/>
    <n v="0.1"/>
    <x v="3"/>
    <n v="7720.838999999999"/>
    <x v="0"/>
    <s v="WINTER15"/>
    <n v="1"/>
    <x v="1169"/>
    <s v="Arjun Qureshi"/>
    <n v="48.33"/>
    <n v="454.16699999999992"/>
    <n v="7672.5089999999991"/>
    <d v="2023-04-26T00:00:00"/>
    <d v="2023-05-06T00:00:00"/>
    <s v="Sophie"/>
    <n v="26"/>
    <n v="4"/>
    <x v="7"/>
    <x v="0"/>
    <x v="2"/>
    <n v="17"/>
  </r>
  <r>
    <d v="2024-03-04T00:00:00"/>
    <x v="4"/>
    <x v="5"/>
    <n v="11"/>
    <n v="97.84"/>
    <x v="0"/>
    <x v="1"/>
    <n v="0.05"/>
    <x v="1"/>
    <n v="1022.428"/>
    <x v="3"/>
    <s v="SAVE10"/>
    <n v="1"/>
    <x v="1170"/>
    <s v="Kavya Tripathi"/>
    <n v="45.97"/>
    <n v="92.947999999999993"/>
    <n v="976.45799999999997"/>
    <d v="2024-03-04T00:00:00"/>
    <d v="2024-03-12T00:00:00"/>
    <s v="Wendy"/>
    <n v="4"/>
    <n v="3"/>
    <x v="6"/>
    <x v="1"/>
    <x v="0"/>
    <n v="10"/>
  </r>
  <r>
    <d v="2023-02-14T00:00:00"/>
    <x v="0"/>
    <x v="5"/>
    <n v="7"/>
    <n v="468.14"/>
    <x v="1"/>
    <x v="1"/>
    <n v="0.15"/>
    <x v="5"/>
    <n v="2785.433"/>
    <x v="4"/>
    <s v="SAVE10"/>
    <n v="0"/>
    <x v="1171"/>
    <s v="Avni Desai"/>
    <n v="47.56"/>
    <n v="397.91899999999998"/>
    <n v="2737.873"/>
    <d v="2023-02-14T00:00:00"/>
    <d v="2023-02-17T00:00:00"/>
    <s v="Eric"/>
    <n v="14"/>
    <n v="2"/>
    <x v="0"/>
    <x v="0"/>
    <x v="0"/>
    <n v="7"/>
  </r>
  <r>
    <d v="2023-04-28T00:00:00"/>
    <x v="4"/>
    <x v="5"/>
    <n v="20"/>
    <n v="476.69"/>
    <x v="0"/>
    <x v="0"/>
    <n v="0.05"/>
    <x v="5"/>
    <n v="9057.1099999999988"/>
    <x v="0"/>
    <s v="WINTER15"/>
    <n v="0"/>
    <x v="1172"/>
    <s v="Pooja Chawla"/>
    <n v="10.199999999999999"/>
    <n v="452.85549999999995"/>
    <n v="9046.909999999998"/>
    <d v="2023-04-28T00:00:00"/>
    <d v="2023-05-03T00:00:00"/>
    <s v="Wendy"/>
    <n v="28"/>
    <n v="4"/>
    <x v="7"/>
    <x v="0"/>
    <x v="2"/>
    <n v="17"/>
  </r>
  <r>
    <d v="2024-03-03T00:00:00"/>
    <x v="2"/>
    <x v="1"/>
    <n v="2"/>
    <n v="160.72999999999999"/>
    <x v="1"/>
    <x v="0"/>
    <n v="0.15"/>
    <x v="2"/>
    <n v="273.24099999999999"/>
    <x v="4"/>
    <s v="FREESHIP"/>
    <n v="0"/>
    <x v="1173"/>
    <s v="Varun Farooqui"/>
    <n v="20.18"/>
    <n v="136.62049999999999"/>
    <n v="253.06099999999998"/>
    <d v="2024-03-03T00:00:00"/>
    <d v="2024-03-11T00:00:00"/>
    <s v="Ryan"/>
    <n v="3"/>
    <n v="3"/>
    <x v="6"/>
    <x v="1"/>
    <x v="0"/>
    <n v="9"/>
  </r>
  <r>
    <d v="2024-09-04T00:00:00"/>
    <x v="4"/>
    <x v="5"/>
    <n v="9"/>
    <n v="228.98"/>
    <x v="3"/>
    <x v="1"/>
    <n v="0.15"/>
    <x v="2"/>
    <n v="1751.6969999999999"/>
    <x v="0"/>
    <s v="WINTER15"/>
    <n v="0"/>
    <x v="1174"/>
    <s v="Trisha George"/>
    <n v="45.79"/>
    <n v="194.63299999999998"/>
    <n v="1705.9069999999999"/>
    <d v="2024-09-04T00:00:00"/>
    <d v="2024-09-08T00:00:00"/>
    <s v="Wendy"/>
    <n v="4"/>
    <n v="9"/>
    <x v="11"/>
    <x v="1"/>
    <x v="3"/>
    <n v="36"/>
  </r>
  <r>
    <d v="2024-12-30T00:00:00"/>
    <x v="0"/>
    <x v="5"/>
    <n v="19"/>
    <n v="336.5"/>
    <x v="0"/>
    <x v="0"/>
    <n v="0"/>
    <x v="1"/>
    <n v="6393.5"/>
    <x v="0"/>
    <s v="WINTER15"/>
    <n v="0"/>
    <x v="1175"/>
    <s v="Kabir Joshi"/>
    <n v="27.43"/>
    <n v="336.5"/>
    <n v="6366.07"/>
    <d v="2024-12-30T00:00:00"/>
    <d v="2025-01-07T00:00:00"/>
    <s v="Eric"/>
    <n v="30"/>
    <n v="12"/>
    <x v="1"/>
    <x v="1"/>
    <x v="1"/>
    <n v="1"/>
  </r>
  <r>
    <d v="2024-02-10T00:00:00"/>
    <x v="0"/>
    <x v="6"/>
    <n v="18"/>
    <n v="411.59"/>
    <x v="1"/>
    <x v="0"/>
    <n v="0"/>
    <x v="5"/>
    <n v="7408.62"/>
    <x v="2"/>
    <s v="WINTER15"/>
    <n v="0"/>
    <x v="1176"/>
    <s v="Palak Gupta"/>
    <n v="9.6199999999999992"/>
    <n v="411.59"/>
    <n v="7399"/>
    <d v="2024-02-10T00:00:00"/>
    <d v="2024-02-16T00:00:00"/>
    <s v="Eric"/>
    <n v="10"/>
    <n v="2"/>
    <x v="0"/>
    <x v="1"/>
    <x v="0"/>
    <n v="6"/>
  </r>
  <r>
    <d v="2023-09-07T00:00:00"/>
    <x v="3"/>
    <x v="6"/>
    <n v="1"/>
    <n v="431.49"/>
    <x v="2"/>
    <x v="0"/>
    <n v="0.15"/>
    <x v="1"/>
    <n v="366.76650000000001"/>
    <x v="4"/>
    <s v="SAVE10"/>
    <n v="0"/>
    <x v="1177"/>
    <s v="Pooja Singh"/>
    <n v="17.53"/>
    <n v="366.76650000000001"/>
    <n v="349.23649999999998"/>
    <d v="2023-09-07T00:00:00"/>
    <d v="2023-09-15T00:00:00"/>
    <s v="Cameron"/>
    <n v="7"/>
    <n v="9"/>
    <x v="11"/>
    <x v="0"/>
    <x v="3"/>
    <n v="36"/>
  </r>
  <r>
    <d v="2023-08-11T00:00:00"/>
    <x v="0"/>
    <x v="0"/>
    <n v="18"/>
    <n v="495.39"/>
    <x v="1"/>
    <x v="0"/>
    <n v="0"/>
    <x v="3"/>
    <n v="8917.02"/>
    <x v="1"/>
    <s v="SAVE10"/>
    <n v="0"/>
    <x v="1178"/>
    <s v="Dhruv Menon"/>
    <n v="14.88"/>
    <n v="495.39000000000004"/>
    <n v="8902.1400000000012"/>
    <d v="2023-08-11T00:00:00"/>
    <d v="2023-08-15T00:00:00"/>
    <s v="Eric"/>
    <n v="11"/>
    <n v="8"/>
    <x v="10"/>
    <x v="0"/>
    <x v="3"/>
    <n v="32"/>
  </r>
  <r>
    <d v="2023-03-12T00:00:00"/>
    <x v="4"/>
    <x v="1"/>
    <n v="4"/>
    <n v="149.30000000000001"/>
    <x v="1"/>
    <x v="0"/>
    <n v="0.1"/>
    <x v="4"/>
    <n v="537.48"/>
    <x v="3"/>
    <s v="FREESHIP"/>
    <n v="0"/>
    <x v="1179"/>
    <s v="Harsh Banerjee"/>
    <n v="47.84"/>
    <n v="134.37"/>
    <n v="489.64"/>
    <d v="2023-03-12T00:00:00"/>
    <d v="2023-03-16T00:00:00"/>
    <s v="Wendy"/>
    <n v="12"/>
    <n v="3"/>
    <x v="6"/>
    <x v="0"/>
    <x v="0"/>
    <n v="10"/>
  </r>
  <r>
    <d v="2023-03-29T00:00:00"/>
    <x v="3"/>
    <x v="2"/>
    <n v="18"/>
    <n v="179.97"/>
    <x v="2"/>
    <x v="0"/>
    <n v="0.1"/>
    <x v="0"/>
    <n v="2915.5140000000001"/>
    <x v="4"/>
    <s v="SAVE10"/>
    <n v="0"/>
    <x v="1180"/>
    <s v="Ankit Yadav"/>
    <n v="22.15"/>
    <n v="161.97300000000001"/>
    <n v="2893.364"/>
    <d v="2023-03-29T00:00:00"/>
    <d v="2023-03-31T00:00:00"/>
    <s v="Cameron"/>
    <n v="29"/>
    <n v="3"/>
    <x v="6"/>
    <x v="0"/>
    <x v="0"/>
    <n v="13"/>
  </r>
  <r>
    <d v="2025-02-17T00:00:00"/>
    <x v="1"/>
    <x v="3"/>
    <n v="11"/>
    <n v="381.14"/>
    <x v="0"/>
    <x v="1"/>
    <n v="0.05"/>
    <x v="2"/>
    <n v="3982.913"/>
    <x v="1"/>
    <s v="FREESHIP"/>
    <n v="0"/>
    <x v="1181"/>
    <s v="Raina Mathew"/>
    <n v="32.83"/>
    <n v="362.08300000000003"/>
    <n v="3950.0830000000001"/>
    <d v="2025-02-17T00:00:00"/>
    <d v="2025-02-27T00:00:00"/>
    <s v="Sophie"/>
    <n v="17"/>
    <n v="2"/>
    <x v="0"/>
    <x v="2"/>
    <x v="0"/>
    <n v="8"/>
  </r>
  <r>
    <d v="2024-01-07T00:00:00"/>
    <x v="2"/>
    <x v="3"/>
    <n v="5"/>
    <n v="454.62"/>
    <x v="2"/>
    <x v="0"/>
    <n v="0.05"/>
    <x v="4"/>
    <n v="2159.4450000000002"/>
    <x v="1"/>
    <s v="nan"/>
    <n v="0"/>
    <x v="1182"/>
    <s v="Nikhil Hegde"/>
    <n v="10.19"/>
    <n v="431.88900000000001"/>
    <n v="2149.2550000000001"/>
    <d v="2024-01-07T00:00:00"/>
    <d v="2024-01-15T00:00:00"/>
    <s v="Ryan"/>
    <n v="7"/>
    <n v="1"/>
    <x v="4"/>
    <x v="1"/>
    <x v="0"/>
    <n v="1"/>
  </r>
  <r>
    <d v="2023-01-14T00:00:00"/>
    <x v="0"/>
    <x v="1"/>
    <n v="17"/>
    <n v="226.56"/>
    <x v="1"/>
    <x v="0"/>
    <n v="0.1"/>
    <x v="4"/>
    <n v="3466.3679999999999"/>
    <x v="1"/>
    <s v="WINTER15"/>
    <n v="1"/>
    <x v="1183"/>
    <s v="Deepak Rao"/>
    <n v="36.89"/>
    <n v="203.904"/>
    <n v="3429.4780000000001"/>
    <d v="2023-01-14T00:00:00"/>
    <d v="2023-01-20T00:00:00"/>
    <s v="Eric"/>
    <n v="14"/>
    <n v="1"/>
    <x v="4"/>
    <x v="0"/>
    <x v="0"/>
    <n v="2"/>
  </r>
  <r>
    <d v="2024-01-03T00:00:00"/>
    <x v="4"/>
    <x v="0"/>
    <n v="2"/>
    <n v="132.91"/>
    <x v="1"/>
    <x v="0"/>
    <n v="0"/>
    <x v="5"/>
    <n v="265.82"/>
    <x v="3"/>
    <s v="WINTER15"/>
    <n v="0"/>
    <x v="1184"/>
    <s v="Ira Naidu"/>
    <n v="7.76"/>
    <n v="132.91"/>
    <n v="258.06"/>
    <d v="2024-01-03T00:00:00"/>
    <d v="2024-01-12T00:00:00"/>
    <s v="Wendy"/>
    <n v="3"/>
    <n v="1"/>
    <x v="4"/>
    <x v="1"/>
    <x v="0"/>
    <n v="1"/>
  </r>
  <r>
    <d v="2023-08-25T00:00:00"/>
    <x v="1"/>
    <x v="2"/>
    <n v="2"/>
    <n v="35.69"/>
    <x v="2"/>
    <x v="1"/>
    <n v="0"/>
    <x v="0"/>
    <n v="71.38"/>
    <x v="3"/>
    <s v="FREESHIP"/>
    <n v="0"/>
    <x v="1185"/>
    <s v="Arjun Das"/>
    <n v="39.89"/>
    <n v="35.69"/>
    <n v="31.489999999999995"/>
    <d v="2023-08-25T00:00:00"/>
    <d v="2023-08-28T00:00:00"/>
    <s v="Sophie"/>
    <n v="25"/>
    <n v="8"/>
    <x v="10"/>
    <x v="0"/>
    <x v="3"/>
    <n v="34"/>
  </r>
  <r>
    <d v="2025-05-16T00:00:00"/>
    <x v="2"/>
    <x v="2"/>
    <n v="6"/>
    <n v="451.93"/>
    <x v="1"/>
    <x v="0"/>
    <n v="0.15"/>
    <x v="0"/>
    <n v="2304.8429999999998"/>
    <x v="4"/>
    <s v="WINTER15"/>
    <n v="1"/>
    <x v="1186"/>
    <s v="Tanishq Arora"/>
    <n v="49.37"/>
    <n v="384.14049999999997"/>
    <n v="2255.473"/>
    <d v="2025-05-16T00:00:00"/>
    <d v="2025-05-25T00:00:00"/>
    <s v="Ryan"/>
    <n v="16"/>
    <n v="5"/>
    <x v="2"/>
    <x v="2"/>
    <x v="2"/>
    <n v="20"/>
  </r>
  <r>
    <d v="2023-12-30T00:00:00"/>
    <x v="1"/>
    <x v="0"/>
    <n v="7"/>
    <n v="270.47000000000003"/>
    <x v="3"/>
    <x v="0"/>
    <n v="0.05"/>
    <x v="4"/>
    <n v="1798.6255000000001"/>
    <x v="2"/>
    <s v="WINTER15"/>
    <n v="1"/>
    <x v="1187"/>
    <s v="Gaurav Mirza"/>
    <n v="41.56"/>
    <n v="256.94650000000001"/>
    <n v="1757.0655000000002"/>
    <d v="2023-12-30T00:00:00"/>
    <d v="2024-01-03T00:00:00"/>
    <s v="Sophie"/>
    <n v="30"/>
    <n v="12"/>
    <x v="1"/>
    <x v="0"/>
    <x v="1"/>
    <n v="52"/>
  </r>
  <r>
    <d v="2024-10-06T00:00:00"/>
    <x v="1"/>
    <x v="1"/>
    <n v="13"/>
    <n v="55.46"/>
    <x v="1"/>
    <x v="1"/>
    <n v="0.05"/>
    <x v="5"/>
    <n v="684.93100000000004"/>
    <x v="2"/>
    <s v="FREESHIP"/>
    <n v="1"/>
    <x v="1188"/>
    <s v="Kabir Srivastava"/>
    <n v="18.010000000000002"/>
    <n v="52.687000000000005"/>
    <n v="666.92100000000005"/>
    <d v="2024-10-06T00:00:00"/>
    <d v="2024-10-09T00:00:00"/>
    <s v="Sophie"/>
    <n v="6"/>
    <n v="10"/>
    <x v="5"/>
    <x v="1"/>
    <x v="1"/>
    <n v="40"/>
  </r>
  <r>
    <d v="2023-03-12T00:00:00"/>
    <x v="3"/>
    <x v="5"/>
    <n v="17"/>
    <n v="515.12"/>
    <x v="3"/>
    <x v="0"/>
    <n v="0.15"/>
    <x v="5"/>
    <n v="7443.4840000000004"/>
    <x v="2"/>
    <s v="SAVE10"/>
    <n v="1"/>
    <x v="1189"/>
    <s v="Nazia Naidu"/>
    <n v="32.74"/>
    <n v="437.85200000000003"/>
    <n v="7410.7440000000006"/>
    <d v="2023-03-12T00:00:00"/>
    <d v="2023-03-22T00:00:00"/>
    <s v="Cameron"/>
    <n v="12"/>
    <n v="3"/>
    <x v="6"/>
    <x v="0"/>
    <x v="0"/>
    <n v="10"/>
  </r>
  <r>
    <d v="2024-04-06T00:00:00"/>
    <x v="2"/>
    <x v="1"/>
    <n v="1"/>
    <n v="256.63"/>
    <x v="3"/>
    <x v="0"/>
    <n v="0"/>
    <x v="3"/>
    <n v="256.63"/>
    <x v="1"/>
    <s v="FREESHIP"/>
    <n v="0"/>
    <x v="1190"/>
    <s v="Zoya Bhatia"/>
    <n v="12.97"/>
    <n v="256.63"/>
    <n v="243.66"/>
    <d v="2024-04-06T00:00:00"/>
    <d v="2024-04-08T00:00:00"/>
    <s v="Ryan"/>
    <n v="6"/>
    <n v="4"/>
    <x v="7"/>
    <x v="1"/>
    <x v="2"/>
    <n v="14"/>
  </r>
  <r>
    <d v="2023-01-20T00:00:00"/>
    <x v="2"/>
    <x v="5"/>
    <n v="4"/>
    <n v="423.99"/>
    <x v="0"/>
    <x v="1"/>
    <n v="0.05"/>
    <x v="2"/>
    <n v="1611.162"/>
    <x v="0"/>
    <s v="FREESHIP"/>
    <n v="0"/>
    <x v="1191"/>
    <s v="Krish Solanki"/>
    <n v="20.05"/>
    <n v="402.79050000000001"/>
    <n v="1591.1120000000001"/>
    <d v="2023-01-20T00:00:00"/>
    <d v="2023-01-25T00:00:00"/>
    <s v="Ryan"/>
    <n v="20"/>
    <n v="1"/>
    <x v="4"/>
    <x v="0"/>
    <x v="0"/>
    <n v="3"/>
  </r>
  <r>
    <d v="2024-07-08T00:00:00"/>
    <x v="4"/>
    <x v="0"/>
    <n v="15"/>
    <n v="77.89"/>
    <x v="0"/>
    <x v="0"/>
    <n v="0.05"/>
    <x v="4"/>
    <n v="1109.9324999999999"/>
    <x v="2"/>
    <s v="nan"/>
    <n v="0"/>
    <x v="1192"/>
    <s v="Bhavna Yadav"/>
    <n v="20.87"/>
    <n v="73.995499999999993"/>
    <n v="1089.0625"/>
    <d v="2024-07-08T00:00:00"/>
    <d v="2024-07-12T00:00:00"/>
    <s v="Wendy"/>
    <n v="8"/>
    <n v="7"/>
    <x v="8"/>
    <x v="1"/>
    <x v="3"/>
    <n v="28"/>
  </r>
  <r>
    <d v="2023-10-06T00:00:00"/>
    <x v="2"/>
    <x v="1"/>
    <n v="12"/>
    <n v="11.95"/>
    <x v="1"/>
    <x v="1"/>
    <n v="0.05"/>
    <x v="3"/>
    <n v="136.22999999999999"/>
    <x v="0"/>
    <s v="nan"/>
    <n v="0"/>
    <x v="1193"/>
    <s v="Palak Desai"/>
    <n v="26.66"/>
    <n v="11.352499999999999"/>
    <n v="109.57"/>
    <d v="2023-10-06T00:00:00"/>
    <d v="2023-10-16T00:00:00"/>
    <s v="Ryan"/>
    <n v="6"/>
    <n v="10"/>
    <x v="5"/>
    <x v="0"/>
    <x v="1"/>
    <n v="40"/>
  </r>
  <r>
    <d v="2023-09-11T00:00:00"/>
    <x v="0"/>
    <x v="2"/>
    <n v="7"/>
    <n v="67.05"/>
    <x v="3"/>
    <x v="0"/>
    <n v="0.1"/>
    <x v="3"/>
    <n v="422.41500000000002"/>
    <x v="4"/>
    <s v="FREESHIP"/>
    <n v="0"/>
    <x v="1194"/>
    <s v="Meera Chopra"/>
    <n v="36.67"/>
    <n v="60.345000000000006"/>
    <n v="385.745"/>
    <d v="2023-09-11T00:00:00"/>
    <d v="2023-09-18T00:00:00"/>
    <s v="Eric"/>
    <n v="11"/>
    <n v="9"/>
    <x v="11"/>
    <x v="0"/>
    <x v="3"/>
    <n v="37"/>
  </r>
  <r>
    <d v="2023-09-14T00:00:00"/>
    <x v="2"/>
    <x v="1"/>
    <n v="19"/>
    <n v="118.15"/>
    <x v="2"/>
    <x v="1"/>
    <n v="0.15"/>
    <x v="2"/>
    <n v="1908.1224999999999"/>
    <x v="4"/>
    <s v="SAVE10"/>
    <n v="0"/>
    <x v="1195"/>
    <s v="Isha Bose"/>
    <n v="12.95"/>
    <n v="100.42749999999999"/>
    <n v="1895.1724999999999"/>
    <d v="2023-09-14T00:00:00"/>
    <d v="2023-09-19T00:00:00"/>
    <s v="Ryan"/>
    <n v="14"/>
    <n v="9"/>
    <x v="11"/>
    <x v="0"/>
    <x v="3"/>
    <n v="37"/>
  </r>
  <r>
    <d v="2023-11-06T00:00:00"/>
    <x v="2"/>
    <x v="6"/>
    <n v="16"/>
    <n v="114.47"/>
    <x v="0"/>
    <x v="0"/>
    <n v="0.15"/>
    <x v="3"/>
    <n v="1556.7919999999999"/>
    <x v="0"/>
    <s v="nan"/>
    <n v="0"/>
    <x v="1196"/>
    <s v="Manya Bhatia"/>
    <n v="43.85"/>
    <n v="97.299499999999995"/>
    <n v="1512.942"/>
    <d v="2023-11-06T00:00:00"/>
    <d v="2023-11-11T00:00:00"/>
    <s v="Ryan"/>
    <n v="6"/>
    <n v="11"/>
    <x v="9"/>
    <x v="0"/>
    <x v="1"/>
    <n v="45"/>
  </r>
  <r>
    <d v="2024-06-23T00:00:00"/>
    <x v="2"/>
    <x v="4"/>
    <n v="9"/>
    <n v="36.21"/>
    <x v="2"/>
    <x v="0"/>
    <n v="0.15"/>
    <x v="5"/>
    <n v="277.00650000000002"/>
    <x v="2"/>
    <s v="FREESHIP"/>
    <n v="0"/>
    <x v="1197"/>
    <s v="Deepak Rawat"/>
    <n v="6.71"/>
    <n v="30.778500000000001"/>
    <n v="270.29650000000004"/>
    <d v="2024-06-23T00:00:00"/>
    <d v="2024-06-30T00:00:00"/>
    <s v="Ryan"/>
    <n v="23"/>
    <n v="6"/>
    <x v="3"/>
    <x v="1"/>
    <x v="2"/>
    <n v="25"/>
  </r>
  <r>
    <d v="2023-03-30T00:00:00"/>
    <x v="4"/>
    <x v="6"/>
    <n v="10"/>
    <n v="52.58"/>
    <x v="0"/>
    <x v="0"/>
    <n v="0.1"/>
    <x v="0"/>
    <n v="473.22"/>
    <x v="4"/>
    <s v="WINTER15"/>
    <n v="0"/>
    <x v="1198"/>
    <s v="Riya Syed"/>
    <n v="14.01"/>
    <n v="47.322000000000003"/>
    <n v="459.21000000000004"/>
    <d v="2023-03-30T00:00:00"/>
    <d v="2023-04-09T00:00:00"/>
    <s v="Wendy"/>
    <n v="30"/>
    <n v="3"/>
    <x v="6"/>
    <x v="0"/>
    <x v="0"/>
    <n v="13"/>
  </r>
  <r>
    <d v="2024-10-05T00:00:00"/>
    <x v="0"/>
    <x v="1"/>
    <n v="6"/>
    <n v="272.26"/>
    <x v="1"/>
    <x v="1"/>
    <n v="0.1"/>
    <x v="3"/>
    <n v="1470.204"/>
    <x v="3"/>
    <s v="SAVE10"/>
    <n v="0"/>
    <x v="1199"/>
    <s v="Sara Srivastava"/>
    <n v="43.67"/>
    <n v="245.03399999999999"/>
    <n v="1426.5339999999999"/>
    <d v="2024-10-05T00:00:00"/>
    <d v="2024-10-15T00:00:00"/>
    <s v="Eric"/>
    <n v="5"/>
    <n v="10"/>
    <x v="5"/>
    <x v="1"/>
    <x v="1"/>
    <n v="40"/>
  </r>
  <r>
    <d v="2023-03-19T00:00:00"/>
    <x v="3"/>
    <x v="3"/>
    <n v="10"/>
    <n v="124.97"/>
    <x v="3"/>
    <x v="1"/>
    <n v="0.15"/>
    <x v="0"/>
    <n v="1062.2449999999999"/>
    <x v="1"/>
    <s v="WINTER15"/>
    <n v="1"/>
    <x v="1200"/>
    <s v="Raina Rao"/>
    <n v="40.229999999999997"/>
    <n v="106.22449999999999"/>
    <n v="1022.0149999999999"/>
    <d v="2023-03-19T00:00:00"/>
    <d v="2023-03-29T00:00:00"/>
    <s v="Cameron"/>
    <n v="19"/>
    <n v="3"/>
    <x v="6"/>
    <x v="0"/>
    <x v="0"/>
    <n v="11"/>
  </r>
  <r>
    <d v="2025-03-17T00:00:00"/>
    <x v="2"/>
    <x v="1"/>
    <n v="9"/>
    <n v="228.62"/>
    <x v="2"/>
    <x v="1"/>
    <n v="0.05"/>
    <x v="0"/>
    <n v="1954.701"/>
    <x v="1"/>
    <s v="SAVE10"/>
    <n v="0"/>
    <x v="1201"/>
    <s v="Gaurav Malik"/>
    <n v="31.43"/>
    <n v="217.18899999999999"/>
    <n v="1923.271"/>
    <d v="2025-03-17T00:00:00"/>
    <d v="2025-03-21T00:00:00"/>
    <s v="Ryan"/>
    <n v="17"/>
    <n v="3"/>
    <x v="6"/>
    <x v="2"/>
    <x v="0"/>
    <n v="12"/>
  </r>
  <r>
    <d v="2024-12-18T00:00:00"/>
    <x v="3"/>
    <x v="0"/>
    <n v="20"/>
    <n v="282.91000000000003"/>
    <x v="1"/>
    <x v="0"/>
    <n v="0.15"/>
    <x v="2"/>
    <n v="4809.47"/>
    <x v="3"/>
    <s v="FREESHIP"/>
    <n v="0"/>
    <x v="1202"/>
    <s v="Raj Vora"/>
    <n v="8.19"/>
    <n v="240.4735"/>
    <n v="4801.2800000000007"/>
    <d v="2024-12-18T00:00:00"/>
    <d v="2024-12-28T00:00:00"/>
    <s v="Cameron"/>
    <n v="18"/>
    <n v="12"/>
    <x v="1"/>
    <x v="1"/>
    <x v="1"/>
    <n v="51"/>
  </r>
  <r>
    <d v="2025-01-06T00:00:00"/>
    <x v="4"/>
    <x v="5"/>
    <n v="17"/>
    <n v="129.62"/>
    <x v="3"/>
    <x v="1"/>
    <n v="0.15"/>
    <x v="0"/>
    <n v="1873.009"/>
    <x v="0"/>
    <s v="FREESHIP"/>
    <n v="0"/>
    <x v="1203"/>
    <s v="Gaurav Roy"/>
    <n v="24.28"/>
    <n v="110.17700000000001"/>
    <n v="1848.729"/>
    <d v="2025-01-06T00:00:00"/>
    <d v="2025-01-08T00:00:00"/>
    <s v="Wendy"/>
    <n v="6"/>
    <n v="1"/>
    <x v="4"/>
    <x v="2"/>
    <x v="0"/>
    <n v="2"/>
  </r>
  <r>
    <d v="2025-01-14T00:00:00"/>
    <x v="3"/>
    <x v="4"/>
    <n v="6"/>
    <n v="162.35"/>
    <x v="0"/>
    <x v="0"/>
    <n v="0.05"/>
    <x v="0"/>
    <n v="925.39499999999987"/>
    <x v="2"/>
    <s v="SAVE10"/>
    <n v="1"/>
    <x v="1204"/>
    <s v="Meera Rao"/>
    <n v="19.18"/>
    <n v="154.23249999999999"/>
    <n v="906.21499999999992"/>
    <d v="2025-01-14T00:00:00"/>
    <d v="2025-01-20T00:00:00"/>
    <s v="Cameron"/>
    <n v="14"/>
    <n v="1"/>
    <x v="4"/>
    <x v="2"/>
    <x v="0"/>
    <n v="3"/>
  </r>
  <r>
    <d v="2023-01-26T00:00:00"/>
    <x v="1"/>
    <x v="6"/>
    <n v="14"/>
    <n v="209.82"/>
    <x v="0"/>
    <x v="0"/>
    <n v="0"/>
    <x v="0"/>
    <n v="2937.48"/>
    <x v="4"/>
    <s v="SAVE10"/>
    <n v="0"/>
    <x v="1205"/>
    <s v="Kabir George"/>
    <n v="36.11"/>
    <n v="209.82"/>
    <n v="2901.37"/>
    <d v="2023-01-26T00:00:00"/>
    <d v="2023-01-30T00:00:00"/>
    <s v="Sophie"/>
    <n v="26"/>
    <n v="1"/>
    <x v="4"/>
    <x v="0"/>
    <x v="0"/>
    <n v="4"/>
  </r>
  <r>
    <d v="2024-08-04T00:00:00"/>
    <x v="2"/>
    <x v="0"/>
    <n v="16"/>
    <n v="293.44"/>
    <x v="3"/>
    <x v="0"/>
    <n v="0.05"/>
    <x v="4"/>
    <n v="4460.2879999999996"/>
    <x v="1"/>
    <s v="SAVE10"/>
    <n v="0"/>
    <x v="1206"/>
    <s v="Rukhsar Kapoor"/>
    <n v="42.56"/>
    <n v="278.76799999999997"/>
    <n v="4417.7279999999992"/>
    <d v="2024-08-04T00:00:00"/>
    <d v="2024-08-14T00:00:00"/>
    <s v="Ryan"/>
    <n v="4"/>
    <n v="8"/>
    <x v="10"/>
    <x v="1"/>
    <x v="3"/>
    <n v="31"/>
  </r>
  <r>
    <d v="2024-02-13T00:00:00"/>
    <x v="2"/>
    <x v="1"/>
    <n v="11"/>
    <n v="185.52"/>
    <x v="3"/>
    <x v="0"/>
    <n v="0.15"/>
    <x v="4"/>
    <n v="1734.6120000000001"/>
    <x v="2"/>
    <s v="WINTER15"/>
    <n v="0"/>
    <x v="1207"/>
    <s v="Om Patel"/>
    <n v="38.53"/>
    <n v="157.69200000000001"/>
    <n v="1696.0820000000001"/>
    <d v="2024-02-13T00:00:00"/>
    <d v="2024-02-16T00:00:00"/>
    <s v="Ryan"/>
    <n v="13"/>
    <n v="2"/>
    <x v="0"/>
    <x v="1"/>
    <x v="0"/>
    <n v="7"/>
  </r>
  <r>
    <d v="2023-02-11T00:00:00"/>
    <x v="3"/>
    <x v="2"/>
    <n v="18"/>
    <n v="268.38"/>
    <x v="3"/>
    <x v="0"/>
    <n v="0.15"/>
    <x v="1"/>
    <n v="4106.2139999999999"/>
    <x v="4"/>
    <s v="FREESHIP"/>
    <n v="0"/>
    <x v="1208"/>
    <s v="Gaurav Shah"/>
    <n v="48.38"/>
    <n v="228.12299999999999"/>
    <n v="4057.8339999999998"/>
    <d v="2023-02-11T00:00:00"/>
    <d v="2023-02-14T00:00:00"/>
    <s v="Cameron"/>
    <n v="11"/>
    <n v="2"/>
    <x v="0"/>
    <x v="0"/>
    <x v="0"/>
    <n v="6"/>
  </r>
  <r>
    <d v="2024-06-17T00:00:00"/>
    <x v="0"/>
    <x v="6"/>
    <n v="18"/>
    <n v="547.04999999999995"/>
    <x v="2"/>
    <x v="0"/>
    <n v="0.1"/>
    <x v="3"/>
    <n v="8862.2099999999991"/>
    <x v="4"/>
    <s v="FREESHIP"/>
    <n v="0"/>
    <x v="1209"/>
    <s v="Manish Srivastava"/>
    <n v="10.99"/>
    <n v="492.34499999999997"/>
    <n v="8851.2199999999993"/>
    <d v="2024-06-17T00:00:00"/>
    <d v="2024-06-22T00:00:00"/>
    <s v="Eric"/>
    <n v="17"/>
    <n v="6"/>
    <x v="3"/>
    <x v="1"/>
    <x v="2"/>
    <n v="25"/>
  </r>
  <r>
    <d v="2024-06-06T00:00:00"/>
    <x v="1"/>
    <x v="0"/>
    <n v="1"/>
    <n v="354.21"/>
    <x v="1"/>
    <x v="0"/>
    <n v="0.15"/>
    <x v="3"/>
    <n v="301.07850000000002"/>
    <x v="0"/>
    <s v="nan"/>
    <n v="0"/>
    <x v="1210"/>
    <s v="Noor Pathan"/>
    <n v="26.16"/>
    <n v="301.07850000000002"/>
    <n v="274.91849999999999"/>
    <d v="2024-06-06T00:00:00"/>
    <d v="2024-06-12T00:00:00"/>
    <s v="Sophie"/>
    <n v="6"/>
    <n v="6"/>
    <x v="3"/>
    <x v="1"/>
    <x v="2"/>
    <n v="23"/>
  </r>
  <r>
    <d v="2023-11-26T00:00:00"/>
    <x v="1"/>
    <x v="3"/>
    <n v="18"/>
    <n v="250.93"/>
    <x v="2"/>
    <x v="0"/>
    <n v="0.05"/>
    <x v="5"/>
    <n v="4290.9029999999993"/>
    <x v="1"/>
    <s v="nan"/>
    <n v="0"/>
    <x v="1211"/>
    <s v="Pranav Shetty"/>
    <n v="47.67"/>
    <n v="238.38349999999997"/>
    <n v="4243.2329999999993"/>
    <d v="2023-11-26T00:00:00"/>
    <d v="2023-12-02T00:00:00"/>
    <s v="Sophie"/>
    <n v="26"/>
    <n v="11"/>
    <x v="9"/>
    <x v="0"/>
    <x v="1"/>
    <n v="47"/>
  </r>
  <r>
    <d v="2024-04-07T00:00:00"/>
    <x v="4"/>
    <x v="6"/>
    <n v="18"/>
    <n v="587.25"/>
    <x v="2"/>
    <x v="0"/>
    <n v="0.15"/>
    <x v="3"/>
    <n v="8984.9249999999993"/>
    <x v="0"/>
    <s v="nan"/>
    <n v="0"/>
    <x v="1212"/>
    <s v="Gaurav Pai"/>
    <n v="42.15"/>
    <n v="499.16249999999997"/>
    <n v="8942.7749999999996"/>
    <d v="2024-04-07T00:00:00"/>
    <d v="2024-04-09T00:00:00"/>
    <s v="Wendy"/>
    <n v="7"/>
    <n v="4"/>
    <x v="7"/>
    <x v="1"/>
    <x v="2"/>
    <n v="14"/>
  </r>
  <r>
    <d v="2023-02-03T00:00:00"/>
    <x v="4"/>
    <x v="2"/>
    <n v="2"/>
    <n v="438.06"/>
    <x v="0"/>
    <x v="1"/>
    <n v="0"/>
    <x v="2"/>
    <n v="876.12"/>
    <x v="0"/>
    <s v="FREESHIP"/>
    <n v="1"/>
    <x v="1213"/>
    <s v="Trisha Khan"/>
    <n v="12.9"/>
    <n v="438.06"/>
    <n v="863.22"/>
    <d v="2023-02-03T00:00:00"/>
    <d v="2023-02-09T00:00:00"/>
    <s v="Wendy"/>
    <n v="3"/>
    <n v="2"/>
    <x v="0"/>
    <x v="0"/>
    <x v="0"/>
    <n v="5"/>
  </r>
  <r>
    <d v="2024-11-25T00:00:00"/>
    <x v="0"/>
    <x v="3"/>
    <n v="14"/>
    <n v="6.1"/>
    <x v="2"/>
    <x v="0"/>
    <n v="0.15"/>
    <x v="3"/>
    <n v="72.589999999999989"/>
    <x v="0"/>
    <s v="FREESHIP"/>
    <n v="1"/>
    <x v="1214"/>
    <s v="Devansh Tripathi"/>
    <n v="10.18"/>
    <n v="5.1849999999999996"/>
    <n v="62.409999999999989"/>
    <d v="2024-11-25T00:00:00"/>
    <d v="2024-11-30T00:00:00"/>
    <s v="Eric"/>
    <n v="25"/>
    <n v="11"/>
    <x v="9"/>
    <x v="1"/>
    <x v="1"/>
    <n v="48"/>
  </r>
  <r>
    <d v="2024-06-30T00:00:00"/>
    <x v="2"/>
    <x v="0"/>
    <n v="2"/>
    <n v="80.14"/>
    <x v="3"/>
    <x v="0"/>
    <n v="0"/>
    <x v="3"/>
    <n v="160.28"/>
    <x v="0"/>
    <s v="FREESHIP"/>
    <n v="1"/>
    <x v="1215"/>
    <s v="Sai Sen"/>
    <n v="13.41"/>
    <n v="80.14"/>
    <n v="146.87"/>
    <d v="2024-06-30T00:00:00"/>
    <d v="2024-07-03T00:00:00"/>
    <s v="Ryan"/>
    <n v="30"/>
    <n v="6"/>
    <x v="3"/>
    <x v="1"/>
    <x v="2"/>
    <n v="26"/>
  </r>
  <r>
    <d v="2023-08-02T00:00:00"/>
    <x v="1"/>
    <x v="0"/>
    <n v="11"/>
    <n v="66.97"/>
    <x v="1"/>
    <x v="1"/>
    <n v="0.15"/>
    <x v="5"/>
    <n v="626.16949999999997"/>
    <x v="1"/>
    <s v="FREESHIP"/>
    <n v="1"/>
    <x v="1216"/>
    <s v="Devansh Malik"/>
    <n v="20.350000000000001"/>
    <n v="56.924499999999995"/>
    <n v="605.81949999999995"/>
    <d v="2023-08-02T00:00:00"/>
    <d v="2023-08-11T00:00:00"/>
    <s v="Sophie"/>
    <n v="2"/>
    <n v="8"/>
    <x v="10"/>
    <x v="0"/>
    <x v="3"/>
    <n v="31"/>
  </r>
  <r>
    <d v="2024-02-22T00:00:00"/>
    <x v="1"/>
    <x v="3"/>
    <n v="6"/>
    <n v="181.34"/>
    <x v="1"/>
    <x v="0"/>
    <n v="0"/>
    <x v="1"/>
    <n v="1088.04"/>
    <x v="4"/>
    <s v="FREESHIP"/>
    <n v="0"/>
    <x v="1217"/>
    <s v="Ritika Vora"/>
    <n v="27.65"/>
    <n v="181.34"/>
    <n v="1060.3899999999999"/>
    <d v="2024-02-22T00:00:00"/>
    <d v="2024-02-27T00:00:00"/>
    <s v="Sophie"/>
    <n v="22"/>
    <n v="2"/>
    <x v="0"/>
    <x v="1"/>
    <x v="0"/>
    <n v="8"/>
  </r>
  <r>
    <d v="2024-11-29T00:00:00"/>
    <x v="2"/>
    <x v="4"/>
    <n v="15"/>
    <n v="570"/>
    <x v="3"/>
    <x v="0"/>
    <n v="0.05"/>
    <x v="2"/>
    <n v="8122.5"/>
    <x v="1"/>
    <s v="nan"/>
    <n v="0"/>
    <x v="1218"/>
    <s v="Bhavna Shaikh"/>
    <n v="7.62"/>
    <n v="541.5"/>
    <n v="8114.88"/>
    <d v="2024-11-29T00:00:00"/>
    <d v="2024-12-09T00:00:00"/>
    <s v="Ryan"/>
    <n v="29"/>
    <n v="11"/>
    <x v="9"/>
    <x v="1"/>
    <x v="1"/>
    <n v="48"/>
  </r>
  <r>
    <d v="2023-07-21T00:00:00"/>
    <x v="2"/>
    <x v="4"/>
    <n v="9"/>
    <n v="587.79"/>
    <x v="3"/>
    <x v="0"/>
    <n v="0.15"/>
    <x v="5"/>
    <n v="4496.5934999999999"/>
    <x v="0"/>
    <s v="nan"/>
    <n v="0"/>
    <x v="1219"/>
    <s v="Fatima Syed"/>
    <n v="24.64"/>
    <n v="499.62149999999997"/>
    <n v="4471.9534999999996"/>
    <d v="2023-07-21T00:00:00"/>
    <d v="2023-07-31T00:00:00"/>
    <s v="Ryan"/>
    <n v="21"/>
    <n v="7"/>
    <x v="8"/>
    <x v="0"/>
    <x v="3"/>
    <n v="29"/>
  </r>
  <r>
    <d v="2023-04-14T00:00:00"/>
    <x v="3"/>
    <x v="1"/>
    <n v="6"/>
    <n v="196.31"/>
    <x v="2"/>
    <x v="1"/>
    <n v="0.1"/>
    <x v="3"/>
    <n v="1060.0740000000001"/>
    <x v="0"/>
    <s v="WINTER15"/>
    <n v="0"/>
    <x v="1220"/>
    <s v="Pooja Bhatia"/>
    <n v="38.65"/>
    <n v="176.679"/>
    <n v="1021.4240000000001"/>
    <d v="2023-04-14T00:00:00"/>
    <d v="2023-04-17T00:00:00"/>
    <s v="Cameron"/>
    <n v="14"/>
    <n v="4"/>
    <x v="7"/>
    <x v="0"/>
    <x v="2"/>
    <n v="15"/>
  </r>
  <r>
    <d v="2023-02-01T00:00:00"/>
    <x v="2"/>
    <x v="1"/>
    <n v="8"/>
    <n v="430.06"/>
    <x v="0"/>
    <x v="0"/>
    <n v="0.05"/>
    <x v="5"/>
    <n v="3268.4560000000001"/>
    <x v="3"/>
    <s v="SAVE10"/>
    <n v="0"/>
    <x v="1221"/>
    <s v="Neha Hussain"/>
    <n v="38.450000000000003"/>
    <n v="408.55700000000002"/>
    <n v="3230.0060000000003"/>
    <d v="2023-02-01T00:00:00"/>
    <d v="2023-02-05T00:00:00"/>
    <s v="Ryan"/>
    <n v="1"/>
    <n v="2"/>
    <x v="0"/>
    <x v="0"/>
    <x v="0"/>
    <n v="5"/>
  </r>
  <r>
    <d v="2024-06-30T00:00:00"/>
    <x v="0"/>
    <x v="4"/>
    <n v="14"/>
    <n v="429.72"/>
    <x v="1"/>
    <x v="1"/>
    <n v="0.1"/>
    <x v="0"/>
    <n v="5414.4719999999998"/>
    <x v="4"/>
    <s v="SAVE10"/>
    <n v="0"/>
    <x v="1222"/>
    <s v="Parth Hussain"/>
    <n v="45.78"/>
    <n v="386.74799999999999"/>
    <n v="5368.692"/>
    <d v="2024-06-30T00:00:00"/>
    <d v="2024-07-05T00:00:00"/>
    <s v="Eric"/>
    <n v="30"/>
    <n v="6"/>
    <x v="3"/>
    <x v="1"/>
    <x v="2"/>
    <n v="26"/>
  </r>
  <r>
    <d v="2023-10-18T00:00:00"/>
    <x v="3"/>
    <x v="1"/>
    <n v="13"/>
    <n v="127.34"/>
    <x v="3"/>
    <x v="0"/>
    <n v="0"/>
    <x v="1"/>
    <n v="1655.42"/>
    <x v="2"/>
    <s v="WINTER15"/>
    <n v="0"/>
    <x v="1223"/>
    <s v="Rohan Thomas"/>
    <n v="6.15"/>
    <n v="127.34"/>
    <n v="1649.27"/>
    <d v="2023-10-18T00:00:00"/>
    <d v="2023-10-21T00:00:00"/>
    <s v="Cameron"/>
    <n v="18"/>
    <n v="10"/>
    <x v="5"/>
    <x v="0"/>
    <x v="1"/>
    <n v="42"/>
  </r>
  <r>
    <d v="2024-07-04T00:00:00"/>
    <x v="0"/>
    <x v="4"/>
    <n v="6"/>
    <n v="421.97"/>
    <x v="0"/>
    <x v="0"/>
    <n v="0.05"/>
    <x v="5"/>
    <n v="2405.2289999999998"/>
    <x v="4"/>
    <s v="WINTER15"/>
    <n v="0"/>
    <x v="1224"/>
    <s v="Mohit Khanna"/>
    <n v="41.31"/>
    <n v="400.87149999999997"/>
    <n v="2363.9189999999999"/>
    <d v="2024-07-04T00:00:00"/>
    <d v="2024-07-13T00:00:00"/>
    <s v="Eric"/>
    <n v="4"/>
    <n v="7"/>
    <x v="8"/>
    <x v="1"/>
    <x v="3"/>
    <n v="27"/>
  </r>
  <r>
    <d v="2024-07-04T00:00:00"/>
    <x v="0"/>
    <x v="5"/>
    <n v="5"/>
    <n v="225.69"/>
    <x v="1"/>
    <x v="0"/>
    <n v="0.15"/>
    <x v="3"/>
    <n v="959.1825"/>
    <x v="1"/>
    <s v="WINTER15"/>
    <n v="0"/>
    <x v="1225"/>
    <s v="Raina Menon"/>
    <n v="47.6"/>
    <n v="191.8365"/>
    <n v="911.58249999999998"/>
    <d v="2024-07-04T00:00:00"/>
    <d v="2024-07-12T00:00:00"/>
    <s v="Eric"/>
    <n v="4"/>
    <n v="7"/>
    <x v="8"/>
    <x v="1"/>
    <x v="3"/>
    <n v="27"/>
  </r>
  <r>
    <d v="2023-07-27T00:00:00"/>
    <x v="2"/>
    <x v="4"/>
    <n v="10"/>
    <n v="322.11"/>
    <x v="1"/>
    <x v="1"/>
    <n v="0.15"/>
    <x v="4"/>
    <n v="2737.9349999999999"/>
    <x v="3"/>
    <s v="WINTER15"/>
    <n v="0"/>
    <x v="1226"/>
    <s v="Diya Tiwari"/>
    <n v="28.72"/>
    <n v="273.79349999999999"/>
    <n v="2709.2150000000001"/>
    <d v="2023-07-27T00:00:00"/>
    <d v="2023-08-02T00:00:00"/>
    <s v="Ryan"/>
    <n v="27"/>
    <n v="7"/>
    <x v="8"/>
    <x v="0"/>
    <x v="3"/>
    <n v="30"/>
  </r>
  <r>
    <d v="2025-03-01T00:00:00"/>
    <x v="4"/>
    <x v="2"/>
    <n v="4"/>
    <n v="209.3"/>
    <x v="0"/>
    <x v="1"/>
    <n v="0.05"/>
    <x v="1"/>
    <n v="795.34"/>
    <x v="1"/>
    <s v="nan"/>
    <n v="0"/>
    <x v="1227"/>
    <s v="Sai George"/>
    <n v="6.89"/>
    <n v="198.83500000000001"/>
    <n v="788.45"/>
    <d v="2025-03-01T00:00:00"/>
    <d v="2025-03-06T00:00:00"/>
    <s v="Wendy"/>
    <n v="1"/>
    <n v="3"/>
    <x v="6"/>
    <x v="2"/>
    <x v="0"/>
    <n v="9"/>
  </r>
  <r>
    <d v="2023-02-23T00:00:00"/>
    <x v="3"/>
    <x v="2"/>
    <n v="16"/>
    <n v="326.16000000000003"/>
    <x v="2"/>
    <x v="0"/>
    <n v="0.1"/>
    <x v="2"/>
    <n v="4696.7040000000006"/>
    <x v="2"/>
    <s v="nan"/>
    <n v="0"/>
    <x v="1228"/>
    <s v="Tanvi Chaudhary"/>
    <n v="44.3"/>
    <n v="293.54400000000004"/>
    <n v="4652.4040000000005"/>
    <d v="2023-02-23T00:00:00"/>
    <d v="2023-02-25T00:00:00"/>
    <s v="Cameron"/>
    <n v="23"/>
    <n v="2"/>
    <x v="0"/>
    <x v="0"/>
    <x v="0"/>
    <n v="8"/>
  </r>
  <r>
    <d v="2023-01-11T00:00:00"/>
    <x v="0"/>
    <x v="4"/>
    <n v="13"/>
    <n v="515.41999999999996"/>
    <x v="3"/>
    <x v="1"/>
    <n v="0"/>
    <x v="5"/>
    <n v="6700.4599999999991"/>
    <x v="0"/>
    <s v="FREESHIP"/>
    <n v="0"/>
    <x v="1229"/>
    <s v="Ananya Thomas"/>
    <n v="43.37"/>
    <n v="515.41999999999996"/>
    <n v="6657.0899999999992"/>
    <d v="2023-01-11T00:00:00"/>
    <d v="2023-01-20T00:00:00"/>
    <s v="Eric"/>
    <n v="11"/>
    <n v="1"/>
    <x v="4"/>
    <x v="0"/>
    <x v="0"/>
    <n v="2"/>
  </r>
  <r>
    <d v="2024-04-16T00:00:00"/>
    <x v="4"/>
    <x v="5"/>
    <n v="7"/>
    <n v="129.83000000000001"/>
    <x v="1"/>
    <x v="0"/>
    <n v="0"/>
    <x v="3"/>
    <n v="908.81000000000006"/>
    <x v="1"/>
    <s v="WINTER15"/>
    <n v="0"/>
    <x v="1230"/>
    <s v="Zoya Chaudhary"/>
    <n v="13.12"/>
    <n v="129.83000000000001"/>
    <n v="895.69"/>
    <d v="2024-04-16T00:00:00"/>
    <d v="2024-04-20T00:00:00"/>
    <s v="Wendy"/>
    <n v="16"/>
    <n v="4"/>
    <x v="7"/>
    <x v="1"/>
    <x v="2"/>
    <n v="16"/>
  </r>
  <r>
    <d v="2024-03-09T00:00:00"/>
    <x v="3"/>
    <x v="4"/>
    <n v="17"/>
    <n v="376.15"/>
    <x v="2"/>
    <x v="1"/>
    <n v="0.05"/>
    <x v="4"/>
    <n v="6074.8224999999993"/>
    <x v="1"/>
    <s v="WINTER15"/>
    <n v="1"/>
    <x v="1231"/>
    <s v="Nazia Fernandes"/>
    <n v="31.96"/>
    <n v="357.34249999999997"/>
    <n v="6042.8624999999993"/>
    <d v="2024-03-09T00:00:00"/>
    <d v="2024-03-12T00:00:00"/>
    <s v="Cameron"/>
    <n v="9"/>
    <n v="3"/>
    <x v="6"/>
    <x v="1"/>
    <x v="0"/>
    <n v="10"/>
  </r>
  <r>
    <d v="2024-10-07T00:00:00"/>
    <x v="1"/>
    <x v="3"/>
    <n v="8"/>
    <n v="385.46"/>
    <x v="1"/>
    <x v="0"/>
    <n v="0"/>
    <x v="5"/>
    <n v="3083.68"/>
    <x v="4"/>
    <s v="SAVE10"/>
    <n v="0"/>
    <x v="1232"/>
    <s v="Varun Nair"/>
    <n v="8.89"/>
    <n v="385.46"/>
    <n v="3074.79"/>
    <d v="2024-10-07T00:00:00"/>
    <d v="2024-10-11T00:00:00"/>
    <s v="Sophie"/>
    <n v="7"/>
    <n v="10"/>
    <x v="5"/>
    <x v="1"/>
    <x v="1"/>
    <n v="41"/>
  </r>
  <r>
    <d v="2023-10-06T00:00:00"/>
    <x v="4"/>
    <x v="6"/>
    <n v="2"/>
    <n v="474.13"/>
    <x v="3"/>
    <x v="0"/>
    <n v="0"/>
    <x v="3"/>
    <n v="948.26"/>
    <x v="1"/>
    <s v="FREESHIP"/>
    <n v="1"/>
    <x v="1233"/>
    <s v="Alina Chaudhary"/>
    <n v="14.41"/>
    <n v="474.13"/>
    <n v="933.85"/>
    <d v="2023-10-06T00:00:00"/>
    <d v="2023-10-15T00:00:00"/>
    <s v="Wendy"/>
    <n v="6"/>
    <n v="10"/>
    <x v="5"/>
    <x v="0"/>
    <x v="1"/>
    <n v="40"/>
  </r>
  <r>
    <d v="2023-04-08T00:00:00"/>
    <x v="4"/>
    <x v="4"/>
    <n v="15"/>
    <n v="506.17"/>
    <x v="0"/>
    <x v="0"/>
    <n v="0.05"/>
    <x v="1"/>
    <n v="7212.9224999999997"/>
    <x v="0"/>
    <s v="nan"/>
    <n v="0"/>
    <x v="1234"/>
    <s v="Kunal Sen"/>
    <n v="41.73"/>
    <n v="480.86149999999998"/>
    <n v="7171.1925000000001"/>
    <d v="2023-04-08T00:00:00"/>
    <d v="2023-04-13T00:00:00"/>
    <s v="Wendy"/>
    <n v="8"/>
    <n v="4"/>
    <x v="7"/>
    <x v="0"/>
    <x v="2"/>
    <n v="14"/>
  </r>
  <r>
    <d v="2024-02-20T00:00:00"/>
    <x v="1"/>
    <x v="1"/>
    <n v="1"/>
    <n v="67.38"/>
    <x v="3"/>
    <x v="1"/>
    <n v="0.15"/>
    <x v="1"/>
    <n v="57.273000000000003"/>
    <x v="2"/>
    <s v="WINTER15"/>
    <n v="0"/>
    <x v="1235"/>
    <s v="Aaliyah Malik"/>
    <n v="6.14"/>
    <n v="57.273000000000003"/>
    <n v="51.133000000000003"/>
    <d v="2024-02-20T00:00:00"/>
    <d v="2024-02-27T00:00:00"/>
    <s v="Sophie"/>
    <n v="20"/>
    <n v="2"/>
    <x v="0"/>
    <x v="1"/>
    <x v="0"/>
    <n v="8"/>
  </r>
  <r>
    <d v="2023-01-30T00:00:00"/>
    <x v="4"/>
    <x v="3"/>
    <n v="15"/>
    <n v="274.3"/>
    <x v="0"/>
    <x v="1"/>
    <n v="0.15"/>
    <x v="2"/>
    <n v="3497.3249999999998"/>
    <x v="2"/>
    <s v="nan"/>
    <n v="0"/>
    <x v="1236"/>
    <s v="Harsh Saxena"/>
    <n v="21.56"/>
    <n v="233.155"/>
    <n v="3475.7649999999999"/>
    <d v="2023-01-30T00:00:00"/>
    <d v="2023-02-08T00:00:00"/>
    <s v="Wendy"/>
    <n v="30"/>
    <n v="1"/>
    <x v="4"/>
    <x v="0"/>
    <x v="0"/>
    <n v="5"/>
  </r>
  <r>
    <d v="2023-05-12T00:00:00"/>
    <x v="1"/>
    <x v="4"/>
    <n v="2"/>
    <n v="334.48"/>
    <x v="0"/>
    <x v="0"/>
    <n v="0"/>
    <x v="1"/>
    <n v="668.96"/>
    <x v="3"/>
    <s v="nan"/>
    <n v="0"/>
    <x v="1237"/>
    <s v="Aditi Tripathi"/>
    <n v="31.53"/>
    <n v="334.48"/>
    <n v="637.43000000000006"/>
    <d v="2023-05-12T00:00:00"/>
    <d v="2023-05-20T00:00:00"/>
    <s v="Sophie"/>
    <n v="12"/>
    <n v="5"/>
    <x v="2"/>
    <x v="0"/>
    <x v="2"/>
    <n v="19"/>
  </r>
  <r>
    <d v="2024-01-08T00:00:00"/>
    <x v="1"/>
    <x v="3"/>
    <n v="7"/>
    <n v="562.6"/>
    <x v="1"/>
    <x v="1"/>
    <n v="0.15"/>
    <x v="0"/>
    <n v="3347.47"/>
    <x v="0"/>
    <s v="WINTER15"/>
    <n v="0"/>
    <x v="1238"/>
    <s v="Sara Dutta"/>
    <n v="19.95"/>
    <n v="478.21"/>
    <n v="3327.52"/>
    <d v="2024-01-08T00:00:00"/>
    <d v="2024-01-12T00:00:00"/>
    <s v="Sophie"/>
    <n v="8"/>
    <n v="1"/>
    <x v="4"/>
    <x v="1"/>
    <x v="0"/>
    <n v="2"/>
  </r>
  <r>
    <d v="2024-06-05T00:00:00"/>
    <x v="2"/>
    <x v="4"/>
    <n v="7"/>
    <n v="14.34"/>
    <x v="3"/>
    <x v="1"/>
    <n v="0.05"/>
    <x v="1"/>
    <n v="95.36099999999999"/>
    <x v="3"/>
    <s v="WINTER15"/>
    <n v="0"/>
    <x v="1239"/>
    <s v="Vikram Reddy"/>
    <n v="19.45"/>
    <n v="13.622999999999999"/>
    <n v="75.910999999999987"/>
    <d v="2024-06-05T00:00:00"/>
    <d v="2024-06-08T00:00:00"/>
    <s v="Ryan"/>
    <n v="5"/>
    <n v="6"/>
    <x v="3"/>
    <x v="1"/>
    <x v="2"/>
    <n v="23"/>
  </r>
  <r>
    <d v="2025-05-21T00:00:00"/>
    <x v="0"/>
    <x v="1"/>
    <n v="11"/>
    <n v="34.72"/>
    <x v="0"/>
    <x v="0"/>
    <n v="0.1"/>
    <x v="4"/>
    <n v="343.72800000000001"/>
    <x v="1"/>
    <s v="FREESHIP"/>
    <n v="0"/>
    <x v="1240"/>
    <s v="Meera Shetty"/>
    <n v="9.31"/>
    <n v="31.248000000000001"/>
    <n v="334.41800000000001"/>
    <d v="2025-05-21T00:00:00"/>
    <d v="2025-05-23T00:00:00"/>
    <s v="Eric"/>
    <n v="21"/>
    <n v="5"/>
    <x v="2"/>
    <x v="2"/>
    <x v="2"/>
    <n v="21"/>
  </r>
  <r>
    <d v="2025-05-21T00:00:00"/>
    <x v="0"/>
    <x v="3"/>
    <n v="7"/>
    <n v="15.06"/>
    <x v="1"/>
    <x v="1"/>
    <n v="0"/>
    <x v="1"/>
    <n v="105.42"/>
    <x v="4"/>
    <s v="nan"/>
    <n v="1"/>
    <x v="1241"/>
    <s v="Rahul Sen"/>
    <n v="46.57"/>
    <n v="15.06"/>
    <n v="58.85"/>
    <d v="2025-05-21T00:00:00"/>
    <d v="2025-05-26T00:00:00"/>
    <s v="Eric"/>
    <n v="21"/>
    <n v="5"/>
    <x v="2"/>
    <x v="2"/>
    <x v="2"/>
    <n v="21"/>
  </r>
  <r>
    <d v="2023-03-05T00:00:00"/>
    <x v="0"/>
    <x v="6"/>
    <n v="11"/>
    <n v="488.17"/>
    <x v="0"/>
    <x v="0"/>
    <n v="0.05"/>
    <x v="5"/>
    <n v="5101.3764999999994"/>
    <x v="4"/>
    <s v="WINTER15"/>
    <n v="1"/>
    <x v="1242"/>
    <s v="Zara Khan"/>
    <n v="37.47"/>
    <n v="463.76149999999996"/>
    <n v="5063.9064999999991"/>
    <d v="2023-03-05T00:00:00"/>
    <d v="2023-03-11T00:00:00"/>
    <s v="Eric"/>
    <n v="5"/>
    <n v="3"/>
    <x v="6"/>
    <x v="0"/>
    <x v="0"/>
    <n v="9"/>
  </r>
  <r>
    <d v="2024-10-27T00:00:00"/>
    <x v="1"/>
    <x v="5"/>
    <n v="10"/>
    <n v="268.39"/>
    <x v="0"/>
    <x v="1"/>
    <n v="0.05"/>
    <x v="1"/>
    <n v="2549.704999999999"/>
    <x v="2"/>
    <s v="SAVE10"/>
    <n v="0"/>
    <x v="1243"/>
    <s v="Riya Dutta"/>
    <n v="25.86"/>
    <n v="254.9704999999999"/>
    <n v="2523.8449999999989"/>
    <d v="2024-10-27T00:00:00"/>
    <d v="2024-11-02T00:00:00"/>
    <s v="Sophie"/>
    <n v="27"/>
    <n v="10"/>
    <x v="5"/>
    <x v="1"/>
    <x v="1"/>
    <n v="43"/>
  </r>
  <r>
    <d v="2025-03-24T00:00:00"/>
    <x v="2"/>
    <x v="5"/>
    <n v="5"/>
    <n v="64.180000000000007"/>
    <x v="2"/>
    <x v="1"/>
    <n v="0.1"/>
    <x v="0"/>
    <n v="288.81000000000012"/>
    <x v="1"/>
    <s v="SAVE10"/>
    <n v="0"/>
    <x v="1244"/>
    <s v="Avni Dubey"/>
    <n v="21.17"/>
    <n v="57.762000000000022"/>
    <n v="267.6400000000001"/>
    <d v="2025-03-24T00:00:00"/>
    <d v="2025-03-29T00:00:00"/>
    <s v="Ryan"/>
    <n v="24"/>
    <n v="3"/>
    <x v="6"/>
    <x v="2"/>
    <x v="0"/>
    <n v="13"/>
  </r>
  <r>
    <d v="2024-09-21T00:00:00"/>
    <x v="4"/>
    <x v="1"/>
    <n v="15"/>
    <n v="466.55"/>
    <x v="1"/>
    <x v="1"/>
    <n v="0.05"/>
    <x v="1"/>
    <n v="6648.3374999999996"/>
    <x v="4"/>
    <s v="SAVE10"/>
    <n v="1"/>
    <x v="1245"/>
    <s v="Mitali Malhotra"/>
    <n v="36.68"/>
    <n v="443.22249999999997"/>
    <n v="6611.6574999999993"/>
    <d v="2024-09-21T00:00:00"/>
    <d v="2024-09-27T00:00:00"/>
    <s v="Wendy"/>
    <n v="21"/>
    <n v="9"/>
    <x v="11"/>
    <x v="1"/>
    <x v="3"/>
    <n v="38"/>
  </r>
  <r>
    <d v="2025-05-18T00:00:00"/>
    <x v="2"/>
    <x v="2"/>
    <n v="8"/>
    <n v="505.34"/>
    <x v="0"/>
    <x v="1"/>
    <n v="0.05"/>
    <x v="5"/>
    <n v="3840.5839999999998"/>
    <x v="3"/>
    <s v="nan"/>
    <n v="0"/>
    <x v="1246"/>
    <s v="Sanya Rawat"/>
    <n v="22.88"/>
    <n v="480.07299999999998"/>
    <n v="3817.7039999999997"/>
    <d v="2025-05-18T00:00:00"/>
    <d v="2025-05-27T00:00:00"/>
    <s v="Ryan"/>
    <n v="18"/>
    <n v="5"/>
    <x v="2"/>
    <x v="2"/>
    <x v="2"/>
    <n v="20"/>
  </r>
  <r>
    <d v="2024-07-11T00:00:00"/>
    <x v="0"/>
    <x v="4"/>
    <n v="6"/>
    <n v="100.75"/>
    <x v="1"/>
    <x v="0"/>
    <n v="0.1"/>
    <x v="2"/>
    <n v="544.05000000000007"/>
    <x v="2"/>
    <s v="FREESHIP"/>
    <n v="0"/>
    <x v="1247"/>
    <s v="Bhavna Khan"/>
    <n v="12.98"/>
    <n v="90.675000000000011"/>
    <n v="531.07000000000005"/>
    <d v="2024-07-11T00:00:00"/>
    <d v="2024-07-14T00:00:00"/>
    <s v="Eric"/>
    <n v="11"/>
    <n v="7"/>
    <x v="8"/>
    <x v="1"/>
    <x v="3"/>
    <n v="28"/>
  </r>
  <r>
    <d v="2025-01-27T00:00:00"/>
    <x v="2"/>
    <x v="5"/>
    <n v="8"/>
    <n v="352.72"/>
    <x v="2"/>
    <x v="1"/>
    <n v="0.05"/>
    <x v="3"/>
    <n v="2680.672"/>
    <x v="4"/>
    <s v="nan"/>
    <n v="0"/>
    <x v="1248"/>
    <s v="Ishaan Sharma"/>
    <n v="30.8"/>
    <n v="335.084"/>
    <n v="2649.8719999999998"/>
    <d v="2025-01-27T00:00:00"/>
    <d v="2025-02-04T00:00:00"/>
    <s v="Ryan"/>
    <n v="27"/>
    <n v="1"/>
    <x v="4"/>
    <x v="2"/>
    <x v="0"/>
    <n v="5"/>
  </r>
  <r>
    <d v="2023-11-26T00:00:00"/>
    <x v="0"/>
    <x v="0"/>
    <n v="9"/>
    <n v="526.26"/>
    <x v="0"/>
    <x v="1"/>
    <n v="0"/>
    <x v="5"/>
    <n v="4736.34"/>
    <x v="4"/>
    <s v="FREESHIP"/>
    <n v="0"/>
    <x v="1249"/>
    <s v="Ananya Joseph"/>
    <n v="15.47"/>
    <n v="526.26"/>
    <n v="4720.87"/>
    <d v="2023-11-26T00:00:00"/>
    <d v="2023-12-06T00:00:00"/>
    <s v="Eric"/>
    <n v="26"/>
    <n v="11"/>
    <x v="9"/>
    <x v="0"/>
    <x v="1"/>
    <n v="47"/>
  </r>
  <r>
    <d v="2024-06-02T00:00:00"/>
    <x v="3"/>
    <x v="6"/>
    <n v="18"/>
    <n v="519.41999999999996"/>
    <x v="2"/>
    <x v="1"/>
    <n v="0.15"/>
    <x v="0"/>
    <n v="7947.1259999999993"/>
    <x v="4"/>
    <s v="WINTER15"/>
    <n v="0"/>
    <x v="1250"/>
    <s v="Om Joshi"/>
    <n v="32.96"/>
    <n v="441.50699999999995"/>
    <n v="7914.1659999999993"/>
    <d v="2024-06-02T00:00:00"/>
    <d v="2024-06-04T00:00:00"/>
    <s v="Cameron"/>
    <n v="2"/>
    <n v="6"/>
    <x v="3"/>
    <x v="1"/>
    <x v="2"/>
    <n v="22"/>
  </r>
  <r>
    <d v="2023-01-17T00:00:00"/>
    <x v="2"/>
    <x v="3"/>
    <n v="18"/>
    <n v="108.46"/>
    <x v="3"/>
    <x v="0"/>
    <n v="0.05"/>
    <x v="2"/>
    <n v="1854.6659999999999"/>
    <x v="0"/>
    <s v="SAVE10"/>
    <n v="0"/>
    <x v="1251"/>
    <s v="Raina Khanna"/>
    <n v="10.72"/>
    <n v="103.03699999999999"/>
    <n v="1843.9459999999999"/>
    <d v="2023-01-17T00:00:00"/>
    <d v="2023-01-24T00:00:00"/>
    <s v="Ryan"/>
    <n v="17"/>
    <n v="1"/>
    <x v="4"/>
    <x v="0"/>
    <x v="0"/>
    <n v="3"/>
  </r>
  <r>
    <d v="2025-05-03T00:00:00"/>
    <x v="2"/>
    <x v="2"/>
    <n v="13"/>
    <n v="420.68"/>
    <x v="3"/>
    <x v="0"/>
    <n v="0.05"/>
    <x v="2"/>
    <n v="5195.3980000000001"/>
    <x v="0"/>
    <s v="nan"/>
    <n v="0"/>
    <x v="1252"/>
    <s v="Pranav Dutta"/>
    <n v="24.51"/>
    <n v="399.64600000000002"/>
    <n v="5170.8879999999999"/>
    <d v="2025-05-03T00:00:00"/>
    <d v="2025-05-11T00:00:00"/>
    <s v="Ryan"/>
    <n v="3"/>
    <n v="5"/>
    <x v="2"/>
    <x v="2"/>
    <x v="2"/>
    <n v="18"/>
  </r>
  <r>
    <d v="2025-01-05T00:00:00"/>
    <x v="2"/>
    <x v="6"/>
    <n v="17"/>
    <n v="5.91"/>
    <x v="1"/>
    <x v="0"/>
    <n v="0.15"/>
    <x v="0"/>
    <n v="85.399500000000003"/>
    <x v="0"/>
    <s v="SAVE10"/>
    <n v="0"/>
    <x v="1253"/>
    <s v="Ishaan Roy"/>
    <n v="44.85"/>
    <n v="5.0235000000000003"/>
    <n v="40.549500000000002"/>
    <d v="2025-01-05T00:00:00"/>
    <d v="2025-01-13T00:00:00"/>
    <s v="Ryan"/>
    <n v="5"/>
    <n v="1"/>
    <x v="4"/>
    <x v="2"/>
    <x v="0"/>
    <n v="1"/>
  </r>
  <r>
    <d v="2024-02-20T00:00:00"/>
    <x v="0"/>
    <x v="1"/>
    <n v="4"/>
    <n v="452.77"/>
    <x v="0"/>
    <x v="1"/>
    <n v="0"/>
    <x v="4"/>
    <n v="1811.08"/>
    <x v="3"/>
    <s v="SAVE10"/>
    <n v="0"/>
    <x v="1254"/>
    <s v="Dhruv Kulkarni"/>
    <n v="32.01"/>
    <n v="452.77"/>
    <n v="1779.07"/>
    <d v="2024-02-20T00:00:00"/>
    <d v="2024-03-01T00:00:00"/>
    <s v="Eric"/>
    <n v="20"/>
    <n v="2"/>
    <x v="0"/>
    <x v="1"/>
    <x v="0"/>
    <n v="8"/>
  </r>
  <r>
    <d v="2023-12-26T00:00:00"/>
    <x v="2"/>
    <x v="4"/>
    <n v="7"/>
    <n v="157"/>
    <x v="1"/>
    <x v="0"/>
    <n v="0.15"/>
    <x v="1"/>
    <n v="934.15"/>
    <x v="0"/>
    <s v="SAVE10"/>
    <n v="1"/>
    <x v="1255"/>
    <s v="Alina Khan"/>
    <n v="39.72"/>
    <n v="133.44999999999999"/>
    <n v="894.43"/>
    <d v="2023-12-26T00:00:00"/>
    <d v="2024-01-04T00:00:00"/>
    <s v="Ryan"/>
    <n v="26"/>
    <n v="12"/>
    <x v="1"/>
    <x v="0"/>
    <x v="1"/>
    <n v="52"/>
  </r>
  <r>
    <d v="2023-03-07T00:00:00"/>
    <x v="2"/>
    <x v="6"/>
    <n v="11"/>
    <n v="550.86"/>
    <x v="2"/>
    <x v="1"/>
    <n v="0.1"/>
    <x v="5"/>
    <n v="5453.5140000000001"/>
    <x v="0"/>
    <s v="FREESHIP"/>
    <n v="0"/>
    <x v="1256"/>
    <s v="Dhruv Kapoor"/>
    <n v="21.82"/>
    <n v="495.774"/>
    <n v="5431.6940000000004"/>
    <d v="2023-03-07T00:00:00"/>
    <d v="2023-03-12T00:00:00"/>
    <s v="Ryan"/>
    <n v="7"/>
    <n v="3"/>
    <x v="6"/>
    <x v="0"/>
    <x v="0"/>
    <n v="10"/>
  </r>
  <r>
    <d v="2024-09-13T00:00:00"/>
    <x v="2"/>
    <x v="3"/>
    <n v="5"/>
    <n v="172.65"/>
    <x v="2"/>
    <x v="0"/>
    <n v="0.15"/>
    <x v="1"/>
    <n v="733.76249999999993"/>
    <x v="4"/>
    <s v="SAVE10"/>
    <n v="0"/>
    <x v="1257"/>
    <s v="Rohan Reddy"/>
    <n v="28.3"/>
    <n v="146.7525"/>
    <n v="705.46249999999998"/>
    <d v="2024-09-13T00:00:00"/>
    <d v="2024-09-22T00:00:00"/>
    <s v="Ryan"/>
    <n v="13"/>
    <n v="9"/>
    <x v="11"/>
    <x v="1"/>
    <x v="3"/>
    <n v="37"/>
  </r>
  <r>
    <d v="2024-01-02T00:00:00"/>
    <x v="0"/>
    <x v="5"/>
    <n v="16"/>
    <n v="145.30000000000001"/>
    <x v="0"/>
    <x v="0"/>
    <n v="0"/>
    <x v="0"/>
    <n v="2324.8000000000002"/>
    <x v="2"/>
    <s v="FREESHIP"/>
    <n v="1"/>
    <x v="1258"/>
    <s v="Bhavna Singh"/>
    <n v="29.64"/>
    <n v="145.30000000000001"/>
    <n v="2295.1600000000003"/>
    <d v="2024-01-02T00:00:00"/>
    <d v="2024-01-12T00:00:00"/>
    <s v="Eric"/>
    <n v="2"/>
    <n v="1"/>
    <x v="4"/>
    <x v="1"/>
    <x v="0"/>
    <n v="1"/>
  </r>
  <r>
    <d v="2025-02-08T00:00:00"/>
    <x v="1"/>
    <x v="6"/>
    <n v="10"/>
    <n v="67.38"/>
    <x v="2"/>
    <x v="1"/>
    <n v="0.1"/>
    <x v="4"/>
    <n v="606.41999999999996"/>
    <x v="1"/>
    <s v="FREESHIP"/>
    <n v="1"/>
    <x v="1259"/>
    <s v="Isha Sinha"/>
    <n v="20.58"/>
    <n v="60.641999999999996"/>
    <n v="585.83999999999992"/>
    <d v="2025-02-08T00:00:00"/>
    <d v="2025-02-18T00:00:00"/>
    <s v="Sophie"/>
    <n v="8"/>
    <n v="2"/>
    <x v="0"/>
    <x v="2"/>
    <x v="0"/>
    <n v="6"/>
  </r>
  <r>
    <d v="2025-03-04T00:00:00"/>
    <x v="1"/>
    <x v="6"/>
    <n v="15"/>
    <n v="141.13"/>
    <x v="3"/>
    <x v="0"/>
    <n v="0"/>
    <x v="3"/>
    <n v="2116.9499999999998"/>
    <x v="4"/>
    <s v="SAVE10"/>
    <n v="0"/>
    <x v="1260"/>
    <s v="Trisha Joseph"/>
    <n v="19.63"/>
    <n v="141.13"/>
    <n v="2097.3199999999997"/>
    <d v="2025-03-04T00:00:00"/>
    <d v="2025-03-12T00:00:00"/>
    <s v="Sophie"/>
    <n v="4"/>
    <n v="3"/>
    <x v="6"/>
    <x v="2"/>
    <x v="0"/>
    <n v="10"/>
  </r>
  <r>
    <d v="2024-03-12T00:00:00"/>
    <x v="3"/>
    <x v="5"/>
    <n v="1"/>
    <n v="534.61"/>
    <x v="3"/>
    <x v="1"/>
    <n v="0.05"/>
    <x v="2"/>
    <n v="507.87950000000001"/>
    <x v="0"/>
    <s v="SAVE10"/>
    <n v="0"/>
    <x v="1261"/>
    <s v="Aarav Fernandes"/>
    <n v="22.68"/>
    <n v="507.87950000000001"/>
    <n v="485.1995"/>
    <d v="2024-03-12T00:00:00"/>
    <d v="2024-03-21T00:00:00"/>
    <s v="Cameron"/>
    <n v="12"/>
    <n v="3"/>
    <x v="6"/>
    <x v="1"/>
    <x v="0"/>
    <n v="11"/>
  </r>
  <r>
    <d v="2024-07-03T00:00:00"/>
    <x v="0"/>
    <x v="1"/>
    <n v="9"/>
    <n v="560.04"/>
    <x v="3"/>
    <x v="1"/>
    <n v="0.05"/>
    <x v="3"/>
    <n v="4788.3419999999996"/>
    <x v="1"/>
    <s v="WINTER15"/>
    <n v="0"/>
    <x v="1262"/>
    <s v="Sanya Iyer"/>
    <n v="22.81"/>
    <n v="532.03800000000001"/>
    <n v="4765.5319999999992"/>
    <d v="2024-07-03T00:00:00"/>
    <d v="2024-07-07T00:00:00"/>
    <s v="Eric"/>
    <n v="3"/>
    <n v="7"/>
    <x v="8"/>
    <x v="1"/>
    <x v="3"/>
    <n v="27"/>
  </r>
  <r>
    <d v="2025-01-05T00:00:00"/>
    <x v="2"/>
    <x v="0"/>
    <n v="8"/>
    <n v="275.32"/>
    <x v="3"/>
    <x v="1"/>
    <n v="0.1"/>
    <x v="4"/>
    <n v="1982.3040000000001"/>
    <x v="4"/>
    <s v="SAVE10"/>
    <n v="0"/>
    <x v="1263"/>
    <s v="Parth Mukherjee"/>
    <n v="18.260000000000002"/>
    <n v="247.78800000000001"/>
    <n v="1964.0440000000001"/>
    <d v="2025-01-05T00:00:00"/>
    <d v="2025-01-13T00:00:00"/>
    <s v="Ryan"/>
    <n v="5"/>
    <n v="1"/>
    <x v="4"/>
    <x v="2"/>
    <x v="0"/>
    <n v="1"/>
  </r>
  <r>
    <d v="2024-03-21T00:00:00"/>
    <x v="0"/>
    <x v="1"/>
    <n v="3"/>
    <n v="105.73"/>
    <x v="3"/>
    <x v="1"/>
    <n v="0.05"/>
    <x v="5"/>
    <n v="301.33049999999997"/>
    <x v="3"/>
    <s v="FREESHIP"/>
    <n v="1"/>
    <x v="1264"/>
    <s v="Harsh Kapoor"/>
    <n v="12.12"/>
    <n v="100.44349999999999"/>
    <n v="289.21049999999997"/>
    <d v="2024-03-21T00:00:00"/>
    <d v="2024-03-28T00:00:00"/>
    <s v="Eric"/>
    <n v="21"/>
    <n v="3"/>
    <x v="6"/>
    <x v="1"/>
    <x v="0"/>
    <n v="12"/>
  </r>
  <r>
    <d v="2025-03-28T00:00:00"/>
    <x v="3"/>
    <x v="4"/>
    <n v="15"/>
    <n v="568.80999999999995"/>
    <x v="3"/>
    <x v="1"/>
    <n v="0.1"/>
    <x v="2"/>
    <n v="7678.9349999999986"/>
    <x v="1"/>
    <s v="nan"/>
    <n v="0"/>
    <x v="1265"/>
    <s v="Nikhil Fernandes"/>
    <n v="8.5399999999999991"/>
    <n v="511.92899999999992"/>
    <n v="7670.3949999999986"/>
    <d v="2025-03-28T00:00:00"/>
    <d v="2025-04-03T00:00:00"/>
    <s v="Cameron"/>
    <n v="28"/>
    <n v="3"/>
    <x v="6"/>
    <x v="2"/>
    <x v="0"/>
    <n v="13"/>
  </r>
  <r>
    <d v="2025-04-13T00:00:00"/>
    <x v="3"/>
    <x v="0"/>
    <n v="20"/>
    <n v="190.39"/>
    <x v="0"/>
    <x v="1"/>
    <n v="0.1"/>
    <x v="5"/>
    <n v="3427.02"/>
    <x v="1"/>
    <s v="SAVE10"/>
    <n v="0"/>
    <x v="1266"/>
    <s v="Ananya Reddy"/>
    <n v="49.93"/>
    <n v="171.351"/>
    <n v="3377.09"/>
    <d v="2025-04-13T00:00:00"/>
    <d v="2025-04-18T00:00:00"/>
    <s v="Cameron"/>
    <n v="13"/>
    <n v="4"/>
    <x v="7"/>
    <x v="2"/>
    <x v="2"/>
    <n v="15"/>
  </r>
  <r>
    <d v="2024-04-30T00:00:00"/>
    <x v="4"/>
    <x v="3"/>
    <n v="19"/>
    <n v="433.39"/>
    <x v="2"/>
    <x v="1"/>
    <n v="0.05"/>
    <x v="5"/>
    <n v="7822.6894999999986"/>
    <x v="0"/>
    <s v="WINTER15"/>
    <n v="0"/>
    <x v="1267"/>
    <s v="Nisha Agarwal"/>
    <n v="7.59"/>
    <n v="411.7204999999999"/>
    <n v="7815.0994999999984"/>
    <d v="2024-04-30T00:00:00"/>
    <d v="2024-05-09T00:00:00"/>
    <s v="Wendy"/>
    <n v="30"/>
    <n v="4"/>
    <x v="7"/>
    <x v="1"/>
    <x v="2"/>
    <n v="18"/>
  </r>
  <r>
    <d v="2025-02-15T00:00:00"/>
    <x v="1"/>
    <x v="1"/>
    <n v="1"/>
    <n v="92.72"/>
    <x v="2"/>
    <x v="0"/>
    <n v="0.15"/>
    <x v="0"/>
    <n v="78.811999999999998"/>
    <x v="3"/>
    <s v="WINTER15"/>
    <n v="0"/>
    <x v="1268"/>
    <s v="Ankit Thomas"/>
    <n v="48.46"/>
    <n v="78.811999999999998"/>
    <n v="30.351999999999997"/>
    <d v="2025-02-15T00:00:00"/>
    <d v="2025-02-19T00:00:00"/>
    <s v="Sophie"/>
    <n v="15"/>
    <n v="2"/>
    <x v="0"/>
    <x v="2"/>
    <x v="0"/>
    <n v="7"/>
  </r>
  <r>
    <d v="2025-02-18T00:00:00"/>
    <x v="4"/>
    <x v="0"/>
    <n v="1"/>
    <n v="263.27999999999997"/>
    <x v="3"/>
    <x v="0"/>
    <n v="0.1"/>
    <x v="0"/>
    <n v="236.952"/>
    <x v="2"/>
    <s v="SAVE10"/>
    <n v="0"/>
    <x v="1269"/>
    <s v="Dhruv Jain"/>
    <n v="36.28"/>
    <n v="236.952"/>
    <n v="200.672"/>
    <d v="2025-02-18T00:00:00"/>
    <d v="2025-02-23T00:00:00"/>
    <s v="Wendy"/>
    <n v="18"/>
    <n v="2"/>
    <x v="0"/>
    <x v="2"/>
    <x v="0"/>
    <n v="8"/>
  </r>
  <r>
    <d v="2023-09-08T00:00:00"/>
    <x v="4"/>
    <x v="1"/>
    <n v="11"/>
    <n v="358.59"/>
    <x v="0"/>
    <x v="0"/>
    <n v="0"/>
    <x v="2"/>
    <n v="3944.49"/>
    <x v="2"/>
    <s v="nan"/>
    <n v="0"/>
    <x v="1270"/>
    <s v="Raina Kulkarni"/>
    <n v="29.19"/>
    <n v="358.59"/>
    <n v="3915.2999999999997"/>
    <d v="2023-09-08T00:00:00"/>
    <d v="2023-09-10T00:00:00"/>
    <s v="Wendy"/>
    <n v="8"/>
    <n v="9"/>
    <x v="11"/>
    <x v="0"/>
    <x v="3"/>
    <n v="36"/>
  </r>
  <r>
    <d v="2024-02-04T00:00:00"/>
    <x v="3"/>
    <x v="5"/>
    <n v="18"/>
    <n v="595.53"/>
    <x v="0"/>
    <x v="1"/>
    <n v="0"/>
    <x v="2"/>
    <n v="10719.54"/>
    <x v="4"/>
    <s v="WINTER15"/>
    <n v="0"/>
    <x v="1271"/>
    <s v="Abhishek Malhotra"/>
    <n v="42.91"/>
    <n v="595.53000000000009"/>
    <n v="10676.630000000001"/>
    <d v="2024-02-04T00:00:00"/>
    <d v="2024-02-06T00:00:00"/>
    <s v="Cameron"/>
    <n v="4"/>
    <n v="2"/>
    <x v="0"/>
    <x v="1"/>
    <x v="0"/>
    <n v="5"/>
  </r>
  <r>
    <d v="2024-11-25T00:00:00"/>
    <x v="2"/>
    <x v="4"/>
    <n v="14"/>
    <n v="574.32000000000005"/>
    <x v="3"/>
    <x v="0"/>
    <n v="0.15"/>
    <x v="4"/>
    <n v="6834.4080000000004"/>
    <x v="2"/>
    <s v="SAVE10"/>
    <n v="0"/>
    <x v="1272"/>
    <s v="Nikhil Srivastava"/>
    <n v="12.07"/>
    <n v="488.17200000000003"/>
    <n v="6822.3380000000006"/>
    <d v="2024-11-25T00:00:00"/>
    <d v="2024-12-05T00:00:00"/>
    <s v="Ryan"/>
    <n v="25"/>
    <n v="11"/>
    <x v="9"/>
    <x v="1"/>
    <x v="1"/>
    <n v="48"/>
  </r>
  <r>
    <d v="2024-12-30T00:00:00"/>
    <x v="2"/>
    <x v="0"/>
    <n v="18"/>
    <n v="444.13"/>
    <x v="3"/>
    <x v="1"/>
    <n v="0"/>
    <x v="2"/>
    <n v="7994.34"/>
    <x v="4"/>
    <s v="SAVE10"/>
    <n v="0"/>
    <x v="1273"/>
    <s v="Ananya Menon"/>
    <n v="5.41"/>
    <n v="444.13"/>
    <n v="7988.93"/>
    <d v="2024-12-30T00:00:00"/>
    <d v="2025-01-02T00:00:00"/>
    <s v="Ryan"/>
    <n v="30"/>
    <n v="12"/>
    <x v="1"/>
    <x v="1"/>
    <x v="1"/>
    <n v="1"/>
  </r>
  <r>
    <d v="2023-09-05T00:00:00"/>
    <x v="4"/>
    <x v="5"/>
    <n v="19"/>
    <n v="431.47"/>
    <x v="1"/>
    <x v="1"/>
    <n v="0.1"/>
    <x v="0"/>
    <n v="7378.1370000000006"/>
    <x v="1"/>
    <s v="WINTER15"/>
    <n v="0"/>
    <x v="1274"/>
    <s v="Kavya Chopra"/>
    <n v="49.23"/>
    <n v="388.32300000000004"/>
    <n v="7328.9070000000011"/>
    <d v="2023-09-05T00:00:00"/>
    <d v="2023-09-10T00:00:00"/>
    <s v="Wendy"/>
    <n v="5"/>
    <n v="9"/>
    <x v="11"/>
    <x v="0"/>
    <x v="3"/>
    <n v="36"/>
  </r>
  <r>
    <d v="2023-08-01T00:00:00"/>
    <x v="4"/>
    <x v="6"/>
    <n v="19"/>
    <n v="67.489999999999995"/>
    <x v="2"/>
    <x v="1"/>
    <n v="0"/>
    <x v="2"/>
    <n v="1282.31"/>
    <x v="3"/>
    <s v="SAVE10"/>
    <n v="0"/>
    <x v="1275"/>
    <s v="Ved Tiwari"/>
    <n v="32.04"/>
    <n v="67.489999999999995"/>
    <n v="1250.27"/>
    <d v="2023-08-01T00:00:00"/>
    <d v="2023-08-11T00:00:00"/>
    <s v="Wendy"/>
    <n v="1"/>
    <n v="8"/>
    <x v="10"/>
    <x v="0"/>
    <x v="3"/>
    <n v="31"/>
  </r>
  <r>
    <d v="2023-01-06T00:00:00"/>
    <x v="3"/>
    <x v="5"/>
    <n v="11"/>
    <n v="25.67"/>
    <x v="2"/>
    <x v="1"/>
    <n v="0.15"/>
    <x v="3"/>
    <n v="240.0145"/>
    <x v="2"/>
    <s v="SAVE10"/>
    <n v="0"/>
    <x v="1276"/>
    <s v="Meera Dubey"/>
    <n v="30.12"/>
    <n v="21.819500000000001"/>
    <n v="209.89449999999999"/>
    <d v="2023-01-06T00:00:00"/>
    <d v="2023-01-08T00:00:00"/>
    <s v="Cameron"/>
    <n v="6"/>
    <n v="1"/>
    <x v="4"/>
    <x v="0"/>
    <x v="0"/>
    <n v="1"/>
  </r>
  <r>
    <d v="2025-05-02T00:00:00"/>
    <x v="3"/>
    <x v="1"/>
    <n v="4"/>
    <n v="368.69"/>
    <x v="3"/>
    <x v="0"/>
    <n v="0"/>
    <x v="4"/>
    <n v="1474.76"/>
    <x v="1"/>
    <s v="WINTER15"/>
    <n v="0"/>
    <x v="1277"/>
    <s v="Meera Chawla"/>
    <n v="48.57"/>
    <n v="368.69"/>
    <n v="1426.19"/>
    <d v="2025-05-02T00:00:00"/>
    <d v="2025-05-06T00:00:00"/>
    <s v="Cameron"/>
    <n v="2"/>
    <n v="5"/>
    <x v="2"/>
    <x v="2"/>
    <x v="2"/>
    <n v="18"/>
  </r>
  <r>
    <d v="2023-12-21T00:00:00"/>
    <x v="4"/>
    <x v="4"/>
    <n v="7"/>
    <n v="257.01"/>
    <x v="3"/>
    <x v="1"/>
    <n v="0.05"/>
    <x v="0"/>
    <n v="1709.1165000000001"/>
    <x v="2"/>
    <s v="nan"/>
    <n v="0"/>
    <x v="1278"/>
    <s v="Neel Mirza"/>
    <n v="35.520000000000003"/>
    <n v="244.15950000000001"/>
    <n v="1673.5965000000001"/>
    <d v="2023-12-21T00:00:00"/>
    <d v="2023-12-28T00:00:00"/>
    <s v="Wendy"/>
    <n v="21"/>
    <n v="12"/>
    <x v="1"/>
    <x v="0"/>
    <x v="1"/>
    <n v="51"/>
  </r>
  <r>
    <d v="2024-09-10T00:00:00"/>
    <x v="0"/>
    <x v="0"/>
    <n v="14"/>
    <n v="85.54"/>
    <x v="0"/>
    <x v="0"/>
    <n v="0"/>
    <x v="2"/>
    <n v="1197.56"/>
    <x v="1"/>
    <s v="FREESHIP"/>
    <n v="0"/>
    <x v="1279"/>
    <s v="Alina Patel"/>
    <n v="16.079999999999998"/>
    <n v="85.539999999999992"/>
    <n v="1181.48"/>
    <d v="2024-09-10T00:00:00"/>
    <d v="2024-09-14T00:00:00"/>
    <s v="Eric"/>
    <n v="10"/>
    <n v="9"/>
    <x v="11"/>
    <x v="1"/>
    <x v="3"/>
    <n v="37"/>
  </r>
  <r>
    <d v="2024-04-05T00:00:00"/>
    <x v="3"/>
    <x v="3"/>
    <n v="9"/>
    <n v="267.60000000000002"/>
    <x v="3"/>
    <x v="1"/>
    <n v="0.15"/>
    <x v="0"/>
    <n v="2047.14"/>
    <x v="2"/>
    <s v="FREESHIP"/>
    <n v="0"/>
    <x v="1280"/>
    <s v="Nazia Vora"/>
    <n v="8.48"/>
    <n v="227.46"/>
    <n v="2038.66"/>
    <d v="2024-04-05T00:00:00"/>
    <d v="2024-04-10T00:00:00"/>
    <s v="Cameron"/>
    <n v="5"/>
    <n v="4"/>
    <x v="7"/>
    <x v="1"/>
    <x v="2"/>
    <n v="14"/>
  </r>
  <r>
    <d v="2023-07-26T00:00:00"/>
    <x v="0"/>
    <x v="2"/>
    <n v="15"/>
    <n v="261.85000000000002"/>
    <x v="3"/>
    <x v="0"/>
    <n v="0.15"/>
    <x v="4"/>
    <n v="3338.5875000000001"/>
    <x v="0"/>
    <s v="SAVE10"/>
    <n v="0"/>
    <x v="1281"/>
    <s v="Trisha Chaudhary"/>
    <n v="40.68"/>
    <n v="222.57250000000002"/>
    <n v="3297.9075000000003"/>
    <d v="2023-07-26T00:00:00"/>
    <d v="2023-07-31T00:00:00"/>
    <s v="Eric"/>
    <n v="26"/>
    <n v="7"/>
    <x v="8"/>
    <x v="0"/>
    <x v="3"/>
    <n v="30"/>
  </r>
  <r>
    <d v="2023-11-12T00:00:00"/>
    <x v="0"/>
    <x v="6"/>
    <n v="11"/>
    <n v="199.57"/>
    <x v="1"/>
    <x v="1"/>
    <n v="0.05"/>
    <x v="5"/>
    <n v="2085.5065"/>
    <x v="3"/>
    <s v="SAVE10"/>
    <n v="0"/>
    <x v="1282"/>
    <s v="Nazia Thomas"/>
    <n v="48.94"/>
    <n v="189.5915"/>
    <n v="2036.5664999999999"/>
    <d v="2023-11-12T00:00:00"/>
    <d v="2023-11-14T00:00:00"/>
    <s v="Eric"/>
    <n v="12"/>
    <n v="11"/>
    <x v="9"/>
    <x v="0"/>
    <x v="1"/>
    <n v="45"/>
  </r>
  <r>
    <d v="2025-04-18T00:00:00"/>
    <x v="3"/>
    <x v="1"/>
    <n v="5"/>
    <n v="504.96"/>
    <x v="2"/>
    <x v="1"/>
    <n v="0.05"/>
    <x v="4"/>
    <n v="2398.559999999999"/>
    <x v="1"/>
    <s v="FREESHIP"/>
    <n v="0"/>
    <x v="1283"/>
    <s v="Tanishq Iyer"/>
    <n v="22.12"/>
    <n v="479.71199999999982"/>
    <n v="2376.4399999999991"/>
    <d v="2025-04-18T00:00:00"/>
    <d v="2025-04-20T00:00:00"/>
    <s v="Cameron"/>
    <n v="18"/>
    <n v="4"/>
    <x v="7"/>
    <x v="2"/>
    <x v="2"/>
    <n v="16"/>
  </r>
  <r>
    <d v="2023-08-12T00:00:00"/>
    <x v="1"/>
    <x v="3"/>
    <n v="8"/>
    <n v="28.34"/>
    <x v="2"/>
    <x v="0"/>
    <n v="0.05"/>
    <x v="1"/>
    <n v="215.38399999999999"/>
    <x v="4"/>
    <s v="nan"/>
    <n v="1"/>
    <x v="1284"/>
    <s v="Sneha Shah"/>
    <n v="23.19"/>
    <n v="26.922999999999998"/>
    <n v="192.19399999999999"/>
    <d v="2023-08-12T00:00:00"/>
    <d v="2023-08-19T00:00:00"/>
    <s v="Sophie"/>
    <n v="12"/>
    <n v="8"/>
    <x v="10"/>
    <x v="0"/>
    <x v="3"/>
    <n v="32"/>
  </r>
  <r>
    <d v="2024-12-12T00:00:00"/>
    <x v="4"/>
    <x v="6"/>
    <n v="17"/>
    <n v="495.13"/>
    <x v="3"/>
    <x v="0"/>
    <n v="0.1"/>
    <x v="1"/>
    <n v="7575.4889999999996"/>
    <x v="0"/>
    <s v="FREESHIP"/>
    <n v="1"/>
    <x v="1285"/>
    <s v="Isha Srivastava"/>
    <n v="26.37"/>
    <n v="445.61699999999996"/>
    <n v="7549.1189999999997"/>
    <d v="2024-12-12T00:00:00"/>
    <d v="2024-12-21T00:00:00"/>
    <s v="Wendy"/>
    <n v="12"/>
    <n v="12"/>
    <x v="1"/>
    <x v="1"/>
    <x v="1"/>
    <n v="50"/>
  </r>
  <r>
    <d v="2025-05-07T00:00:00"/>
    <x v="4"/>
    <x v="1"/>
    <n v="14"/>
    <n v="142.05000000000001"/>
    <x v="3"/>
    <x v="1"/>
    <n v="0.05"/>
    <x v="2"/>
    <n v="1889.2650000000001"/>
    <x v="1"/>
    <s v="SAVE10"/>
    <n v="0"/>
    <x v="1286"/>
    <s v="Arjun Tiwari"/>
    <n v="33.65"/>
    <n v="134.94750000000002"/>
    <n v="1855.615"/>
    <d v="2025-05-07T00:00:00"/>
    <d v="2025-05-13T00:00:00"/>
    <s v="Wendy"/>
    <n v="7"/>
    <n v="5"/>
    <x v="2"/>
    <x v="2"/>
    <x v="2"/>
    <n v="19"/>
  </r>
  <r>
    <d v="2025-03-10T00:00:00"/>
    <x v="0"/>
    <x v="3"/>
    <n v="16"/>
    <n v="504.36"/>
    <x v="3"/>
    <x v="0"/>
    <n v="0"/>
    <x v="5"/>
    <n v="8069.76"/>
    <x v="3"/>
    <s v="nan"/>
    <n v="1"/>
    <x v="1287"/>
    <s v="Manish Naidu"/>
    <n v="11.67"/>
    <n v="504.36"/>
    <n v="8058.09"/>
    <d v="2025-03-10T00:00:00"/>
    <d v="2025-03-13T00:00:00"/>
    <s v="Eric"/>
    <n v="10"/>
    <n v="3"/>
    <x v="6"/>
    <x v="2"/>
    <x v="0"/>
    <n v="11"/>
  </r>
  <r>
    <d v="2025-06-01T00:00:00"/>
    <x v="0"/>
    <x v="2"/>
    <n v="7"/>
    <n v="122.2"/>
    <x v="0"/>
    <x v="1"/>
    <n v="0"/>
    <x v="3"/>
    <n v="855.4"/>
    <x v="2"/>
    <s v="nan"/>
    <n v="0"/>
    <x v="1288"/>
    <s v="Aditi Kapoor"/>
    <n v="30.21"/>
    <n v="122.2"/>
    <n v="825.18999999999994"/>
    <d v="2025-06-01T00:00:00"/>
    <d v="2025-06-10T00:00:00"/>
    <s v="Eric"/>
    <n v="1"/>
    <n v="6"/>
    <x v="3"/>
    <x v="2"/>
    <x v="2"/>
    <n v="22"/>
  </r>
  <r>
    <d v="2025-05-19T00:00:00"/>
    <x v="4"/>
    <x v="3"/>
    <n v="7"/>
    <n v="338.42"/>
    <x v="0"/>
    <x v="1"/>
    <n v="0.15"/>
    <x v="1"/>
    <n v="2013.5989999999999"/>
    <x v="0"/>
    <s v="FREESHIP"/>
    <n v="0"/>
    <x v="1289"/>
    <s v="Yash Mirza"/>
    <n v="5.82"/>
    <n v="287.65699999999998"/>
    <n v="2007.779"/>
    <d v="2025-05-19T00:00:00"/>
    <d v="2025-05-21T00:00:00"/>
    <s v="Wendy"/>
    <n v="19"/>
    <n v="5"/>
    <x v="2"/>
    <x v="2"/>
    <x v="2"/>
    <n v="21"/>
  </r>
  <r>
    <d v="2023-02-08T00:00:00"/>
    <x v="0"/>
    <x v="5"/>
    <n v="4"/>
    <n v="224.75"/>
    <x v="3"/>
    <x v="0"/>
    <n v="0"/>
    <x v="2"/>
    <n v="899"/>
    <x v="3"/>
    <s v="nan"/>
    <n v="0"/>
    <x v="1290"/>
    <s v="Vivaan Thakur"/>
    <n v="43.86"/>
    <n v="224.75"/>
    <n v="855.14"/>
    <d v="2023-02-08T00:00:00"/>
    <d v="2023-02-16T00:00:00"/>
    <s v="Eric"/>
    <n v="8"/>
    <n v="2"/>
    <x v="0"/>
    <x v="0"/>
    <x v="0"/>
    <n v="6"/>
  </r>
  <r>
    <d v="2025-04-24T00:00:00"/>
    <x v="3"/>
    <x v="2"/>
    <n v="16"/>
    <n v="509.71"/>
    <x v="2"/>
    <x v="0"/>
    <n v="0.1"/>
    <x v="3"/>
    <n v="7339.8239999999996"/>
    <x v="4"/>
    <s v="nan"/>
    <n v="0"/>
    <x v="1291"/>
    <s v="Kabir Kulkarni"/>
    <n v="41.78"/>
    <n v="458.73899999999998"/>
    <n v="7298.0439999999999"/>
    <d v="2025-04-24T00:00:00"/>
    <d v="2025-05-03T00:00:00"/>
    <s v="Cameron"/>
    <n v="24"/>
    <n v="4"/>
    <x v="7"/>
    <x v="2"/>
    <x v="2"/>
    <n v="17"/>
  </r>
  <r>
    <d v="2024-09-01T00:00:00"/>
    <x v="2"/>
    <x v="5"/>
    <n v="14"/>
    <n v="297.56"/>
    <x v="0"/>
    <x v="0"/>
    <n v="0.1"/>
    <x v="4"/>
    <n v="3749.2559999999999"/>
    <x v="3"/>
    <s v="FREESHIP"/>
    <n v="0"/>
    <x v="1292"/>
    <s v="Yash Singh"/>
    <n v="31.44"/>
    <n v="267.80399999999997"/>
    <n v="3717.8159999999998"/>
    <d v="2024-09-01T00:00:00"/>
    <d v="2024-09-08T00:00:00"/>
    <s v="Ryan"/>
    <n v="1"/>
    <n v="9"/>
    <x v="11"/>
    <x v="1"/>
    <x v="3"/>
    <n v="35"/>
  </r>
  <r>
    <d v="2024-11-07T00:00:00"/>
    <x v="3"/>
    <x v="6"/>
    <n v="13"/>
    <n v="365.11"/>
    <x v="2"/>
    <x v="1"/>
    <n v="0.05"/>
    <x v="4"/>
    <n v="4509.1085000000003"/>
    <x v="0"/>
    <s v="nan"/>
    <n v="0"/>
    <x v="1293"/>
    <s v="Zoya Joshi"/>
    <n v="13.97"/>
    <n v="346.85450000000003"/>
    <n v="4495.1385"/>
    <d v="2024-11-07T00:00:00"/>
    <d v="2024-11-13T00:00:00"/>
    <s v="Cameron"/>
    <n v="7"/>
    <n v="11"/>
    <x v="9"/>
    <x v="1"/>
    <x v="1"/>
    <n v="45"/>
  </r>
  <r>
    <d v="2024-11-29T00:00:00"/>
    <x v="0"/>
    <x v="3"/>
    <n v="1"/>
    <n v="139.13"/>
    <x v="2"/>
    <x v="0"/>
    <n v="0"/>
    <x v="3"/>
    <n v="139.13"/>
    <x v="4"/>
    <s v="nan"/>
    <n v="1"/>
    <x v="1294"/>
    <s v="Siddharth Pai"/>
    <n v="35.92"/>
    <n v="139.13"/>
    <n v="103.21"/>
    <d v="2024-11-29T00:00:00"/>
    <d v="2024-12-02T00:00:00"/>
    <s v="Eric"/>
    <n v="29"/>
    <n v="11"/>
    <x v="9"/>
    <x v="1"/>
    <x v="1"/>
    <n v="48"/>
  </r>
  <r>
    <d v="2023-04-10T00:00:00"/>
    <x v="4"/>
    <x v="3"/>
    <n v="6"/>
    <n v="543.89"/>
    <x v="2"/>
    <x v="1"/>
    <n v="0"/>
    <x v="5"/>
    <n v="3263.34"/>
    <x v="4"/>
    <s v="nan"/>
    <n v="1"/>
    <x v="1295"/>
    <s v="Raina Hegde"/>
    <n v="13.19"/>
    <n v="543.89"/>
    <n v="3250.15"/>
    <d v="2023-04-10T00:00:00"/>
    <d v="2023-04-20T00:00:00"/>
    <s v="Wendy"/>
    <n v="10"/>
    <n v="4"/>
    <x v="7"/>
    <x v="0"/>
    <x v="2"/>
    <n v="15"/>
  </r>
  <r>
    <d v="2024-01-10T00:00:00"/>
    <x v="2"/>
    <x v="6"/>
    <n v="19"/>
    <n v="219.7"/>
    <x v="1"/>
    <x v="1"/>
    <n v="0"/>
    <x v="1"/>
    <n v="4174.3"/>
    <x v="4"/>
    <s v="FREESHIP"/>
    <n v="0"/>
    <x v="1296"/>
    <s v="Priya Malik"/>
    <n v="15.38"/>
    <n v="219.70000000000002"/>
    <n v="4158.92"/>
    <d v="2024-01-10T00:00:00"/>
    <d v="2024-01-16T00:00:00"/>
    <s v="Ryan"/>
    <n v="10"/>
    <n v="1"/>
    <x v="4"/>
    <x v="1"/>
    <x v="0"/>
    <n v="2"/>
  </r>
  <r>
    <d v="2025-05-17T00:00:00"/>
    <x v="1"/>
    <x v="1"/>
    <n v="6"/>
    <n v="94.34"/>
    <x v="2"/>
    <x v="1"/>
    <n v="0.05"/>
    <x v="1"/>
    <n v="537.73799999999994"/>
    <x v="4"/>
    <s v="WINTER15"/>
    <n v="1"/>
    <x v="1297"/>
    <s v="Kunal Kaur"/>
    <n v="49.26"/>
    <n v="89.62299999999999"/>
    <n v="488.47799999999995"/>
    <d v="2025-05-17T00:00:00"/>
    <d v="2025-05-23T00:00:00"/>
    <s v="Sophie"/>
    <n v="17"/>
    <n v="5"/>
    <x v="2"/>
    <x v="2"/>
    <x v="2"/>
    <n v="20"/>
  </r>
  <r>
    <d v="2024-07-26T00:00:00"/>
    <x v="3"/>
    <x v="0"/>
    <n v="9"/>
    <n v="486.58"/>
    <x v="1"/>
    <x v="1"/>
    <n v="0.15"/>
    <x v="1"/>
    <n v="3722.337"/>
    <x v="0"/>
    <s v="FREESHIP"/>
    <n v="0"/>
    <x v="1298"/>
    <s v="Sanya Desai"/>
    <n v="38.72"/>
    <n v="413.59300000000002"/>
    <n v="3683.6170000000002"/>
    <d v="2024-07-26T00:00:00"/>
    <d v="2024-07-30T00:00:00"/>
    <s v="Cameron"/>
    <n v="26"/>
    <n v="7"/>
    <x v="8"/>
    <x v="1"/>
    <x v="3"/>
    <n v="30"/>
  </r>
  <r>
    <d v="2024-12-26T00:00:00"/>
    <x v="1"/>
    <x v="2"/>
    <n v="12"/>
    <n v="578.86"/>
    <x v="3"/>
    <x v="1"/>
    <n v="0.15"/>
    <x v="2"/>
    <n v="5904.3719999999994"/>
    <x v="4"/>
    <s v="FREESHIP"/>
    <n v="0"/>
    <x v="1299"/>
    <s v="Manya Desai"/>
    <n v="25.84"/>
    <n v="492.03099999999995"/>
    <n v="5878.5319999999992"/>
    <d v="2024-12-26T00:00:00"/>
    <d v="2025-01-03T00:00:00"/>
    <s v="Sophie"/>
    <n v="26"/>
    <n v="12"/>
    <x v="1"/>
    <x v="1"/>
    <x v="1"/>
    <n v="52"/>
  </r>
  <r>
    <d v="2025-01-23T00:00:00"/>
    <x v="0"/>
    <x v="5"/>
    <n v="7"/>
    <n v="196.88"/>
    <x v="2"/>
    <x v="1"/>
    <n v="0"/>
    <x v="4"/>
    <n v="1378.16"/>
    <x v="3"/>
    <s v="SAVE10"/>
    <n v="0"/>
    <x v="1300"/>
    <s v="Vikram Arora"/>
    <n v="44.92"/>
    <n v="196.88000000000002"/>
    <n v="1333.24"/>
    <d v="2025-01-23T00:00:00"/>
    <d v="2025-01-31T00:00:00"/>
    <s v="Eric"/>
    <n v="23"/>
    <n v="1"/>
    <x v="4"/>
    <x v="2"/>
    <x v="0"/>
    <n v="4"/>
  </r>
  <r>
    <d v="2024-03-25T00:00:00"/>
    <x v="1"/>
    <x v="1"/>
    <n v="7"/>
    <n v="446.32"/>
    <x v="0"/>
    <x v="0"/>
    <n v="0.1"/>
    <x v="1"/>
    <n v="2811.8159999999998"/>
    <x v="3"/>
    <s v="nan"/>
    <n v="0"/>
    <x v="1301"/>
    <s v="Simran Malik"/>
    <n v="47.23"/>
    <n v="401.68799999999999"/>
    <n v="2764.5859999999998"/>
    <d v="2024-03-25T00:00:00"/>
    <d v="2024-04-01T00:00:00"/>
    <s v="Sophie"/>
    <n v="25"/>
    <n v="3"/>
    <x v="6"/>
    <x v="1"/>
    <x v="0"/>
    <n v="13"/>
  </r>
  <r>
    <d v="2025-03-04T00:00:00"/>
    <x v="3"/>
    <x v="5"/>
    <n v="11"/>
    <n v="447.38"/>
    <x v="3"/>
    <x v="0"/>
    <n v="0"/>
    <x v="1"/>
    <n v="4921.18"/>
    <x v="1"/>
    <s v="SAVE10"/>
    <n v="0"/>
    <x v="1302"/>
    <s v="Ishaan Naidu"/>
    <n v="36.72"/>
    <n v="447.38000000000005"/>
    <n v="4884.46"/>
    <d v="2025-03-04T00:00:00"/>
    <d v="2025-03-11T00:00:00"/>
    <s v="Cameron"/>
    <n v="4"/>
    <n v="3"/>
    <x v="6"/>
    <x v="2"/>
    <x v="0"/>
    <n v="10"/>
  </r>
  <r>
    <d v="2023-10-20T00:00:00"/>
    <x v="1"/>
    <x v="2"/>
    <n v="14"/>
    <n v="275.33999999999997"/>
    <x v="0"/>
    <x v="1"/>
    <n v="0.1"/>
    <x v="3"/>
    <n v="3469.2840000000001"/>
    <x v="0"/>
    <s v="nan"/>
    <n v="1"/>
    <x v="1303"/>
    <s v="Ira Bose"/>
    <n v="32.799999999999997"/>
    <n v="247.80600000000001"/>
    <n v="3436.4839999999999"/>
    <d v="2023-10-20T00:00:00"/>
    <d v="2023-10-24T00:00:00"/>
    <s v="Sophie"/>
    <n v="20"/>
    <n v="10"/>
    <x v="5"/>
    <x v="0"/>
    <x v="1"/>
    <n v="42"/>
  </r>
  <r>
    <d v="2024-09-19T00:00:00"/>
    <x v="3"/>
    <x v="2"/>
    <n v="2"/>
    <n v="27.64"/>
    <x v="0"/>
    <x v="1"/>
    <n v="0.15"/>
    <x v="2"/>
    <n v="46.988"/>
    <x v="2"/>
    <s v="FREESHIP"/>
    <n v="0"/>
    <x v="1304"/>
    <s v="Rahul Banerjee"/>
    <n v="21.73"/>
    <n v="23.494"/>
    <n v="25.257999999999999"/>
    <d v="2024-09-19T00:00:00"/>
    <d v="2024-09-28T00:00:00"/>
    <s v="Cameron"/>
    <n v="19"/>
    <n v="9"/>
    <x v="11"/>
    <x v="1"/>
    <x v="3"/>
    <n v="38"/>
  </r>
  <r>
    <d v="2023-09-23T00:00:00"/>
    <x v="2"/>
    <x v="4"/>
    <n v="17"/>
    <n v="439.3"/>
    <x v="0"/>
    <x v="1"/>
    <n v="0"/>
    <x v="2"/>
    <n v="7468.1"/>
    <x v="0"/>
    <s v="FREESHIP"/>
    <n v="0"/>
    <x v="1305"/>
    <s v="Ananya D'Souza"/>
    <n v="12.87"/>
    <n v="439.3"/>
    <n v="7455.2300000000005"/>
    <d v="2023-09-23T00:00:00"/>
    <d v="2023-09-26T00:00:00"/>
    <s v="Ryan"/>
    <n v="23"/>
    <n v="9"/>
    <x v="11"/>
    <x v="0"/>
    <x v="3"/>
    <n v="38"/>
  </r>
  <r>
    <d v="2024-12-31T00:00:00"/>
    <x v="0"/>
    <x v="6"/>
    <n v="15"/>
    <n v="573.80999999999995"/>
    <x v="2"/>
    <x v="1"/>
    <n v="0"/>
    <x v="1"/>
    <n v="8607.15"/>
    <x v="1"/>
    <s v="SAVE10"/>
    <n v="0"/>
    <x v="1306"/>
    <s v="Pooja Joseph"/>
    <n v="35.869999999999997"/>
    <n v="573.80999999999995"/>
    <n v="8571.2799999999988"/>
    <d v="2024-12-31T00:00:00"/>
    <d v="2025-01-02T00:00:00"/>
    <s v="Eric"/>
    <n v="31"/>
    <n v="12"/>
    <x v="1"/>
    <x v="1"/>
    <x v="1"/>
    <n v="1"/>
  </r>
  <r>
    <d v="2024-01-23T00:00:00"/>
    <x v="2"/>
    <x v="2"/>
    <n v="19"/>
    <n v="360.06"/>
    <x v="2"/>
    <x v="0"/>
    <n v="0.05"/>
    <x v="0"/>
    <n v="6499.0829999999996"/>
    <x v="3"/>
    <s v="FREESHIP"/>
    <n v="0"/>
    <x v="1307"/>
    <s v="Nazia Nair"/>
    <n v="33.19"/>
    <n v="342.05699999999996"/>
    <n v="6465.893"/>
    <d v="2024-01-23T00:00:00"/>
    <d v="2024-01-31T00:00:00"/>
    <s v="Ryan"/>
    <n v="23"/>
    <n v="1"/>
    <x v="4"/>
    <x v="1"/>
    <x v="0"/>
    <n v="4"/>
  </r>
  <r>
    <d v="2023-06-13T00:00:00"/>
    <x v="0"/>
    <x v="0"/>
    <n v="7"/>
    <n v="535.20000000000005"/>
    <x v="2"/>
    <x v="1"/>
    <n v="0.1"/>
    <x v="2"/>
    <n v="3371.7600000000011"/>
    <x v="3"/>
    <s v="nan"/>
    <n v="0"/>
    <x v="1308"/>
    <s v="Manya Yadav"/>
    <n v="10.44"/>
    <n v="481.68000000000018"/>
    <n v="3361.3200000000011"/>
    <d v="2023-06-13T00:00:00"/>
    <d v="2023-06-23T00:00:00"/>
    <s v="Eric"/>
    <n v="13"/>
    <n v="6"/>
    <x v="3"/>
    <x v="0"/>
    <x v="2"/>
    <n v="24"/>
  </r>
  <r>
    <d v="2023-07-01T00:00:00"/>
    <x v="0"/>
    <x v="3"/>
    <n v="19"/>
    <n v="161.13"/>
    <x v="1"/>
    <x v="0"/>
    <n v="0"/>
    <x v="4"/>
    <n v="3061.47"/>
    <x v="2"/>
    <s v="FREESHIP"/>
    <n v="0"/>
    <x v="1309"/>
    <s v="Isha Patel"/>
    <n v="5.46"/>
    <n v="161.13"/>
    <n v="3056.0099999999998"/>
    <d v="2023-07-01T00:00:00"/>
    <d v="2023-07-06T00:00:00"/>
    <s v="Eric"/>
    <n v="1"/>
    <n v="7"/>
    <x v="8"/>
    <x v="0"/>
    <x v="3"/>
    <n v="26"/>
  </r>
  <r>
    <d v="2025-03-22T00:00:00"/>
    <x v="1"/>
    <x v="0"/>
    <n v="11"/>
    <n v="29.6"/>
    <x v="3"/>
    <x v="1"/>
    <n v="0.15"/>
    <x v="3"/>
    <n v="276.76"/>
    <x v="4"/>
    <s v="FREESHIP"/>
    <n v="1"/>
    <x v="1310"/>
    <s v="Meera Patel"/>
    <n v="34.96"/>
    <n v="25.16"/>
    <n v="241.79999999999998"/>
    <d v="2025-03-22T00:00:00"/>
    <d v="2025-03-25T00:00:00"/>
    <s v="Sophie"/>
    <n v="22"/>
    <n v="3"/>
    <x v="6"/>
    <x v="2"/>
    <x v="0"/>
    <n v="12"/>
  </r>
  <r>
    <d v="2025-02-07T00:00:00"/>
    <x v="1"/>
    <x v="0"/>
    <n v="16"/>
    <n v="172.89"/>
    <x v="0"/>
    <x v="0"/>
    <n v="0.15"/>
    <x v="4"/>
    <n v="2351.3040000000001"/>
    <x v="2"/>
    <s v="FREESHIP"/>
    <n v="1"/>
    <x v="1311"/>
    <s v="Aman Shaikh"/>
    <n v="41.87"/>
    <n v="146.95650000000001"/>
    <n v="2309.4340000000002"/>
    <d v="2025-02-07T00:00:00"/>
    <d v="2025-02-15T00:00:00"/>
    <s v="Sophie"/>
    <n v="7"/>
    <n v="2"/>
    <x v="0"/>
    <x v="2"/>
    <x v="0"/>
    <n v="6"/>
  </r>
  <r>
    <d v="2023-10-18T00:00:00"/>
    <x v="2"/>
    <x v="1"/>
    <n v="5"/>
    <n v="48.06"/>
    <x v="1"/>
    <x v="0"/>
    <n v="0"/>
    <x v="1"/>
    <n v="240.3"/>
    <x v="1"/>
    <s v="FREESHIP"/>
    <n v="0"/>
    <x v="1312"/>
    <s v="Tanvi Vora"/>
    <n v="19.170000000000002"/>
    <n v="48.06"/>
    <n v="221.13"/>
    <d v="2023-10-18T00:00:00"/>
    <d v="2023-10-26T00:00:00"/>
    <s v="Ryan"/>
    <n v="18"/>
    <n v="10"/>
    <x v="5"/>
    <x v="0"/>
    <x v="1"/>
    <n v="42"/>
  </r>
  <r>
    <d v="2024-01-02T00:00:00"/>
    <x v="3"/>
    <x v="2"/>
    <n v="7"/>
    <n v="55.76"/>
    <x v="2"/>
    <x v="0"/>
    <n v="0.1"/>
    <x v="1"/>
    <n v="351.28800000000001"/>
    <x v="0"/>
    <s v="nan"/>
    <n v="0"/>
    <x v="1313"/>
    <s v="Neha Jain"/>
    <n v="38.979999999999997"/>
    <n v="50.184000000000005"/>
    <n v="312.30799999999999"/>
    <d v="2024-01-02T00:00:00"/>
    <d v="2024-01-11T00:00:00"/>
    <s v="Cameron"/>
    <n v="2"/>
    <n v="1"/>
    <x v="4"/>
    <x v="1"/>
    <x v="0"/>
    <n v="1"/>
  </r>
  <r>
    <d v="2025-03-08T00:00:00"/>
    <x v="1"/>
    <x v="0"/>
    <n v="4"/>
    <n v="24.58"/>
    <x v="0"/>
    <x v="0"/>
    <n v="0.15"/>
    <x v="3"/>
    <n v="83.571999999999989"/>
    <x v="3"/>
    <s v="WINTER15"/>
    <n v="0"/>
    <x v="1314"/>
    <s v="Arjun Bansal"/>
    <n v="39.869999999999997"/>
    <n v="20.892999999999997"/>
    <n v="43.701999999999991"/>
    <d v="2025-03-08T00:00:00"/>
    <d v="2025-03-17T00:00:00"/>
    <s v="Sophie"/>
    <n v="8"/>
    <n v="3"/>
    <x v="6"/>
    <x v="2"/>
    <x v="0"/>
    <n v="10"/>
  </r>
  <r>
    <d v="2023-07-03T00:00:00"/>
    <x v="4"/>
    <x v="2"/>
    <n v="2"/>
    <n v="504.82"/>
    <x v="3"/>
    <x v="1"/>
    <n v="0"/>
    <x v="3"/>
    <n v="1009.64"/>
    <x v="3"/>
    <s v="FREESHIP"/>
    <n v="0"/>
    <x v="1315"/>
    <s v="Raina Dutta"/>
    <n v="25.54"/>
    <n v="504.82"/>
    <n v="984.1"/>
    <d v="2023-07-03T00:00:00"/>
    <d v="2023-07-08T00:00:00"/>
    <s v="Wendy"/>
    <n v="3"/>
    <n v="7"/>
    <x v="8"/>
    <x v="0"/>
    <x v="3"/>
    <n v="27"/>
  </r>
  <r>
    <d v="2023-11-15T00:00:00"/>
    <x v="2"/>
    <x v="5"/>
    <n v="17"/>
    <n v="275.89"/>
    <x v="0"/>
    <x v="0"/>
    <n v="0.1"/>
    <x v="5"/>
    <n v="4221.1170000000002"/>
    <x v="1"/>
    <s v="FREESHIP"/>
    <n v="0"/>
    <x v="1316"/>
    <s v="Ashwin Joshi"/>
    <n v="15.43"/>
    <n v="248.30100000000002"/>
    <n v="4205.6869999999999"/>
    <d v="2023-11-15T00:00:00"/>
    <d v="2023-11-22T00:00:00"/>
    <s v="Ryan"/>
    <n v="15"/>
    <n v="11"/>
    <x v="9"/>
    <x v="0"/>
    <x v="1"/>
    <n v="46"/>
  </r>
  <r>
    <d v="2024-02-10T00:00:00"/>
    <x v="4"/>
    <x v="2"/>
    <n v="9"/>
    <n v="130.57"/>
    <x v="2"/>
    <x v="0"/>
    <n v="0.1"/>
    <x v="0"/>
    <n v="1057.617"/>
    <x v="4"/>
    <s v="WINTER15"/>
    <n v="0"/>
    <x v="1317"/>
    <s v="Tanvi Malhotra"/>
    <n v="37.14"/>
    <n v="117.51299999999999"/>
    <n v="1020.477"/>
    <d v="2024-02-10T00:00:00"/>
    <d v="2024-02-17T00:00:00"/>
    <s v="Wendy"/>
    <n v="10"/>
    <n v="2"/>
    <x v="0"/>
    <x v="1"/>
    <x v="0"/>
    <n v="6"/>
  </r>
  <r>
    <d v="2025-04-09T00:00:00"/>
    <x v="4"/>
    <x v="4"/>
    <n v="12"/>
    <n v="312.72000000000003"/>
    <x v="2"/>
    <x v="1"/>
    <n v="0"/>
    <x v="0"/>
    <n v="3752.64"/>
    <x v="1"/>
    <s v="nan"/>
    <n v="0"/>
    <x v="1318"/>
    <s v="Pranav Joseph"/>
    <n v="18.46"/>
    <n v="312.71999999999997"/>
    <n v="3734.18"/>
    <d v="2025-04-09T00:00:00"/>
    <d v="2025-04-19T00:00:00"/>
    <s v="Wendy"/>
    <n v="9"/>
    <n v="4"/>
    <x v="7"/>
    <x v="2"/>
    <x v="2"/>
    <n v="15"/>
  </r>
  <r>
    <d v="2023-09-09T00:00:00"/>
    <x v="4"/>
    <x v="5"/>
    <n v="18"/>
    <n v="222.66"/>
    <x v="2"/>
    <x v="0"/>
    <n v="0.05"/>
    <x v="1"/>
    <n v="3807.4859999999999"/>
    <x v="1"/>
    <s v="SAVE10"/>
    <n v="0"/>
    <x v="1319"/>
    <s v="Vikram Thakur"/>
    <n v="12.91"/>
    <n v="211.52699999999999"/>
    <n v="3794.576"/>
    <d v="2023-09-09T00:00:00"/>
    <d v="2023-09-12T00:00:00"/>
    <s v="Wendy"/>
    <n v="9"/>
    <n v="9"/>
    <x v="11"/>
    <x v="0"/>
    <x v="3"/>
    <n v="36"/>
  </r>
  <r>
    <d v="2023-03-19T00:00:00"/>
    <x v="0"/>
    <x v="1"/>
    <n v="13"/>
    <n v="374.05"/>
    <x v="3"/>
    <x v="0"/>
    <n v="0.05"/>
    <x v="4"/>
    <n v="4619.5174999999999"/>
    <x v="3"/>
    <s v="FREESHIP"/>
    <n v="0"/>
    <x v="1320"/>
    <s v="Rahul Shaikh"/>
    <n v="26.32"/>
    <n v="355.34749999999997"/>
    <n v="4593.1975000000002"/>
    <d v="2023-03-19T00:00:00"/>
    <d v="2023-03-26T00:00:00"/>
    <s v="Eric"/>
    <n v="19"/>
    <n v="3"/>
    <x v="6"/>
    <x v="0"/>
    <x v="0"/>
    <n v="11"/>
  </r>
  <r>
    <d v="2024-12-31T00:00:00"/>
    <x v="3"/>
    <x v="6"/>
    <n v="11"/>
    <n v="331.29"/>
    <x v="0"/>
    <x v="0"/>
    <n v="0.1"/>
    <x v="1"/>
    <n v="3279.7710000000002"/>
    <x v="2"/>
    <s v="WINTER15"/>
    <n v="0"/>
    <x v="1321"/>
    <s v="Alina Vora"/>
    <n v="6.22"/>
    <n v="298.161"/>
    <n v="3273.5510000000004"/>
    <d v="2024-12-31T00:00:00"/>
    <d v="2025-01-02T00:00:00"/>
    <s v="Cameron"/>
    <n v="31"/>
    <n v="12"/>
    <x v="1"/>
    <x v="1"/>
    <x v="1"/>
    <n v="1"/>
  </r>
  <r>
    <d v="2023-11-24T00:00:00"/>
    <x v="3"/>
    <x v="1"/>
    <n v="5"/>
    <n v="533.52"/>
    <x v="3"/>
    <x v="0"/>
    <n v="0"/>
    <x v="3"/>
    <n v="2667.6"/>
    <x v="2"/>
    <s v="FREESHIP"/>
    <n v="1"/>
    <x v="1322"/>
    <s v="Ved Sinha"/>
    <n v="9.08"/>
    <n v="533.52"/>
    <n v="2658.52"/>
    <d v="2023-11-24T00:00:00"/>
    <d v="2023-11-26T00:00:00"/>
    <s v="Cameron"/>
    <n v="24"/>
    <n v="11"/>
    <x v="9"/>
    <x v="0"/>
    <x v="1"/>
    <n v="47"/>
  </r>
  <r>
    <d v="2025-05-15T00:00:00"/>
    <x v="0"/>
    <x v="3"/>
    <n v="10"/>
    <n v="492.24"/>
    <x v="1"/>
    <x v="1"/>
    <n v="0"/>
    <x v="1"/>
    <n v="4922.3999999999996"/>
    <x v="1"/>
    <s v="WINTER15"/>
    <n v="0"/>
    <x v="1323"/>
    <s v="Shruti Menon"/>
    <n v="38.89"/>
    <n v="492.23999999999995"/>
    <n v="4883.5099999999993"/>
    <d v="2025-05-15T00:00:00"/>
    <d v="2025-05-22T00:00:00"/>
    <s v="Eric"/>
    <n v="15"/>
    <n v="5"/>
    <x v="2"/>
    <x v="2"/>
    <x v="2"/>
    <n v="20"/>
  </r>
  <r>
    <d v="2025-04-06T00:00:00"/>
    <x v="1"/>
    <x v="5"/>
    <n v="9"/>
    <n v="543.57000000000005"/>
    <x v="3"/>
    <x v="1"/>
    <n v="0.15"/>
    <x v="4"/>
    <n v="4158.3104999999996"/>
    <x v="3"/>
    <s v="SAVE10"/>
    <n v="0"/>
    <x v="1324"/>
    <s v="Sara Bhatia"/>
    <n v="7.54"/>
    <n v="462.03449999999998"/>
    <n v="4150.7704999999996"/>
    <d v="2025-04-06T00:00:00"/>
    <d v="2025-04-11T00:00:00"/>
    <s v="Sophie"/>
    <n v="6"/>
    <n v="4"/>
    <x v="7"/>
    <x v="2"/>
    <x v="2"/>
    <n v="14"/>
  </r>
  <r>
    <d v="2024-02-06T00:00:00"/>
    <x v="1"/>
    <x v="2"/>
    <n v="17"/>
    <n v="141.76"/>
    <x v="3"/>
    <x v="0"/>
    <n v="0.1"/>
    <x v="5"/>
    <n v="2168.9279999999999"/>
    <x v="4"/>
    <s v="WINTER15"/>
    <n v="1"/>
    <x v="1325"/>
    <s v="Nikhil Syed"/>
    <n v="9.98"/>
    <n v="127.58399999999999"/>
    <n v="2158.9479999999999"/>
    <d v="2024-02-06T00:00:00"/>
    <d v="2024-02-14T00:00:00"/>
    <s v="Sophie"/>
    <n v="6"/>
    <n v="2"/>
    <x v="0"/>
    <x v="1"/>
    <x v="0"/>
    <n v="6"/>
  </r>
  <r>
    <d v="2025-05-14T00:00:00"/>
    <x v="2"/>
    <x v="0"/>
    <n v="12"/>
    <n v="502.7"/>
    <x v="3"/>
    <x v="0"/>
    <n v="0.1"/>
    <x v="1"/>
    <n v="5429.16"/>
    <x v="2"/>
    <s v="FREESHIP"/>
    <n v="0"/>
    <x v="1326"/>
    <s v="Aarav Gupta"/>
    <n v="6.49"/>
    <n v="452.43"/>
    <n v="5422.67"/>
    <d v="2025-05-14T00:00:00"/>
    <d v="2025-05-20T00:00:00"/>
    <s v="Ryan"/>
    <n v="14"/>
    <n v="5"/>
    <x v="2"/>
    <x v="2"/>
    <x v="2"/>
    <n v="20"/>
  </r>
  <r>
    <d v="2023-01-13T00:00:00"/>
    <x v="0"/>
    <x v="5"/>
    <n v="10"/>
    <n v="155.43"/>
    <x v="3"/>
    <x v="0"/>
    <n v="0.05"/>
    <x v="2"/>
    <n v="1476.585"/>
    <x v="1"/>
    <s v="WINTER15"/>
    <n v="0"/>
    <x v="1327"/>
    <s v="Vivaan Banerjee"/>
    <n v="26.49"/>
    <n v="147.6585"/>
    <n v="1450.095"/>
    <d v="2023-01-13T00:00:00"/>
    <d v="2023-01-18T00:00:00"/>
    <s v="Eric"/>
    <n v="13"/>
    <n v="1"/>
    <x v="4"/>
    <x v="0"/>
    <x v="0"/>
    <n v="2"/>
  </r>
  <r>
    <d v="2024-02-19T00:00:00"/>
    <x v="2"/>
    <x v="5"/>
    <n v="18"/>
    <n v="203.73"/>
    <x v="0"/>
    <x v="0"/>
    <n v="0"/>
    <x v="3"/>
    <n v="3667.14"/>
    <x v="1"/>
    <s v="SAVE10"/>
    <n v="1"/>
    <x v="1328"/>
    <s v="Rohan Ansari"/>
    <n v="24.98"/>
    <n v="203.73"/>
    <n v="3642.16"/>
    <d v="2024-02-19T00:00:00"/>
    <d v="2024-02-28T00:00:00"/>
    <s v="Ryan"/>
    <n v="19"/>
    <n v="2"/>
    <x v="0"/>
    <x v="1"/>
    <x v="0"/>
    <n v="8"/>
  </r>
  <r>
    <d v="2023-10-07T00:00:00"/>
    <x v="1"/>
    <x v="1"/>
    <n v="3"/>
    <n v="464.11"/>
    <x v="0"/>
    <x v="0"/>
    <n v="0.15"/>
    <x v="1"/>
    <n v="1183.4804999999999"/>
    <x v="1"/>
    <s v="nan"/>
    <n v="0"/>
    <x v="1329"/>
    <s v="Parth Srivastava"/>
    <n v="27.45"/>
    <n v="394.49349999999998"/>
    <n v="1156.0304999999998"/>
    <d v="2023-10-07T00:00:00"/>
    <d v="2023-10-12T00:00:00"/>
    <s v="Sophie"/>
    <n v="7"/>
    <n v="10"/>
    <x v="5"/>
    <x v="0"/>
    <x v="1"/>
    <n v="40"/>
  </r>
  <r>
    <d v="2024-09-17T00:00:00"/>
    <x v="3"/>
    <x v="3"/>
    <n v="2"/>
    <n v="442.03"/>
    <x v="0"/>
    <x v="1"/>
    <n v="0.15"/>
    <x v="3"/>
    <n v="751.45099999999991"/>
    <x v="3"/>
    <s v="WINTER15"/>
    <n v="0"/>
    <x v="1330"/>
    <s v="Simran Yadav"/>
    <n v="28.71"/>
    <n v="375.72549999999995"/>
    <n v="722.74099999999987"/>
    <d v="2024-09-17T00:00:00"/>
    <d v="2024-09-19T00:00:00"/>
    <s v="Cameron"/>
    <n v="17"/>
    <n v="9"/>
    <x v="11"/>
    <x v="1"/>
    <x v="3"/>
    <n v="38"/>
  </r>
  <r>
    <d v="2023-05-07T00:00:00"/>
    <x v="2"/>
    <x v="1"/>
    <n v="7"/>
    <n v="82.91"/>
    <x v="1"/>
    <x v="1"/>
    <n v="0.05"/>
    <x v="0"/>
    <n v="551.35149999999999"/>
    <x v="3"/>
    <s v="WINTER15"/>
    <n v="1"/>
    <x v="1331"/>
    <s v="Sai Pai"/>
    <n v="17.03"/>
    <n v="78.764499999999998"/>
    <n v="534.32150000000001"/>
    <d v="2023-05-07T00:00:00"/>
    <d v="2023-05-17T00:00:00"/>
    <s v="Ryan"/>
    <n v="7"/>
    <n v="5"/>
    <x v="2"/>
    <x v="0"/>
    <x v="2"/>
    <n v="18"/>
  </r>
  <r>
    <d v="2023-12-12T00:00:00"/>
    <x v="2"/>
    <x v="1"/>
    <n v="13"/>
    <n v="468.16"/>
    <x v="0"/>
    <x v="1"/>
    <n v="0.15"/>
    <x v="1"/>
    <n v="5173.1679999999997"/>
    <x v="4"/>
    <s v="SAVE10"/>
    <n v="0"/>
    <x v="1332"/>
    <s v="Devansh Saxena"/>
    <n v="29.11"/>
    <n v="397.93599999999998"/>
    <n v="5144.058"/>
    <d v="2023-12-12T00:00:00"/>
    <d v="2023-12-21T00:00:00"/>
    <s v="Ryan"/>
    <n v="12"/>
    <n v="12"/>
    <x v="1"/>
    <x v="0"/>
    <x v="1"/>
    <n v="50"/>
  </r>
  <r>
    <d v="2025-03-11T00:00:00"/>
    <x v="3"/>
    <x v="5"/>
    <n v="3"/>
    <n v="11.32"/>
    <x v="2"/>
    <x v="1"/>
    <n v="0.05"/>
    <x v="0"/>
    <n v="32.262"/>
    <x v="0"/>
    <s v="WINTER15"/>
    <n v="0"/>
    <x v="1333"/>
    <s v="Diya Pai"/>
    <n v="16.39"/>
    <n v="10.754"/>
    <n v="15.872"/>
    <d v="2025-03-11T00:00:00"/>
    <d v="2025-03-14T00:00:00"/>
    <s v="Cameron"/>
    <n v="11"/>
    <n v="3"/>
    <x v="6"/>
    <x v="2"/>
    <x v="0"/>
    <n v="11"/>
  </r>
  <r>
    <d v="2024-03-29T00:00:00"/>
    <x v="0"/>
    <x v="3"/>
    <n v="1"/>
    <n v="378.36"/>
    <x v="1"/>
    <x v="1"/>
    <n v="0.05"/>
    <x v="0"/>
    <n v="359.44200000000001"/>
    <x v="4"/>
    <s v="nan"/>
    <n v="0"/>
    <x v="1334"/>
    <s v="Kabir Dutta"/>
    <n v="7.59"/>
    <n v="359.44200000000001"/>
    <n v="351.85200000000003"/>
    <d v="2024-03-29T00:00:00"/>
    <d v="2024-04-07T00:00:00"/>
    <s v="Eric"/>
    <n v="29"/>
    <n v="3"/>
    <x v="6"/>
    <x v="1"/>
    <x v="0"/>
    <n v="13"/>
  </r>
  <r>
    <d v="2024-07-28T00:00:00"/>
    <x v="4"/>
    <x v="5"/>
    <n v="6"/>
    <n v="61.06"/>
    <x v="3"/>
    <x v="0"/>
    <n v="0"/>
    <x v="5"/>
    <n v="366.36"/>
    <x v="3"/>
    <s v="SAVE10"/>
    <n v="1"/>
    <x v="1335"/>
    <s v="Yash Rawat"/>
    <n v="49.09"/>
    <n v="61.06"/>
    <n v="317.27"/>
    <d v="2024-07-28T00:00:00"/>
    <d v="2024-08-05T00:00:00"/>
    <s v="Wendy"/>
    <n v="28"/>
    <n v="7"/>
    <x v="8"/>
    <x v="1"/>
    <x v="3"/>
    <n v="30"/>
  </r>
  <r>
    <d v="2024-07-11T00:00:00"/>
    <x v="1"/>
    <x v="5"/>
    <n v="14"/>
    <n v="98.06"/>
    <x v="1"/>
    <x v="0"/>
    <n v="0.1"/>
    <x v="1"/>
    <n v="1235.556"/>
    <x v="3"/>
    <s v="SAVE10"/>
    <n v="1"/>
    <x v="1336"/>
    <s v="Isha Pathan"/>
    <n v="10.34"/>
    <n v="88.254000000000005"/>
    <n v="1225.2160000000001"/>
    <d v="2024-07-11T00:00:00"/>
    <d v="2024-07-21T00:00:00"/>
    <s v="Sophie"/>
    <n v="11"/>
    <n v="7"/>
    <x v="8"/>
    <x v="1"/>
    <x v="3"/>
    <n v="28"/>
  </r>
  <r>
    <d v="2024-07-05T00:00:00"/>
    <x v="4"/>
    <x v="0"/>
    <n v="16"/>
    <n v="123.86"/>
    <x v="1"/>
    <x v="0"/>
    <n v="0.15"/>
    <x v="1"/>
    <n v="1684.4960000000001"/>
    <x v="1"/>
    <s v="nan"/>
    <n v="1"/>
    <x v="1337"/>
    <s v="Karan Yadav"/>
    <n v="18.02"/>
    <n v="105.28100000000001"/>
    <n v="1666.4760000000001"/>
    <d v="2024-07-05T00:00:00"/>
    <d v="2024-07-14T00:00:00"/>
    <s v="Wendy"/>
    <n v="5"/>
    <n v="7"/>
    <x v="8"/>
    <x v="1"/>
    <x v="3"/>
    <n v="27"/>
  </r>
  <r>
    <d v="2024-03-19T00:00:00"/>
    <x v="0"/>
    <x v="0"/>
    <n v="16"/>
    <n v="90.3"/>
    <x v="2"/>
    <x v="0"/>
    <n v="0.05"/>
    <x v="4"/>
    <n v="1372.56"/>
    <x v="0"/>
    <s v="WINTER15"/>
    <n v="0"/>
    <x v="1338"/>
    <s v="Devansh Farooqui"/>
    <n v="25.25"/>
    <n v="85.784999999999997"/>
    <n v="1347.31"/>
    <d v="2024-03-19T00:00:00"/>
    <d v="2024-03-24T00:00:00"/>
    <s v="Eric"/>
    <n v="19"/>
    <n v="3"/>
    <x v="6"/>
    <x v="1"/>
    <x v="0"/>
    <n v="12"/>
  </r>
  <r>
    <d v="2023-12-25T00:00:00"/>
    <x v="3"/>
    <x v="5"/>
    <n v="18"/>
    <n v="470.91"/>
    <x v="2"/>
    <x v="0"/>
    <n v="0.1"/>
    <x v="0"/>
    <n v="7628.7420000000011"/>
    <x v="1"/>
    <s v="FREESHIP"/>
    <n v="0"/>
    <x v="1339"/>
    <s v="Manya Saxena"/>
    <n v="14.87"/>
    <n v="423.81900000000007"/>
    <n v="7613.8720000000012"/>
    <d v="2023-12-25T00:00:00"/>
    <d v="2023-12-29T00:00:00"/>
    <s v="Cameron"/>
    <n v="25"/>
    <n v="12"/>
    <x v="1"/>
    <x v="0"/>
    <x v="1"/>
    <n v="52"/>
  </r>
  <r>
    <d v="2024-12-03T00:00:00"/>
    <x v="1"/>
    <x v="4"/>
    <n v="12"/>
    <n v="383.45"/>
    <x v="2"/>
    <x v="1"/>
    <n v="0"/>
    <x v="5"/>
    <n v="4601.3999999999996"/>
    <x v="3"/>
    <s v="FREESHIP"/>
    <n v="0"/>
    <x v="1340"/>
    <s v="Ananya Joseph"/>
    <n v="11.62"/>
    <n v="383.45"/>
    <n v="4589.78"/>
    <d v="2024-12-03T00:00:00"/>
    <d v="2024-12-05T00:00:00"/>
    <s v="Sophie"/>
    <n v="3"/>
    <n v="12"/>
    <x v="1"/>
    <x v="1"/>
    <x v="1"/>
    <n v="49"/>
  </r>
  <r>
    <d v="2023-09-08T00:00:00"/>
    <x v="0"/>
    <x v="5"/>
    <n v="20"/>
    <n v="293.94"/>
    <x v="0"/>
    <x v="1"/>
    <n v="0.15"/>
    <x v="1"/>
    <n v="4996.9799999999996"/>
    <x v="2"/>
    <s v="SAVE10"/>
    <n v="0"/>
    <x v="1341"/>
    <s v="Suresh Tripathi"/>
    <n v="9.2899999999999991"/>
    <n v="249.84899999999999"/>
    <n v="4987.6899999999996"/>
    <d v="2023-09-08T00:00:00"/>
    <d v="2023-09-15T00:00:00"/>
    <s v="Eric"/>
    <n v="8"/>
    <n v="9"/>
    <x v="11"/>
    <x v="0"/>
    <x v="3"/>
    <n v="36"/>
  </r>
  <r>
    <d v="2024-01-05T00:00:00"/>
    <x v="0"/>
    <x v="2"/>
    <n v="2"/>
    <n v="454.01"/>
    <x v="0"/>
    <x v="0"/>
    <n v="0"/>
    <x v="4"/>
    <n v="908.02"/>
    <x v="0"/>
    <s v="WINTER15"/>
    <n v="0"/>
    <x v="1342"/>
    <s v="Diya Mathew"/>
    <n v="9.7799999999999994"/>
    <n v="454.01"/>
    <n v="898.24"/>
    <d v="2024-01-05T00:00:00"/>
    <d v="2024-01-07T00:00:00"/>
    <s v="Eric"/>
    <n v="5"/>
    <n v="1"/>
    <x v="4"/>
    <x v="1"/>
    <x v="0"/>
    <n v="1"/>
  </r>
  <r>
    <d v="2023-08-03T00:00:00"/>
    <x v="1"/>
    <x v="3"/>
    <n v="5"/>
    <n v="163.55000000000001"/>
    <x v="3"/>
    <x v="1"/>
    <n v="0.05"/>
    <x v="2"/>
    <n v="776.86249999999995"/>
    <x v="4"/>
    <s v="nan"/>
    <n v="0"/>
    <x v="1343"/>
    <s v="Ved Shaikh"/>
    <n v="28.9"/>
    <n v="155.3725"/>
    <n v="747.96249999999998"/>
    <d v="2023-08-03T00:00:00"/>
    <d v="2023-08-10T00:00:00"/>
    <s v="Sophie"/>
    <n v="3"/>
    <n v="8"/>
    <x v="10"/>
    <x v="0"/>
    <x v="3"/>
    <n v="31"/>
  </r>
  <r>
    <d v="2025-02-11T00:00:00"/>
    <x v="2"/>
    <x v="4"/>
    <n v="12"/>
    <n v="141.61000000000001"/>
    <x v="0"/>
    <x v="0"/>
    <n v="0"/>
    <x v="2"/>
    <n v="1699.32"/>
    <x v="2"/>
    <s v="WINTER15"/>
    <n v="0"/>
    <x v="1344"/>
    <s v="Suresh Hussain"/>
    <n v="11.72"/>
    <n v="141.60999999999999"/>
    <n v="1687.6"/>
    <d v="2025-02-11T00:00:00"/>
    <d v="2025-02-21T00:00:00"/>
    <s v="Ryan"/>
    <n v="11"/>
    <n v="2"/>
    <x v="0"/>
    <x v="2"/>
    <x v="0"/>
    <n v="7"/>
  </r>
  <r>
    <d v="2023-06-17T00:00:00"/>
    <x v="1"/>
    <x v="3"/>
    <n v="6"/>
    <n v="332.18"/>
    <x v="0"/>
    <x v="0"/>
    <n v="0.1"/>
    <x v="5"/>
    <n v="1793.7719999999999"/>
    <x v="0"/>
    <s v="WINTER15"/>
    <n v="0"/>
    <x v="1345"/>
    <s v="Diya Kaur"/>
    <n v="21.95"/>
    <n v="298.96199999999999"/>
    <n v="1771.8219999999999"/>
    <d v="2023-06-17T00:00:00"/>
    <d v="2023-06-21T00:00:00"/>
    <s v="Sophie"/>
    <n v="17"/>
    <n v="6"/>
    <x v="3"/>
    <x v="0"/>
    <x v="2"/>
    <n v="24"/>
  </r>
  <r>
    <d v="2024-02-05T00:00:00"/>
    <x v="3"/>
    <x v="4"/>
    <n v="14"/>
    <n v="463.96"/>
    <x v="3"/>
    <x v="1"/>
    <n v="0.15"/>
    <x v="4"/>
    <n v="5521.1239999999998"/>
    <x v="1"/>
    <s v="nan"/>
    <n v="0"/>
    <x v="1346"/>
    <s v="Aarav Shetty"/>
    <n v="29.19"/>
    <n v="394.36599999999999"/>
    <n v="5491.9340000000002"/>
    <d v="2024-02-05T00:00:00"/>
    <d v="2024-02-14T00:00:00"/>
    <s v="Cameron"/>
    <n v="5"/>
    <n v="2"/>
    <x v="0"/>
    <x v="1"/>
    <x v="0"/>
    <n v="6"/>
  </r>
  <r>
    <d v="2024-03-17T00:00:00"/>
    <x v="1"/>
    <x v="2"/>
    <n v="10"/>
    <n v="68.27"/>
    <x v="1"/>
    <x v="0"/>
    <n v="0.15"/>
    <x v="4"/>
    <n v="580.29499999999996"/>
    <x v="2"/>
    <s v="nan"/>
    <n v="0"/>
    <x v="1347"/>
    <s v="Arjun Mishra"/>
    <n v="24.33"/>
    <n v="58.029499999999999"/>
    <n v="555.96499999999992"/>
    <d v="2024-03-17T00:00:00"/>
    <d v="2024-03-27T00:00:00"/>
    <s v="Sophie"/>
    <n v="17"/>
    <n v="3"/>
    <x v="6"/>
    <x v="1"/>
    <x v="0"/>
    <n v="11"/>
  </r>
  <r>
    <d v="2024-02-03T00:00:00"/>
    <x v="3"/>
    <x v="0"/>
    <n v="8"/>
    <n v="27.01"/>
    <x v="2"/>
    <x v="0"/>
    <n v="0.05"/>
    <x v="0"/>
    <n v="205.27600000000001"/>
    <x v="0"/>
    <s v="FREESHIP"/>
    <n v="1"/>
    <x v="1348"/>
    <s v="Mohit Chaudhary"/>
    <n v="42.65"/>
    <n v="25.659500000000001"/>
    <n v="162.626"/>
    <d v="2024-02-03T00:00:00"/>
    <d v="2024-02-09T00:00:00"/>
    <s v="Cameron"/>
    <n v="3"/>
    <n v="2"/>
    <x v="0"/>
    <x v="1"/>
    <x v="0"/>
    <n v="5"/>
  </r>
  <r>
    <d v="2023-03-31T00:00:00"/>
    <x v="2"/>
    <x v="5"/>
    <n v="9"/>
    <n v="78.8"/>
    <x v="3"/>
    <x v="1"/>
    <n v="0.1"/>
    <x v="1"/>
    <n v="638.28"/>
    <x v="0"/>
    <s v="FREESHIP"/>
    <n v="0"/>
    <x v="1349"/>
    <s v="Vivaan Bansal"/>
    <n v="9.2899999999999991"/>
    <n v="70.92"/>
    <n v="628.99"/>
    <d v="2023-03-31T00:00:00"/>
    <d v="2023-04-10T00:00:00"/>
    <s v="Ryan"/>
    <n v="31"/>
    <n v="3"/>
    <x v="6"/>
    <x v="0"/>
    <x v="0"/>
    <n v="13"/>
  </r>
  <r>
    <d v="2023-08-18T00:00:00"/>
    <x v="4"/>
    <x v="5"/>
    <n v="16"/>
    <n v="174.68"/>
    <x v="0"/>
    <x v="0"/>
    <n v="0.15"/>
    <x v="2"/>
    <n v="2375.6480000000001"/>
    <x v="2"/>
    <s v="nan"/>
    <n v="0"/>
    <x v="1350"/>
    <s v="Aarav Dubey"/>
    <n v="45.99"/>
    <n v="148.47800000000001"/>
    <n v="2329.6580000000004"/>
    <d v="2023-08-18T00:00:00"/>
    <d v="2023-08-22T00:00:00"/>
    <s v="Wendy"/>
    <n v="18"/>
    <n v="8"/>
    <x v="10"/>
    <x v="0"/>
    <x v="3"/>
    <n v="33"/>
  </r>
  <r>
    <d v="2023-09-10T00:00:00"/>
    <x v="3"/>
    <x v="6"/>
    <n v="4"/>
    <n v="306.06"/>
    <x v="2"/>
    <x v="0"/>
    <n v="0.05"/>
    <x v="3"/>
    <n v="1163.028"/>
    <x v="1"/>
    <s v="SAVE10"/>
    <n v="1"/>
    <x v="1351"/>
    <s v="Manya Menon"/>
    <n v="32.75"/>
    <n v="290.75700000000001"/>
    <n v="1130.278"/>
    <d v="2023-09-10T00:00:00"/>
    <d v="2023-09-13T00:00:00"/>
    <s v="Cameron"/>
    <n v="10"/>
    <n v="9"/>
    <x v="11"/>
    <x v="0"/>
    <x v="3"/>
    <n v="36"/>
  </r>
  <r>
    <d v="2024-01-29T00:00:00"/>
    <x v="1"/>
    <x v="5"/>
    <n v="12"/>
    <n v="164.22"/>
    <x v="2"/>
    <x v="1"/>
    <n v="0"/>
    <x v="5"/>
    <n v="1970.64"/>
    <x v="2"/>
    <s v="FREESHIP"/>
    <n v="0"/>
    <x v="1352"/>
    <s v="Varun Mirza"/>
    <n v="21.46"/>
    <n v="164.22"/>
    <n v="1949.18"/>
    <d v="2024-01-29T00:00:00"/>
    <d v="2024-02-03T00:00:00"/>
    <s v="Sophie"/>
    <n v="29"/>
    <n v="1"/>
    <x v="4"/>
    <x v="1"/>
    <x v="0"/>
    <n v="5"/>
  </r>
  <r>
    <d v="2024-03-21T00:00:00"/>
    <x v="2"/>
    <x v="5"/>
    <n v="20"/>
    <n v="336.29"/>
    <x v="2"/>
    <x v="1"/>
    <n v="0"/>
    <x v="0"/>
    <n v="6725.8"/>
    <x v="1"/>
    <s v="FREESHIP"/>
    <n v="0"/>
    <x v="1353"/>
    <s v="Rahul Chawla"/>
    <n v="25.02"/>
    <n v="336.29"/>
    <n v="6700.78"/>
    <d v="2024-03-21T00:00:00"/>
    <d v="2024-03-30T00:00:00"/>
    <s v="Ryan"/>
    <n v="21"/>
    <n v="3"/>
    <x v="6"/>
    <x v="1"/>
    <x v="0"/>
    <n v="12"/>
  </r>
  <r>
    <d v="2024-08-03T00:00:00"/>
    <x v="4"/>
    <x v="5"/>
    <n v="7"/>
    <n v="180.25"/>
    <x v="3"/>
    <x v="1"/>
    <n v="0.1"/>
    <x v="4"/>
    <n v="1135.575"/>
    <x v="1"/>
    <s v="WINTER15"/>
    <n v="0"/>
    <x v="1354"/>
    <s v="Nikhil Farooqui"/>
    <n v="36.79"/>
    <n v="162.22499999999999"/>
    <n v="1098.7850000000001"/>
    <d v="2024-08-03T00:00:00"/>
    <d v="2024-08-05T00:00:00"/>
    <s v="Wendy"/>
    <n v="3"/>
    <n v="8"/>
    <x v="10"/>
    <x v="1"/>
    <x v="3"/>
    <n v="31"/>
  </r>
  <r>
    <d v="2025-05-05T00:00:00"/>
    <x v="2"/>
    <x v="4"/>
    <n v="1"/>
    <n v="21.75"/>
    <x v="2"/>
    <x v="1"/>
    <n v="0"/>
    <x v="1"/>
    <n v="21.75"/>
    <x v="4"/>
    <s v="FREESHIP"/>
    <n v="0"/>
    <x v="1355"/>
    <s v="Kiara Rawat"/>
    <n v="7.35"/>
    <n v="21.75"/>
    <n v="14.4"/>
    <d v="2025-05-05T00:00:00"/>
    <d v="2025-05-14T00:00:00"/>
    <s v="Ryan"/>
    <n v="5"/>
    <n v="5"/>
    <x v="2"/>
    <x v="2"/>
    <x v="2"/>
    <n v="19"/>
  </r>
  <r>
    <d v="2023-02-08T00:00:00"/>
    <x v="4"/>
    <x v="5"/>
    <n v="13"/>
    <n v="149.16"/>
    <x v="2"/>
    <x v="1"/>
    <n v="0.1"/>
    <x v="0"/>
    <n v="1745.172"/>
    <x v="4"/>
    <s v="nan"/>
    <n v="1"/>
    <x v="1356"/>
    <s v="Bhavna Desai"/>
    <n v="20.9"/>
    <n v="134.244"/>
    <n v="1724.2719999999999"/>
    <d v="2023-02-08T00:00:00"/>
    <d v="2023-02-16T00:00:00"/>
    <s v="Wendy"/>
    <n v="8"/>
    <n v="2"/>
    <x v="0"/>
    <x v="0"/>
    <x v="0"/>
    <n v="6"/>
  </r>
  <r>
    <d v="2023-05-26T00:00:00"/>
    <x v="3"/>
    <x v="3"/>
    <n v="7"/>
    <n v="220.9"/>
    <x v="1"/>
    <x v="0"/>
    <n v="0.15"/>
    <x v="5"/>
    <n v="1314.355"/>
    <x v="1"/>
    <s v="FREESHIP"/>
    <n v="0"/>
    <x v="1357"/>
    <s v="Hina Reddy"/>
    <n v="15.25"/>
    <n v="187.76500000000001"/>
    <n v="1299.105"/>
    <d v="2023-05-26T00:00:00"/>
    <d v="2023-06-05T00:00:00"/>
    <s v="Cameron"/>
    <n v="26"/>
    <n v="5"/>
    <x v="2"/>
    <x v="0"/>
    <x v="2"/>
    <n v="21"/>
  </r>
  <r>
    <d v="2024-07-15T00:00:00"/>
    <x v="0"/>
    <x v="3"/>
    <n v="1"/>
    <n v="364.27"/>
    <x v="1"/>
    <x v="1"/>
    <n v="0.1"/>
    <x v="1"/>
    <n v="327.84300000000002"/>
    <x v="3"/>
    <s v="WINTER15"/>
    <n v="0"/>
    <x v="1358"/>
    <s v="Siddharth Shah"/>
    <n v="8.91"/>
    <n v="327.84300000000002"/>
    <n v="318.93299999999999"/>
    <d v="2024-07-15T00:00:00"/>
    <d v="2024-07-22T00:00:00"/>
    <s v="Eric"/>
    <n v="15"/>
    <n v="7"/>
    <x v="8"/>
    <x v="1"/>
    <x v="3"/>
    <n v="29"/>
  </r>
  <r>
    <d v="2024-12-18T00:00:00"/>
    <x v="2"/>
    <x v="4"/>
    <n v="9"/>
    <n v="306.42"/>
    <x v="2"/>
    <x v="0"/>
    <n v="0"/>
    <x v="5"/>
    <n v="2757.78"/>
    <x v="0"/>
    <s v="nan"/>
    <n v="0"/>
    <x v="1359"/>
    <s v="Rahul D'Souza"/>
    <n v="15.81"/>
    <n v="306.42"/>
    <n v="2741.9700000000003"/>
    <d v="2024-12-18T00:00:00"/>
    <d v="2024-12-27T00:00:00"/>
    <s v="Ryan"/>
    <n v="18"/>
    <n v="12"/>
    <x v="1"/>
    <x v="1"/>
    <x v="1"/>
    <n v="51"/>
  </r>
  <r>
    <d v="2024-09-29T00:00:00"/>
    <x v="2"/>
    <x v="5"/>
    <n v="18"/>
    <n v="589"/>
    <x v="0"/>
    <x v="0"/>
    <n v="0.1"/>
    <x v="4"/>
    <n v="9541.8000000000011"/>
    <x v="4"/>
    <s v="WINTER15"/>
    <n v="0"/>
    <x v="1360"/>
    <s v="Nisha Bose"/>
    <n v="37.78"/>
    <n v="530.1"/>
    <n v="9504.02"/>
    <d v="2024-09-29T00:00:00"/>
    <d v="2024-10-08T00:00:00"/>
    <s v="Ryan"/>
    <n v="29"/>
    <n v="9"/>
    <x v="11"/>
    <x v="1"/>
    <x v="3"/>
    <n v="39"/>
  </r>
  <r>
    <d v="2024-10-25T00:00:00"/>
    <x v="1"/>
    <x v="2"/>
    <n v="16"/>
    <n v="249.45"/>
    <x v="2"/>
    <x v="0"/>
    <n v="0.1"/>
    <x v="1"/>
    <n v="3592.08"/>
    <x v="4"/>
    <s v="FREESHIP"/>
    <n v="0"/>
    <x v="1361"/>
    <s v="Aditi Ghosh"/>
    <n v="20.92"/>
    <n v="224.505"/>
    <n v="3571.16"/>
    <d v="2024-10-25T00:00:00"/>
    <d v="2024-11-01T00:00:00"/>
    <s v="Sophie"/>
    <n v="25"/>
    <n v="10"/>
    <x v="5"/>
    <x v="1"/>
    <x v="1"/>
    <n v="43"/>
  </r>
  <r>
    <d v="2025-01-06T00:00:00"/>
    <x v="2"/>
    <x v="4"/>
    <n v="20"/>
    <n v="440.32"/>
    <x v="2"/>
    <x v="1"/>
    <n v="0.05"/>
    <x v="1"/>
    <n v="8366.08"/>
    <x v="3"/>
    <s v="SAVE10"/>
    <n v="1"/>
    <x v="1362"/>
    <s v="Kabir Naidu"/>
    <n v="6.17"/>
    <n v="418.30399999999997"/>
    <n v="8359.91"/>
    <d v="2025-01-06T00:00:00"/>
    <d v="2025-01-16T00:00:00"/>
    <s v="Ryan"/>
    <n v="6"/>
    <n v="1"/>
    <x v="4"/>
    <x v="2"/>
    <x v="0"/>
    <n v="2"/>
  </r>
  <r>
    <d v="2023-11-19T00:00:00"/>
    <x v="3"/>
    <x v="5"/>
    <n v="3"/>
    <n v="101.34"/>
    <x v="1"/>
    <x v="0"/>
    <n v="0"/>
    <x v="3"/>
    <n v="304.02"/>
    <x v="3"/>
    <s v="nan"/>
    <n v="0"/>
    <x v="1363"/>
    <s v="Harsh George"/>
    <n v="23.15"/>
    <n v="101.33999999999999"/>
    <n v="280.87"/>
    <d v="2023-11-19T00:00:00"/>
    <d v="2023-11-21T00:00:00"/>
    <s v="Cameron"/>
    <n v="19"/>
    <n v="11"/>
    <x v="9"/>
    <x v="0"/>
    <x v="1"/>
    <n v="46"/>
  </r>
  <r>
    <d v="2024-04-11T00:00:00"/>
    <x v="1"/>
    <x v="1"/>
    <n v="17"/>
    <n v="311.61"/>
    <x v="1"/>
    <x v="1"/>
    <n v="0.05"/>
    <x v="0"/>
    <n v="5032.5014999999994"/>
    <x v="0"/>
    <s v="nan"/>
    <n v="1"/>
    <x v="1364"/>
    <s v="Charu Chopra"/>
    <n v="29.9"/>
    <n v="296.02949999999998"/>
    <n v="5002.6014999999998"/>
    <d v="2024-04-11T00:00:00"/>
    <d v="2024-04-17T00:00:00"/>
    <s v="Sophie"/>
    <n v="11"/>
    <n v="4"/>
    <x v="7"/>
    <x v="1"/>
    <x v="2"/>
    <n v="15"/>
  </r>
  <r>
    <d v="2024-03-30T00:00:00"/>
    <x v="1"/>
    <x v="4"/>
    <n v="2"/>
    <n v="441.18"/>
    <x v="0"/>
    <x v="1"/>
    <n v="0.15"/>
    <x v="5"/>
    <n v="750.00599999999997"/>
    <x v="4"/>
    <s v="nan"/>
    <n v="1"/>
    <x v="1365"/>
    <s v="Kiara Jain"/>
    <n v="23.07"/>
    <n v="375.00299999999999"/>
    <n v="726.93599999999992"/>
    <d v="2024-03-30T00:00:00"/>
    <d v="2024-04-06T00:00:00"/>
    <s v="Sophie"/>
    <n v="30"/>
    <n v="3"/>
    <x v="6"/>
    <x v="1"/>
    <x v="0"/>
    <n v="13"/>
  </r>
  <r>
    <d v="2024-11-25T00:00:00"/>
    <x v="2"/>
    <x v="3"/>
    <n v="20"/>
    <n v="286.66000000000003"/>
    <x v="3"/>
    <x v="1"/>
    <n v="0.1"/>
    <x v="3"/>
    <n v="5159.880000000001"/>
    <x v="3"/>
    <s v="WINTER15"/>
    <n v="0"/>
    <x v="1366"/>
    <s v="Varun George"/>
    <n v="15.54"/>
    <n v="257.99400000000003"/>
    <n v="5144.3400000000011"/>
    <d v="2024-11-25T00:00:00"/>
    <d v="2024-11-29T00:00:00"/>
    <s v="Ryan"/>
    <n v="25"/>
    <n v="11"/>
    <x v="9"/>
    <x v="1"/>
    <x v="1"/>
    <n v="48"/>
  </r>
  <r>
    <d v="2025-01-06T00:00:00"/>
    <x v="2"/>
    <x v="6"/>
    <n v="13"/>
    <n v="483.63"/>
    <x v="1"/>
    <x v="1"/>
    <n v="0.05"/>
    <x v="3"/>
    <n v="5972.8304999999991"/>
    <x v="4"/>
    <s v="FREESHIP"/>
    <n v="0"/>
    <x v="1367"/>
    <s v="Manya Mathew"/>
    <n v="18.22"/>
    <n v="459.44849999999991"/>
    <n v="5954.6104999999989"/>
    <d v="2025-01-06T00:00:00"/>
    <d v="2025-01-15T00:00:00"/>
    <s v="Ryan"/>
    <n v="6"/>
    <n v="1"/>
    <x v="4"/>
    <x v="2"/>
    <x v="0"/>
    <n v="2"/>
  </r>
  <r>
    <d v="2023-04-15T00:00:00"/>
    <x v="4"/>
    <x v="5"/>
    <n v="8"/>
    <n v="304.14999999999998"/>
    <x v="0"/>
    <x v="0"/>
    <n v="0.05"/>
    <x v="3"/>
    <n v="2311.54"/>
    <x v="3"/>
    <s v="nan"/>
    <n v="0"/>
    <x v="1368"/>
    <s v="Tanvi Jain"/>
    <n v="41.73"/>
    <n v="288.9425"/>
    <n v="2269.81"/>
    <d v="2023-04-15T00:00:00"/>
    <d v="2023-04-18T00:00:00"/>
    <s v="Wendy"/>
    <n v="15"/>
    <n v="4"/>
    <x v="7"/>
    <x v="0"/>
    <x v="2"/>
    <n v="15"/>
  </r>
  <r>
    <d v="2024-02-07T00:00:00"/>
    <x v="0"/>
    <x v="6"/>
    <n v="10"/>
    <n v="452.21"/>
    <x v="1"/>
    <x v="1"/>
    <n v="0.1"/>
    <x v="0"/>
    <n v="4069.889999999999"/>
    <x v="4"/>
    <s v="WINTER15"/>
    <n v="0"/>
    <x v="1369"/>
    <s v="Ananya Sinha"/>
    <n v="15.87"/>
    <n v="406.98899999999992"/>
    <n v="4054.0199999999991"/>
    <d v="2024-02-07T00:00:00"/>
    <d v="2024-02-17T00:00:00"/>
    <s v="Eric"/>
    <n v="7"/>
    <n v="2"/>
    <x v="0"/>
    <x v="1"/>
    <x v="0"/>
    <n v="6"/>
  </r>
  <r>
    <d v="2023-06-02T00:00:00"/>
    <x v="0"/>
    <x v="6"/>
    <n v="4"/>
    <n v="248.16"/>
    <x v="0"/>
    <x v="1"/>
    <n v="0.1"/>
    <x v="4"/>
    <n v="893.37599999999998"/>
    <x v="2"/>
    <s v="nan"/>
    <n v="1"/>
    <x v="1370"/>
    <s v="Diya Solanki"/>
    <n v="45.11"/>
    <n v="223.34399999999999"/>
    <n v="848.26599999999996"/>
    <d v="2023-06-02T00:00:00"/>
    <d v="2023-06-05T00:00:00"/>
    <s v="Eric"/>
    <n v="2"/>
    <n v="6"/>
    <x v="3"/>
    <x v="0"/>
    <x v="2"/>
    <n v="22"/>
  </r>
  <r>
    <d v="2023-08-24T00:00:00"/>
    <x v="0"/>
    <x v="0"/>
    <n v="4"/>
    <n v="520"/>
    <x v="1"/>
    <x v="1"/>
    <n v="0"/>
    <x v="0"/>
    <n v="2080"/>
    <x v="2"/>
    <s v="WINTER15"/>
    <n v="0"/>
    <x v="1371"/>
    <s v="Zara Syed"/>
    <n v="18.25"/>
    <n v="520"/>
    <n v="2061.75"/>
    <d v="2023-08-24T00:00:00"/>
    <d v="2023-09-02T00:00:00"/>
    <s v="Eric"/>
    <n v="24"/>
    <n v="8"/>
    <x v="10"/>
    <x v="0"/>
    <x v="3"/>
    <n v="34"/>
  </r>
  <r>
    <d v="2024-12-06T00:00:00"/>
    <x v="1"/>
    <x v="3"/>
    <n v="11"/>
    <n v="571.07000000000005"/>
    <x v="1"/>
    <x v="1"/>
    <n v="0"/>
    <x v="2"/>
    <n v="6281.77"/>
    <x v="1"/>
    <s v="SAVE10"/>
    <n v="0"/>
    <x v="1372"/>
    <s v="Karan Tiwari"/>
    <n v="12.6"/>
    <n v="571.07000000000005"/>
    <n v="6269.17"/>
    <d v="2024-12-06T00:00:00"/>
    <d v="2024-12-11T00:00:00"/>
    <s v="Sophie"/>
    <n v="6"/>
    <n v="12"/>
    <x v="1"/>
    <x v="1"/>
    <x v="1"/>
    <n v="49"/>
  </r>
  <r>
    <d v="2023-12-08T00:00:00"/>
    <x v="0"/>
    <x v="5"/>
    <n v="11"/>
    <n v="65.569999999999993"/>
    <x v="3"/>
    <x v="1"/>
    <n v="0.1"/>
    <x v="4"/>
    <n v="649.14300000000003"/>
    <x v="3"/>
    <s v="SAVE10"/>
    <n v="1"/>
    <x v="1373"/>
    <s v="Myra George"/>
    <n v="30.43"/>
    <n v="59.013000000000005"/>
    <n v="618.71300000000008"/>
    <d v="2023-12-08T00:00:00"/>
    <d v="2023-12-14T00:00:00"/>
    <s v="Eric"/>
    <n v="8"/>
    <n v="12"/>
    <x v="1"/>
    <x v="0"/>
    <x v="1"/>
    <n v="49"/>
  </r>
  <r>
    <d v="2023-05-12T00:00:00"/>
    <x v="1"/>
    <x v="5"/>
    <n v="4"/>
    <n v="397.02"/>
    <x v="1"/>
    <x v="0"/>
    <n v="0"/>
    <x v="2"/>
    <n v="1588.08"/>
    <x v="4"/>
    <s v="FREESHIP"/>
    <n v="0"/>
    <x v="1374"/>
    <s v="Noor Banerjee"/>
    <n v="23.25"/>
    <n v="397.02"/>
    <n v="1564.83"/>
    <d v="2023-05-12T00:00:00"/>
    <d v="2023-05-20T00:00:00"/>
    <s v="Sophie"/>
    <n v="12"/>
    <n v="5"/>
    <x v="2"/>
    <x v="0"/>
    <x v="2"/>
    <n v="19"/>
  </r>
  <r>
    <d v="2025-04-24T00:00:00"/>
    <x v="4"/>
    <x v="0"/>
    <n v="10"/>
    <n v="169.35"/>
    <x v="0"/>
    <x v="1"/>
    <n v="0.05"/>
    <x v="1"/>
    <n v="1608.825"/>
    <x v="2"/>
    <s v="WINTER15"/>
    <n v="0"/>
    <x v="1375"/>
    <s v="Sneha Mathew"/>
    <n v="44.91"/>
    <n v="160.88249999999999"/>
    <n v="1563.915"/>
    <d v="2025-04-24T00:00:00"/>
    <d v="2025-04-27T00:00:00"/>
    <s v="Wendy"/>
    <n v="24"/>
    <n v="4"/>
    <x v="7"/>
    <x v="2"/>
    <x v="2"/>
    <n v="17"/>
  </r>
  <r>
    <d v="2023-04-23T00:00:00"/>
    <x v="3"/>
    <x v="5"/>
    <n v="9"/>
    <n v="340.44"/>
    <x v="3"/>
    <x v="1"/>
    <n v="0.05"/>
    <x v="3"/>
    <n v="2910.7620000000002"/>
    <x v="3"/>
    <s v="FREESHIP"/>
    <n v="1"/>
    <x v="1376"/>
    <s v="Rahul Agarwal"/>
    <n v="36.68"/>
    <n v="323.41800000000001"/>
    <n v="2874.0820000000003"/>
    <d v="2023-04-23T00:00:00"/>
    <d v="2023-05-03T00:00:00"/>
    <s v="Cameron"/>
    <n v="23"/>
    <n v="4"/>
    <x v="7"/>
    <x v="0"/>
    <x v="2"/>
    <n v="16"/>
  </r>
  <r>
    <d v="2023-01-18T00:00:00"/>
    <x v="2"/>
    <x v="4"/>
    <n v="1"/>
    <n v="120.2"/>
    <x v="3"/>
    <x v="1"/>
    <n v="0.05"/>
    <x v="3"/>
    <n v="114.19"/>
    <x v="0"/>
    <s v="WINTER15"/>
    <n v="0"/>
    <x v="1377"/>
    <s v="Nisha Das"/>
    <n v="44.99"/>
    <n v="114.19"/>
    <n v="69.199999999999989"/>
    <d v="2023-01-18T00:00:00"/>
    <d v="2023-01-21T00:00:00"/>
    <s v="Ryan"/>
    <n v="18"/>
    <n v="1"/>
    <x v="4"/>
    <x v="0"/>
    <x v="0"/>
    <n v="3"/>
  </r>
  <r>
    <d v="2025-05-11T00:00:00"/>
    <x v="2"/>
    <x v="1"/>
    <n v="13"/>
    <n v="169.39"/>
    <x v="0"/>
    <x v="0"/>
    <n v="0.15"/>
    <x v="4"/>
    <n v="1871.7594999999999"/>
    <x v="2"/>
    <s v="nan"/>
    <n v="0"/>
    <x v="1378"/>
    <s v="Priya Ghosh"/>
    <n v="6.81"/>
    <n v="143.98149999999998"/>
    <n v="1864.9494999999999"/>
    <d v="2025-05-11T00:00:00"/>
    <d v="2025-05-21T00:00:00"/>
    <s v="Ryan"/>
    <n v="11"/>
    <n v="5"/>
    <x v="2"/>
    <x v="2"/>
    <x v="2"/>
    <n v="19"/>
  </r>
  <r>
    <d v="2024-12-23T00:00:00"/>
    <x v="4"/>
    <x v="5"/>
    <n v="10"/>
    <n v="170.72"/>
    <x v="1"/>
    <x v="0"/>
    <n v="0.05"/>
    <x v="2"/>
    <n v="1621.84"/>
    <x v="0"/>
    <s v="FREESHIP"/>
    <n v="0"/>
    <x v="1379"/>
    <s v="Suresh Thomas"/>
    <n v="29.18"/>
    <n v="162.184"/>
    <n v="1592.6599999999999"/>
    <d v="2024-12-23T00:00:00"/>
    <d v="2025-01-02T00:00:00"/>
    <s v="Wendy"/>
    <n v="23"/>
    <n v="12"/>
    <x v="1"/>
    <x v="1"/>
    <x v="1"/>
    <n v="52"/>
  </r>
  <r>
    <d v="2023-08-20T00:00:00"/>
    <x v="4"/>
    <x v="2"/>
    <n v="9"/>
    <n v="323.77"/>
    <x v="1"/>
    <x v="0"/>
    <n v="0.15"/>
    <x v="3"/>
    <n v="2476.8404999999998"/>
    <x v="3"/>
    <s v="nan"/>
    <n v="0"/>
    <x v="1380"/>
    <s v="Aryan Jain"/>
    <n v="6.36"/>
    <n v="275.2045"/>
    <n v="2470.4804999999997"/>
    <d v="2023-08-20T00:00:00"/>
    <d v="2023-08-28T00:00:00"/>
    <s v="Wendy"/>
    <n v="20"/>
    <n v="8"/>
    <x v="10"/>
    <x v="0"/>
    <x v="3"/>
    <n v="33"/>
  </r>
  <r>
    <d v="2025-03-18T00:00:00"/>
    <x v="3"/>
    <x v="3"/>
    <n v="4"/>
    <n v="481.86"/>
    <x v="0"/>
    <x v="0"/>
    <n v="0"/>
    <x v="5"/>
    <n v="1927.44"/>
    <x v="0"/>
    <s v="FREESHIP"/>
    <n v="0"/>
    <x v="1381"/>
    <s v="Rohan Mathew"/>
    <n v="21.92"/>
    <n v="481.86"/>
    <n v="1905.52"/>
    <d v="2025-03-18T00:00:00"/>
    <d v="2025-03-23T00:00:00"/>
    <s v="Cameron"/>
    <n v="18"/>
    <n v="3"/>
    <x v="6"/>
    <x v="2"/>
    <x v="0"/>
    <n v="12"/>
  </r>
  <r>
    <d v="2024-01-16T00:00:00"/>
    <x v="3"/>
    <x v="1"/>
    <n v="4"/>
    <n v="78.05"/>
    <x v="1"/>
    <x v="1"/>
    <n v="0"/>
    <x v="3"/>
    <n v="312.2"/>
    <x v="2"/>
    <s v="nan"/>
    <n v="0"/>
    <x v="1382"/>
    <s v="Karan Vora"/>
    <n v="14.03"/>
    <n v="78.05"/>
    <n v="298.17"/>
    <d v="2024-01-16T00:00:00"/>
    <d v="2024-01-24T00:00:00"/>
    <s v="Cameron"/>
    <n v="16"/>
    <n v="1"/>
    <x v="4"/>
    <x v="1"/>
    <x v="0"/>
    <n v="3"/>
  </r>
  <r>
    <d v="2024-05-29T00:00:00"/>
    <x v="0"/>
    <x v="5"/>
    <n v="6"/>
    <n v="57.4"/>
    <x v="2"/>
    <x v="0"/>
    <n v="0.1"/>
    <x v="0"/>
    <n v="309.95999999999998"/>
    <x v="3"/>
    <s v="FREESHIP"/>
    <n v="0"/>
    <x v="1383"/>
    <s v="Sara D'Souza"/>
    <n v="26.42"/>
    <n v="51.66"/>
    <n v="283.53999999999996"/>
    <d v="2024-05-29T00:00:00"/>
    <d v="2024-06-08T00:00:00"/>
    <s v="Eric"/>
    <n v="29"/>
    <n v="5"/>
    <x v="2"/>
    <x v="1"/>
    <x v="2"/>
    <n v="22"/>
  </r>
  <r>
    <d v="2025-03-25T00:00:00"/>
    <x v="1"/>
    <x v="0"/>
    <n v="9"/>
    <n v="454.98"/>
    <x v="0"/>
    <x v="0"/>
    <n v="0.15"/>
    <x v="0"/>
    <n v="3480.5970000000002"/>
    <x v="2"/>
    <s v="nan"/>
    <n v="0"/>
    <x v="1384"/>
    <s v="Zara Shaikh"/>
    <n v="40.76"/>
    <n v="386.733"/>
    <n v="3439.837"/>
    <d v="2025-03-25T00:00:00"/>
    <d v="2025-03-27T00:00:00"/>
    <s v="Sophie"/>
    <n v="25"/>
    <n v="3"/>
    <x v="6"/>
    <x v="2"/>
    <x v="0"/>
    <n v="13"/>
  </r>
  <r>
    <d v="2025-03-22T00:00:00"/>
    <x v="3"/>
    <x v="2"/>
    <n v="11"/>
    <n v="365.75"/>
    <x v="3"/>
    <x v="0"/>
    <n v="0.05"/>
    <x v="5"/>
    <n v="3822.0875000000001"/>
    <x v="3"/>
    <s v="FREESHIP"/>
    <n v="1"/>
    <x v="1385"/>
    <s v="Raina Yadav"/>
    <n v="8.3699999999999992"/>
    <n v="347.46250000000003"/>
    <n v="3813.7175000000002"/>
    <d v="2025-03-22T00:00:00"/>
    <d v="2025-03-27T00:00:00"/>
    <s v="Cameron"/>
    <n v="22"/>
    <n v="3"/>
    <x v="6"/>
    <x v="2"/>
    <x v="0"/>
    <n v="12"/>
  </r>
  <r>
    <d v="2024-08-17T00:00:00"/>
    <x v="0"/>
    <x v="1"/>
    <n v="7"/>
    <n v="106.88"/>
    <x v="2"/>
    <x v="1"/>
    <n v="0.05"/>
    <x v="4"/>
    <n v="710.75199999999995"/>
    <x v="4"/>
    <s v="WINTER15"/>
    <n v="1"/>
    <x v="1386"/>
    <s v="Om Khanna"/>
    <n v="26.12"/>
    <n v="101.53599999999999"/>
    <n v="684.63199999999995"/>
    <d v="2024-08-17T00:00:00"/>
    <d v="2024-08-24T00:00:00"/>
    <s v="Eric"/>
    <n v="17"/>
    <n v="8"/>
    <x v="10"/>
    <x v="1"/>
    <x v="3"/>
    <n v="33"/>
  </r>
  <r>
    <d v="2024-06-02T00:00:00"/>
    <x v="1"/>
    <x v="6"/>
    <n v="2"/>
    <n v="250.98"/>
    <x v="0"/>
    <x v="0"/>
    <n v="0.1"/>
    <x v="0"/>
    <n v="451.76400000000001"/>
    <x v="0"/>
    <s v="WINTER15"/>
    <n v="0"/>
    <x v="1387"/>
    <s v="Simran Verma"/>
    <n v="18.8"/>
    <n v="225.88200000000001"/>
    <n v="432.964"/>
    <d v="2024-06-02T00:00:00"/>
    <d v="2024-06-12T00:00:00"/>
    <s v="Sophie"/>
    <n v="2"/>
    <n v="6"/>
    <x v="3"/>
    <x v="1"/>
    <x v="2"/>
    <n v="22"/>
  </r>
  <r>
    <d v="2023-03-31T00:00:00"/>
    <x v="1"/>
    <x v="4"/>
    <n v="8"/>
    <n v="591.29"/>
    <x v="2"/>
    <x v="1"/>
    <n v="0.1"/>
    <x v="4"/>
    <n v="4257.2879999999996"/>
    <x v="2"/>
    <s v="nan"/>
    <n v="1"/>
    <x v="1388"/>
    <s v="Nazia Banerjee"/>
    <n v="45.14"/>
    <n v="532.16099999999994"/>
    <n v="4212.1479999999992"/>
    <d v="2023-03-31T00:00:00"/>
    <d v="2023-04-10T00:00:00"/>
    <s v="Sophie"/>
    <n v="31"/>
    <n v="3"/>
    <x v="6"/>
    <x v="0"/>
    <x v="0"/>
    <n v="13"/>
  </r>
  <r>
    <d v="2024-05-19T00:00:00"/>
    <x v="4"/>
    <x v="4"/>
    <n v="18"/>
    <n v="369.79"/>
    <x v="1"/>
    <x v="0"/>
    <n v="0.05"/>
    <x v="0"/>
    <n v="6323.4089999999997"/>
    <x v="4"/>
    <s v="FREESHIP"/>
    <n v="1"/>
    <x v="1389"/>
    <s v="Aditi Shaikh"/>
    <n v="16.399999999999999"/>
    <n v="351.3005"/>
    <n v="6307.009"/>
    <d v="2024-05-19T00:00:00"/>
    <d v="2024-05-23T00:00:00"/>
    <s v="Wendy"/>
    <n v="19"/>
    <n v="5"/>
    <x v="2"/>
    <x v="1"/>
    <x v="2"/>
    <n v="20"/>
  </r>
  <r>
    <d v="2023-03-02T00:00:00"/>
    <x v="4"/>
    <x v="2"/>
    <n v="15"/>
    <n v="166.24"/>
    <x v="3"/>
    <x v="0"/>
    <n v="0.1"/>
    <x v="4"/>
    <n v="2244.2399999999998"/>
    <x v="3"/>
    <s v="SAVE10"/>
    <n v="0"/>
    <x v="1390"/>
    <s v="Kiara Qureshi"/>
    <n v="9.86"/>
    <n v="149.61599999999999"/>
    <n v="2234.3799999999997"/>
    <d v="2023-03-02T00:00:00"/>
    <d v="2023-03-05T00:00:00"/>
    <s v="Wendy"/>
    <n v="2"/>
    <n v="3"/>
    <x v="6"/>
    <x v="0"/>
    <x v="0"/>
    <n v="9"/>
  </r>
  <r>
    <d v="2023-03-13T00:00:00"/>
    <x v="2"/>
    <x v="6"/>
    <n v="12"/>
    <n v="260.76"/>
    <x v="2"/>
    <x v="0"/>
    <n v="0.15"/>
    <x v="3"/>
    <n v="2659.752"/>
    <x v="0"/>
    <s v="nan"/>
    <n v="0"/>
    <x v="1391"/>
    <s v="Rahul Iyer"/>
    <n v="20.92"/>
    <n v="221.64599999999999"/>
    <n v="2638.8319999999999"/>
    <d v="2023-03-13T00:00:00"/>
    <d v="2023-03-22T00:00:00"/>
    <s v="Ryan"/>
    <n v="13"/>
    <n v="3"/>
    <x v="6"/>
    <x v="0"/>
    <x v="0"/>
    <n v="11"/>
  </r>
  <r>
    <d v="2025-04-16T00:00:00"/>
    <x v="4"/>
    <x v="0"/>
    <n v="10"/>
    <n v="348.63"/>
    <x v="3"/>
    <x v="0"/>
    <n v="0.05"/>
    <x v="4"/>
    <n v="3311.9850000000001"/>
    <x v="2"/>
    <s v="nan"/>
    <n v="1"/>
    <x v="1392"/>
    <s v="Sanya Srivastava"/>
    <n v="42.79"/>
    <n v="331.19850000000002"/>
    <n v="3269.1950000000002"/>
    <d v="2025-04-16T00:00:00"/>
    <d v="2025-04-18T00:00:00"/>
    <s v="Wendy"/>
    <n v="16"/>
    <n v="4"/>
    <x v="7"/>
    <x v="2"/>
    <x v="2"/>
    <n v="16"/>
  </r>
  <r>
    <d v="2024-06-05T00:00:00"/>
    <x v="2"/>
    <x v="3"/>
    <n v="5"/>
    <n v="473.28"/>
    <x v="1"/>
    <x v="1"/>
    <n v="0"/>
    <x v="4"/>
    <n v="2366.4"/>
    <x v="2"/>
    <s v="SAVE10"/>
    <n v="1"/>
    <x v="1393"/>
    <s v="Meera Pai"/>
    <n v="30.69"/>
    <n v="473.28000000000003"/>
    <n v="2335.71"/>
    <d v="2024-06-05T00:00:00"/>
    <d v="2024-06-15T00:00:00"/>
    <s v="Ryan"/>
    <n v="5"/>
    <n v="6"/>
    <x v="3"/>
    <x v="1"/>
    <x v="2"/>
    <n v="23"/>
  </r>
  <r>
    <d v="2024-09-01T00:00:00"/>
    <x v="2"/>
    <x v="3"/>
    <n v="16"/>
    <n v="401.83"/>
    <x v="0"/>
    <x v="1"/>
    <n v="0"/>
    <x v="0"/>
    <n v="6429.28"/>
    <x v="4"/>
    <s v="FREESHIP"/>
    <n v="0"/>
    <x v="1394"/>
    <s v="Suresh Mirza"/>
    <n v="21.54"/>
    <n v="401.83"/>
    <n v="6407.74"/>
    <d v="2024-09-01T00:00:00"/>
    <d v="2024-09-05T00:00:00"/>
    <s v="Ryan"/>
    <n v="1"/>
    <n v="9"/>
    <x v="11"/>
    <x v="1"/>
    <x v="3"/>
    <n v="35"/>
  </r>
  <r>
    <d v="2024-09-21T00:00:00"/>
    <x v="2"/>
    <x v="1"/>
    <n v="10"/>
    <n v="269.29000000000002"/>
    <x v="2"/>
    <x v="1"/>
    <n v="0"/>
    <x v="0"/>
    <n v="2692.9"/>
    <x v="3"/>
    <s v="SAVE10"/>
    <n v="0"/>
    <x v="1395"/>
    <s v="Diya Hussain"/>
    <n v="14.09"/>
    <n v="269.29000000000002"/>
    <n v="2678.81"/>
    <d v="2024-09-21T00:00:00"/>
    <d v="2024-09-30T00:00:00"/>
    <s v="Ryan"/>
    <n v="21"/>
    <n v="9"/>
    <x v="11"/>
    <x v="1"/>
    <x v="3"/>
    <n v="38"/>
  </r>
  <r>
    <d v="2025-01-11T00:00:00"/>
    <x v="2"/>
    <x v="2"/>
    <n v="4"/>
    <n v="323.02"/>
    <x v="2"/>
    <x v="1"/>
    <n v="0.05"/>
    <x v="4"/>
    <n v="1227.4760000000001"/>
    <x v="4"/>
    <s v="nan"/>
    <n v="0"/>
    <x v="1396"/>
    <s v="Aditya Dubey"/>
    <n v="19.53"/>
    <n v="306.86900000000003"/>
    <n v="1207.9460000000001"/>
    <d v="2025-01-11T00:00:00"/>
    <d v="2025-01-16T00:00:00"/>
    <s v="Ryan"/>
    <n v="11"/>
    <n v="1"/>
    <x v="4"/>
    <x v="2"/>
    <x v="0"/>
    <n v="2"/>
  </r>
  <r>
    <d v="2023-01-04T00:00:00"/>
    <x v="4"/>
    <x v="4"/>
    <n v="15"/>
    <n v="439.89"/>
    <x v="3"/>
    <x v="1"/>
    <n v="0.15"/>
    <x v="4"/>
    <n v="5608.5974999999989"/>
    <x v="0"/>
    <s v="FREESHIP"/>
    <n v="0"/>
    <x v="1397"/>
    <s v="Om Qureshi"/>
    <n v="49.71"/>
    <n v="373.90649999999994"/>
    <n v="5558.8874999999989"/>
    <d v="2023-01-04T00:00:00"/>
    <d v="2023-01-08T00:00:00"/>
    <s v="Wendy"/>
    <n v="4"/>
    <n v="1"/>
    <x v="4"/>
    <x v="0"/>
    <x v="0"/>
    <n v="1"/>
  </r>
  <r>
    <d v="2023-05-02T00:00:00"/>
    <x v="4"/>
    <x v="4"/>
    <n v="16"/>
    <n v="483.09"/>
    <x v="2"/>
    <x v="0"/>
    <n v="0.05"/>
    <x v="1"/>
    <n v="7342.9679999999989"/>
    <x v="3"/>
    <s v="nan"/>
    <n v="1"/>
    <x v="1398"/>
    <s v="Alina Pathan"/>
    <n v="37.659999999999997"/>
    <n v="458.93549999999993"/>
    <n v="7305.3079999999991"/>
    <d v="2023-05-02T00:00:00"/>
    <d v="2023-05-05T00:00:00"/>
    <s v="Wendy"/>
    <n v="2"/>
    <n v="5"/>
    <x v="2"/>
    <x v="0"/>
    <x v="2"/>
    <n v="18"/>
  </r>
  <r>
    <d v="2023-07-09T00:00:00"/>
    <x v="0"/>
    <x v="1"/>
    <n v="13"/>
    <n v="27.39"/>
    <x v="0"/>
    <x v="1"/>
    <n v="0.15"/>
    <x v="2"/>
    <n v="302.65949999999998"/>
    <x v="4"/>
    <s v="nan"/>
    <n v="0"/>
    <x v="1399"/>
    <s v="Ishaan Srivastava"/>
    <n v="22.95"/>
    <n v="23.281499999999998"/>
    <n v="279.70949999999999"/>
    <d v="2023-07-09T00:00:00"/>
    <d v="2023-07-14T00:00:00"/>
    <s v="Eric"/>
    <n v="9"/>
    <n v="7"/>
    <x v="8"/>
    <x v="0"/>
    <x v="3"/>
    <n v="27"/>
  </r>
  <r>
    <d v="2025-02-27T00:00:00"/>
    <x v="0"/>
    <x v="4"/>
    <n v="18"/>
    <n v="432.52"/>
    <x v="3"/>
    <x v="1"/>
    <n v="0.05"/>
    <x v="5"/>
    <n v="7396.0919999999996"/>
    <x v="2"/>
    <s v="SAVE10"/>
    <n v="1"/>
    <x v="1400"/>
    <s v="Neha Rao"/>
    <n v="34.19"/>
    <n v="410.89400000000001"/>
    <n v="7361.902"/>
    <d v="2025-02-27T00:00:00"/>
    <d v="2025-03-04T00:00:00"/>
    <s v="Eric"/>
    <n v="27"/>
    <n v="2"/>
    <x v="0"/>
    <x v="2"/>
    <x v="0"/>
    <n v="9"/>
  </r>
  <r>
    <d v="2024-09-23T00:00:00"/>
    <x v="4"/>
    <x v="6"/>
    <n v="3"/>
    <n v="360.93"/>
    <x v="0"/>
    <x v="0"/>
    <n v="0.15"/>
    <x v="4"/>
    <n v="920.37149999999997"/>
    <x v="3"/>
    <s v="WINTER15"/>
    <n v="0"/>
    <x v="1401"/>
    <s v="Arjun Sen"/>
    <n v="35.61"/>
    <n v="306.79050000000001"/>
    <n v="884.76149999999996"/>
    <d v="2024-09-23T00:00:00"/>
    <d v="2024-09-29T00:00:00"/>
    <s v="Wendy"/>
    <n v="23"/>
    <n v="9"/>
    <x v="11"/>
    <x v="1"/>
    <x v="3"/>
    <n v="39"/>
  </r>
  <r>
    <d v="2025-06-22T00:00:00"/>
    <x v="0"/>
    <x v="5"/>
    <n v="5"/>
    <n v="414.58"/>
    <x v="0"/>
    <x v="1"/>
    <n v="0.1"/>
    <x v="4"/>
    <n v="1865.61"/>
    <x v="1"/>
    <s v="nan"/>
    <n v="0"/>
    <x v="1402"/>
    <s v="Rahul Ansari"/>
    <n v="14.98"/>
    <n v="373.12199999999996"/>
    <n v="1850.6299999999999"/>
    <d v="2025-06-22T00:00:00"/>
    <d v="2025-07-01T00:00:00"/>
    <s v="Eric"/>
    <n v="22"/>
    <n v="6"/>
    <x v="3"/>
    <x v="2"/>
    <x v="2"/>
    <n v="25"/>
  </r>
  <r>
    <d v="2025-01-19T00:00:00"/>
    <x v="3"/>
    <x v="5"/>
    <n v="4"/>
    <n v="68.040000000000006"/>
    <x v="2"/>
    <x v="0"/>
    <n v="0"/>
    <x v="5"/>
    <n v="272.16000000000003"/>
    <x v="0"/>
    <s v="FREESHIP"/>
    <n v="0"/>
    <x v="1403"/>
    <s v="Ashwin Solanki"/>
    <n v="18.72"/>
    <n v="68.040000000000006"/>
    <n v="253.44000000000003"/>
    <d v="2025-01-19T00:00:00"/>
    <d v="2025-01-28T00:00:00"/>
    <s v="Cameron"/>
    <n v="19"/>
    <n v="1"/>
    <x v="4"/>
    <x v="2"/>
    <x v="0"/>
    <n v="3"/>
  </r>
  <r>
    <d v="2025-02-03T00:00:00"/>
    <x v="0"/>
    <x v="1"/>
    <n v="10"/>
    <n v="407.99"/>
    <x v="2"/>
    <x v="1"/>
    <n v="0.15"/>
    <x v="0"/>
    <n v="3467.915"/>
    <x v="4"/>
    <s v="nan"/>
    <n v="0"/>
    <x v="1404"/>
    <s v="Hina Mishra"/>
    <n v="49.59"/>
    <n v="346.79149999999998"/>
    <n v="3418.3249999999998"/>
    <d v="2025-02-03T00:00:00"/>
    <d v="2025-02-08T00:00:00"/>
    <s v="Eric"/>
    <n v="3"/>
    <n v="2"/>
    <x v="0"/>
    <x v="2"/>
    <x v="0"/>
    <n v="6"/>
  </r>
  <r>
    <d v="2023-11-11T00:00:00"/>
    <x v="0"/>
    <x v="5"/>
    <n v="15"/>
    <n v="274.77"/>
    <x v="3"/>
    <x v="1"/>
    <n v="0"/>
    <x v="0"/>
    <n v="4121.5499999999993"/>
    <x v="4"/>
    <s v="nan"/>
    <n v="1"/>
    <x v="1405"/>
    <s v="Aman Reddy"/>
    <n v="19.37"/>
    <n v="274.76999999999992"/>
    <n v="4102.1799999999994"/>
    <d v="2023-11-11T00:00:00"/>
    <d v="2023-11-17T00:00:00"/>
    <s v="Eric"/>
    <n v="11"/>
    <n v="11"/>
    <x v="9"/>
    <x v="0"/>
    <x v="1"/>
    <n v="45"/>
  </r>
  <r>
    <d v="2024-05-08T00:00:00"/>
    <x v="0"/>
    <x v="2"/>
    <n v="15"/>
    <n v="31.81"/>
    <x v="2"/>
    <x v="0"/>
    <n v="0.15"/>
    <x v="0"/>
    <n v="405.57749999999999"/>
    <x v="4"/>
    <s v="SAVE10"/>
    <n v="0"/>
    <x v="1406"/>
    <s v="Diya Bose"/>
    <n v="23.61"/>
    <n v="27.038499999999999"/>
    <n v="381.96749999999997"/>
    <d v="2024-05-08T00:00:00"/>
    <d v="2024-05-10T00:00:00"/>
    <s v="Eric"/>
    <n v="8"/>
    <n v="5"/>
    <x v="2"/>
    <x v="1"/>
    <x v="2"/>
    <n v="19"/>
  </r>
  <r>
    <d v="2023-09-18T00:00:00"/>
    <x v="1"/>
    <x v="6"/>
    <n v="14"/>
    <n v="268.32"/>
    <x v="3"/>
    <x v="1"/>
    <n v="0"/>
    <x v="2"/>
    <n v="3756.48"/>
    <x v="0"/>
    <s v="WINTER15"/>
    <n v="0"/>
    <x v="1407"/>
    <s v="Atharv Solanki"/>
    <n v="43.14"/>
    <n v="268.32"/>
    <n v="3713.34"/>
    <d v="2023-09-18T00:00:00"/>
    <d v="2023-09-27T00:00:00"/>
    <s v="Sophie"/>
    <n v="18"/>
    <n v="9"/>
    <x v="11"/>
    <x v="0"/>
    <x v="3"/>
    <n v="38"/>
  </r>
  <r>
    <d v="2025-04-05T00:00:00"/>
    <x v="3"/>
    <x v="5"/>
    <n v="19"/>
    <n v="350.12"/>
    <x v="3"/>
    <x v="1"/>
    <n v="0.05"/>
    <x v="1"/>
    <n v="6319.6659999999993"/>
    <x v="2"/>
    <s v="FREESHIP"/>
    <n v="0"/>
    <x v="1408"/>
    <s v="Raj Yadav"/>
    <n v="48.98"/>
    <n v="332.61399999999998"/>
    <n v="6270.6859999999997"/>
    <d v="2025-04-05T00:00:00"/>
    <d v="2025-04-13T00:00:00"/>
    <s v="Cameron"/>
    <n v="5"/>
    <n v="4"/>
    <x v="7"/>
    <x v="2"/>
    <x v="2"/>
    <n v="14"/>
  </r>
  <r>
    <d v="2023-09-13T00:00:00"/>
    <x v="3"/>
    <x v="2"/>
    <n v="9"/>
    <n v="329.15"/>
    <x v="1"/>
    <x v="1"/>
    <n v="0.05"/>
    <x v="4"/>
    <n v="2814.2325000000001"/>
    <x v="1"/>
    <s v="FREESHIP"/>
    <n v="0"/>
    <x v="1409"/>
    <s v="Aisha Chopra"/>
    <n v="29.41"/>
    <n v="312.6925"/>
    <n v="2784.8225000000002"/>
    <d v="2023-09-13T00:00:00"/>
    <d v="2023-09-15T00:00:00"/>
    <s v="Cameron"/>
    <n v="13"/>
    <n v="9"/>
    <x v="11"/>
    <x v="0"/>
    <x v="3"/>
    <n v="37"/>
  </r>
  <r>
    <d v="2024-06-28T00:00:00"/>
    <x v="0"/>
    <x v="4"/>
    <n v="1"/>
    <n v="577.07000000000005"/>
    <x v="2"/>
    <x v="0"/>
    <n v="0.05"/>
    <x v="2"/>
    <n v="548.2165"/>
    <x v="0"/>
    <s v="WINTER15"/>
    <n v="0"/>
    <x v="1410"/>
    <s v="Om Mehta"/>
    <n v="22.97"/>
    <n v="548.2165"/>
    <n v="525.24649999999997"/>
    <d v="2024-06-28T00:00:00"/>
    <d v="2024-07-06T00:00:00"/>
    <s v="Eric"/>
    <n v="28"/>
    <n v="6"/>
    <x v="3"/>
    <x v="1"/>
    <x v="2"/>
    <n v="26"/>
  </r>
  <r>
    <d v="2023-04-06T00:00:00"/>
    <x v="3"/>
    <x v="3"/>
    <n v="6"/>
    <n v="544.33000000000004"/>
    <x v="0"/>
    <x v="0"/>
    <n v="0.1"/>
    <x v="3"/>
    <n v="2939.382000000001"/>
    <x v="4"/>
    <s v="nan"/>
    <n v="0"/>
    <x v="1411"/>
    <s v="Om Chawla"/>
    <n v="11.52"/>
    <n v="489.89700000000016"/>
    <n v="2927.862000000001"/>
    <d v="2023-04-06T00:00:00"/>
    <d v="2023-04-08T00:00:00"/>
    <s v="Cameron"/>
    <n v="6"/>
    <n v="4"/>
    <x v="7"/>
    <x v="0"/>
    <x v="2"/>
    <n v="14"/>
  </r>
  <r>
    <d v="2023-05-13T00:00:00"/>
    <x v="1"/>
    <x v="0"/>
    <n v="18"/>
    <n v="331.45"/>
    <x v="3"/>
    <x v="1"/>
    <n v="0.15"/>
    <x v="1"/>
    <n v="5071.1849999999986"/>
    <x v="4"/>
    <s v="WINTER15"/>
    <n v="1"/>
    <x v="1412"/>
    <s v="Gaurav Verma"/>
    <n v="32.92"/>
    <n v="281.7324999999999"/>
    <n v="5038.2649999999985"/>
    <d v="2023-05-13T00:00:00"/>
    <d v="2023-05-18T00:00:00"/>
    <s v="Sophie"/>
    <n v="13"/>
    <n v="5"/>
    <x v="2"/>
    <x v="0"/>
    <x v="2"/>
    <n v="19"/>
  </r>
  <r>
    <d v="2025-05-07T00:00:00"/>
    <x v="0"/>
    <x v="0"/>
    <n v="1"/>
    <n v="421.26"/>
    <x v="3"/>
    <x v="1"/>
    <n v="0.1"/>
    <x v="0"/>
    <n v="379.13400000000001"/>
    <x v="3"/>
    <s v="FREESHIP"/>
    <n v="0"/>
    <x v="1413"/>
    <s v="Ananya Nair"/>
    <n v="36.340000000000003"/>
    <n v="379.13400000000001"/>
    <n v="342.79399999999998"/>
    <d v="2025-05-07T00:00:00"/>
    <d v="2025-05-15T00:00:00"/>
    <s v="Eric"/>
    <n v="7"/>
    <n v="5"/>
    <x v="2"/>
    <x v="2"/>
    <x v="2"/>
    <n v="19"/>
  </r>
  <r>
    <d v="2025-03-22T00:00:00"/>
    <x v="2"/>
    <x v="5"/>
    <n v="4"/>
    <n v="555.02"/>
    <x v="0"/>
    <x v="1"/>
    <n v="0.1"/>
    <x v="4"/>
    <n v="1998.0719999999999"/>
    <x v="4"/>
    <s v="SAVE10"/>
    <n v="0"/>
    <x v="1414"/>
    <s v="Nikhil Agarwal"/>
    <n v="45.25"/>
    <n v="499.51799999999997"/>
    <n v="1952.8219999999999"/>
    <d v="2025-03-22T00:00:00"/>
    <d v="2025-03-27T00:00:00"/>
    <s v="Ryan"/>
    <n v="22"/>
    <n v="3"/>
    <x v="6"/>
    <x v="2"/>
    <x v="0"/>
    <n v="12"/>
  </r>
  <r>
    <d v="2024-06-24T00:00:00"/>
    <x v="1"/>
    <x v="0"/>
    <n v="19"/>
    <n v="254.03"/>
    <x v="2"/>
    <x v="0"/>
    <n v="0"/>
    <x v="2"/>
    <n v="4826.57"/>
    <x v="0"/>
    <s v="SAVE10"/>
    <n v="1"/>
    <x v="1415"/>
    <s v="Nazia Das"/>
    <n v="11.21"/>
    <n v="254.02999999999997"/>
    <n v="4815.3599999999997"/>
    <d v="2024-06-24T00:00:00"/>
    <d v="2024-07-02T00:00:00"/>
    <s v="Sophie"/>
    <n v="24"/>
    <n v="6"/>
    <x v="3"/>
    <x v="1"/>
    <x v="2"/>
    <n v="26"/>
  </r>
  <r>
    <d v="2025-06-29T00:00:00"/>
    <x v="4"/>
    <x v="5"/>
    <n v="9"/>
    <n v="533.92999999999995"/>
    <x v="3"/>
    <x v="1"/>
    <n v="0.15"/>
    <x v="2"/>
    <n v="4084.5645"/>
    <x v="1"/>
    <s v="nan"/>
    <n v="0"/>
    <x v="1416"/>
    <s v="Nisha Bhargava"/>
    <n v="34.76"/>
    <n v="453.84050000000002"/>
    <n v="4049.8044999999997"/>
    <d v="2025-06-29T00:00:00"/>
    <d v="2025-07-03T00:00:00"/>
    <s v="Wendy"/>
    <n v="29"/>
    <n v="6"/>
    <x v="3"/>
    <x v="2"/>
    <x v="2"/>
    <n v="26"/>
  </r>
  <r>
    <d v="2024-04-01T00:00:00"/>
    <x v="4"/>
    <x v="2"/>
    <n v="7"/>
    <n v="241.35"/>
    <x v="0"/>
    <x v="0"/>
    <n v="0.1"/>
    <x v="4"/>
    <n v="1520.5050000000001"/>
    <x v="2"/>
    <s v="SAVE10"/>
    <n v="0"/>
    <x v="1417"/>
    <s v="Raj Saxena"/>
    <n v="42.43"/>
    <n v="217.215"/>
    <n v="1478.075"/>
    <d v="2024-04-01T00:00:00"/>
    <d v="2024-04-10T00:00:00"/>
    <s v="Wendy"/>
    <n v="1"/>
    <n v="4"/>
    <x v="7"/>
    <x v="1"/>
    <x v="2"/>
    <n v="14"/>
  </r>
  <r>
    <d v="2024-06-04T00:00:00"/>
    <x v="2"/>
    <x v="5"/>
    <n v="11"/>
    <n v="160.37"/>
    <x v="0"/>
    <x v="0"/>
    <n v="0.05"/>
    <x v="3"/>
    <n v="1675.8665000000001"/>
    <x v="4"/>
    <s v="nan"/>
    <n v="0"/>
    <x v="1418"/>
    <s v="Rahul Singh"/>
    <n v="36.049999999999997"/>
    <n v="152.35150000000002"/>
    <n v="1639.8165000000001"/>
    <d v="2024-06-04T00:00:00"/>
    <d v="2024-06-14T00:00:00"/>
    <s v="Ryan"/>
    <n v="4"/>
    <n v="6"/>
    <x v="3"/>
    <x v="1"/>
    <x v="2"/>
    <n v="23"/>
  </r>
  <r>
    <d v="2023-03-30T00:00:00"/>
    <x v="0"/>
    <x v="5"/>
    <n v="1"/>
    <n v="419.1"/>
    <x v="0"/>
    <x v="0"/>
    <n v="0.1"/>
    <x v="3"/>
    <n v="377.19000000000011"/>
    <x v="1"/>
    <s v="SAVE10"/>
    <n v="1"/>
    <x v="1419"/>
    <s v="Riya Chawla"/>
    <n v="38.81"/>
    <n v="377.19000000000011"/>
    <n v="338.38000000000011"/>
    <d v="2023-03-30T00:00:00"/>
    <d v="2023-04-06T00:00:00"/>
    <s v="Eric"/>
    <n v="30"/>
    <n v="3"/>
    <x v="6"/>
    <x v="0"/>
    <x v="0"/>
    <n v="13"/>
  </r>
  <r>
    <d v="2025-03-26T00:00:00"/>
    <x v="0"/>
    <x v="0"/>
    <n v="13"/>
    <n v="138.72"/>
    <x v="3"/>
    <x v="0"/>
    <n v="0.15"/>
    <x v="3"/>
    <n v="1532.856"/>
    <x v="4"/>
    <s v="WINTER15"/>
    <n v="1"/>
    <x v="1420"/>
    <s v="Zara Reddy"/>
    <n v="17.89"/>
    <n v="117.91200000000001"/>
    <n v="1514.9659999999999"/>
    <d v="2025-03-26T00:00:00"/>
    <d v="2025-03-28T00:00:00"/>
    <s v="Eric"/>
    <n v="26"/>
    <n v="3"/>
    <x v="6"/>
    <x v="2"/>
    <x v="0"/>
    <n v="13"/>
  </r>
  <r>
    <d v="2023-08-22T00:00:00"/>
    <x v="4"/>
    <x v="4"/>
    <n v="8"/>
    <n v="461.04"/>
    <x v="0"/>
    <x v="1"/>
    <n v="0"/>
    <x v="1"/>
    <n v="3688.32"/>
    <x v="0"/>
    <s v="FREESHIP"/>
    <n v="0"/>
    <x v="1421"/>
    <s v="Dhruv Tiwari"/>
    <n v="13.62"/>
    <n v="461.04"/>
    <n v="3674.7000000000003"/>
    <d v="2023-08-22T00:00:00"/>
    <d v="2023-08-24T00:00:00"/>
    <s v="Wendy"/>
    <n v="22"/>
    <n v="8"/>
    <x v="10"/>
    <x v="0"/>
    <x v="3"/>
    <n v="34"/>
  </r>
  <r>
    <d v="2024-04-16T00:00:00"/>
    <x v="1"/>
    <x v="1"/>
    <n v="6"/>
    <n v="524.19000000000005"/>
    <x v="3"/>
    <x v="1"/>
    <n v="0.15"/>
    <x v="2"/>
    <n v="2673.3690000000001"/>
    <x v="4"/>
    <s v="WINTER15"/>
    <n v="0"/>
    <x v="1422"/>
    <s v="Ishaan Shah"/>
    <n v="31.04"/>
    <n v="445.56150000000002"/>
    <n v="2642.3290000000002"/>
    <d v="2024-04-16T00:00:00"/>
    <d v="2024-04-20T00:00:00"/>
    <s v="Sophie"/>
    <n v="16"/>
    <n v="4"/>
    <x v="7"/>
    <x v="1"/>
    <x v="2"/>
    <n v="16"/>
  </r>
  <r>
    <d v="2025-05-11T00:00:00"/>
    <x v="3"/>
    <x v="3"/>
    <n v="16"/>
    <n v="305.20999999999998"/>
    <x v="1"/>
    <x v="0"/>
    <n v="0.1"/>
    <x v="1"/>
    <n v="4395.0239999999994"/>
    <x v="3"/>
    <s v="SAVE10"/>
    <n v="0"/>
    <x v="1423"/>
    <s v="Aman D'Souza"/>
    <n v="33.369999999999997"/>
    <n v="274.68899999999996"/>
    <n v="4361.6539999999995"/>
    <d v="2025-05-11T00:00:00"/>
    <d v="2025-05-19T00:00:00"/>
    <s v="Cameron"/>
    <n v="11"/>
    <n v="5"/>
    <x v="2"/>
    <x v="2"/>
    <x v="2"/>
    <n v="19"/>
  </r>
  <r>
    <d v="2023-12-11T00:00:00"/>
    <x v="2"/>
    <x v="6"/>
    <n v="16"/>
    <n v="438.71"/>
    <x v="2"/>
    <x v="1"/>
    <n v="0"/>
    <x v="1"/>
    <n v="7019.36"/>
    <x v="0"/>
    <s v="nan"/>
    <n v="0"/>
    <x v="1424"/>
    <s v="Noor Solanki"/>
    <n v="6.53"/>
    <n v="438.71"/>
    <n v="7012.83"/>
    <d v="2023-12-11T00:00:00"/>
    <d v="2023-12-21T00:00:00"/>
    <s v="Ryan"/>
    <n v="11"/>
    <n v="12"/>
    <x v="1"/>
    <x v="0"/>
    <x v="1"/>
    <n v="50"/>
  </r>
  <r>
    <d v="2023-01-16T00:00:00"/>
    <x v="2"/>
    <x v="6"/>
    <n v="10"/>
    <n v="193.96"/>
    <x v="3"/>
    <x v="0"/>
    <n v="0.1"/>
    <x v="1"/>
    <n v="1745.64"/>
    <x v="1"/>
    <s v="nan"/>
    <n v="0"/>
    <x v="1425"/>
    <s v="Aditi Kulkarni"/>
    <n v="41.3"/>
    <n v="174.56400000000002"/>
    <n v="1704.3400000000001"/>
    <d v="2023-01-16T00:00:00"/>
    <d v="2023-01-21T00:00:00"/>
    <s v="Ryan"/>
    <n v="16"/>
    <n v="1"/>
    <x v="4"/>
    <x v="0"/>
    <x v="0"/>
    <n v="3"/>
  </r>
  <r>
    <d v="2023-05-10T00:00:00"/>
    <x v="0"/>
    <x v="1"/>
    <n v="18"/>
    <n v="580.41999999999996"/>
    <x v="1"/>
    <x v="0"/>
    <n v="0.05"/>
    <x v="5"/>
    <n v="9925.1819999999989"/>
    <x v="0"/>
    <s v="SAVE10"/>
    <n v="0"/>
    <x v="1426"/>
    <s v="Raj Sharma"/>
    <n v="37.81"/>
    <n v="551.39899999999989"/>
    <n v="9887.3719999999994"/>
    <d v="2023-05-10T00:00:00"/>
    <d v="2023-05-17T00:00:00"/>
    <s v="Eric"/>
    <n v="10"/>
    <n v="5"/>
    <x v="2"/>
    <x v="0"/>
    <x v="2"/>
    <n v="19"/>
  </r>
  <r>
    <d v="2024-06-22T00:00:00"/>
    <x v="3"/>
    <x v="4"/>
    <n v="18"/>
    <n v="91.55"/>
    <x v="2"/>
    <x v="1"/>
    <n v="0.1"/>
    <x v="1"/>
    <n v="1483.11"/>
    <x v="3"/>
    <s v="FREESHIP"/>
    <n v="0"/>
    <x v="1427"/>
    <s v="Sara Naidu"/>
    <n v="32.54"/>
    <n v="82.394999999999996"/>
    <n v="1450.57"/>
    <d v="2024-06-22T00:00:00"/>
    <d v="2024-06-29T00:00:00"/>
    <s v="Cameron"/>
    <n v="22"/>
    <n v="6"/>
    <x v="3"/>
    <x v="1"/>
    <x v="2"/>
    <n v="25"/>
  </r>
  <r>
    <d v="2025-03-29T00:00:00"/>
    <x v="4"/>
    <x v="5"/>
    <n v="13"/>
    <n v="113.78"/>
    <x v="2"/>
    <x v="0"/>
    <n v="0.1"/>
    <x v="0"/>
    <n v="1331.2260000000001"/>
    <x v="0"/>
    <s v="FREESHIP"/>
    <n v="0"/>
    <x v="1428"/>
    <s v="Kabir Agarwal"/>
    <n v="28.07"/>
    <n v="102.40200000000002"/>
    <n v="1303.1560000000002"/>
    <d v="2025-03-29T00:00:00"/>
    <d v="2025-04-07T00:00:00"/>
    <s v="Wendy"/>
    <n v="29"/>
    <n v="3"/>
    <x v="6"/>
    <x v="2"/>
    <x v="0"/>
    <n v="13"/>
  </r>
  <r>
    <d v="2023-04-18T00:00:00"/>
    <x v="2"/>
    <x v="5"/>
    <n v="16"/>
    <n v="477.91"/>
    <x v="1"/>
    <x v="0"/>
    <n v="0"/>
    <x v="3"/>
    <n v="7646.56"/>
    <x v="2"/>
    <s v="WINTER15"/>
    <n v="0"/>
    <x v="1429"/>
    <s v="Alina Menon"/>
    <n v="21.89"/>
    <n v="477.91"/>
    <n v="7624.67"/>
    <d v="2023-04-18T00:00:00"/>
    <d v="2023-04-23T00:00:00"/>
    <s v="Ryan"/>
    <n v="18"/>
    <n v="4"/>
    <x v="7"/>
    <x v="0"/>
    <x v="2"/>
    <n v="16"/>
  </r>
  <r>
    <d v="2023-02-07T00:00:00"/>
    <x v="3"/>
    <x v="0"/>
    <n v="14"/>
    <n v="306.39"/>
    <x v="1"/>
    <x v="1"/>
    <n v="0.1"/>
    <x v="0"/>
    <n v="3860.5140000000001"/>
    <x v="4"/>
    <s v="WINTER15"/>
    <n v="0"/>
    <x v="1430"/>
    <s v="Yash Bose"/>
    <n v="38.729999999999997"/>
    <n v="275.75100000000003"/>
    <n v="3821.7840000000001"/>
    <d v="2023-02-07T00:00:00"/>
    <d v="2023-02-09T00:00:00"/>
    <s v="Cameron"/>
    <n v="7"/>
    <n v="2"/>
    <x v="0"/>
    <x v="0"/>
    <x v="0"/>
    <n v="6"/>
  </r>
  <r>
    <d v="2025-01-22T00:00:00"/>
    <x v="0"/>
    <x v="5"/>
    <n v="17"/>
    <n v="8.33"/>
    <x v="1"/>
    <x v="1"/>
    <n v="0.05"/>
    <x v="0"/>
    <n v="134.52950000000001"/>
    <x v="4"/>
    <s v="nan"/>
    <n v="0"/>
    <x v="1431"/>
    <s v="Ananya Bansal"/>
    <n v="43.29"/>
    <n v="7.9135000000000009"/>
    <n v="91.239500000000021"/>
    <d v="2025-01-22T00:00:00"/>
    <d v="2025-01-25T00:00:00"/>
    <s v="Eric"/>
    <n v="22"/>
    <n v="1"/>
    <x v="4"/>
    <x v="2"/>
    <x v="0"/>
    <n v="4"/>
  </r>
  <r>
    <d v="2023-07-04T00:00:00"/>
    <x v="0"/>
    <x v="1"/>
    <n v="6"/>
    <n v="346.86"/>
    <x v="2"/>
    <x v="1"/>
    <n v="0.05"/>
    <x v="0"/>
    <n v="1977.1020000000001"/>
    <x v="1"/>
    <s v="FREESHIP"/>
    <n v="0"/>
    <x v="1432"/>
    <s v="Mitali Patel"/>
    <n v="29.18"/>
    <n v="329.517"/>
    <n v="1947.922"/>
    <d v="2023-07-04T00:00:00"/>
    <d v="2023-07-12T00:00:00"/>
    <s v="Eric"/>
    <n v="4"/>
    <n v="7"/>
    <x v="8"/>
    <x v="0"/>
    <x v="3"/>
    <n v="27"/>
  </r>
  <r>
    <d v="2023-07-31T00:00:00"/>
    <x v="3"/>
    <x v="2"/>
    <n v="14"/>
    <n v="223.26"/>
    <x v="0"/>
    <x v="0"/>
    <n v="0.1"/>
    <x v="1"/>
    <n v="2813.076"/>
    <x v="2"/>
    <s v="WINTER15"/>
    <n v="0"/>
    <x v="1433"/>
    <s v="Tanvi Arora"/>
    <n v="12.88"/>
    <n v="200.934"/>
    <n v="2800.1959999999999"/>
    <d v="2023-07-31T00:00:00"/>
    <d v="2023-08-03T00:00:00"/>
    <s v="Cameron"/>
    <n v="31"/>
    <n v="7"/>
    <x v="8"/>
    <x v="0"/>
    <x v="3"/>
    <n v="31"/>
  </r>
  <r>
    <d v="2023-04-20T00:00:00"/>
    <x v="2"/>
    <x v="2"/>
    <n v="6"/>
    <n v="529.1"/>
    <x v="3"/>
    <x v="0"/>
    <n v="0"/>
    <x v="0"/>
    <n v="3174.6"/>
    <x v="3"/>
    <s v="WINTER15"/>
    <n v="0"/>
    <x v="1434"/>
    <s v="Diya Joshi"/>
    <n v="5.13"/>
    <n v="529.1"/>
    <n v="3169.47"/>
    <d v="2023-04-20T00:00:00"/>
    <d v="2023-04-27T00:00:00"/>
    <s v="Ryan"/>
    <n v="20"/>
    <n v="4"/>
    <x v="7"/>
    <x v="0"/>
    <x v="2"/>
    <n v="16"/>
  </r>
  <r>
    <d v="2024-10-08T00:00:00"/>
    <x v="3"/>
    <x v="5"/>
    <n v="11"/>
    <n v="97.34"/>
    <x v="3"/>
    <x v="0"/>
    <n v="0.1"/>
    <x v="3"/>
    <n v="963.66600000000005"/>
    <x v="3"/>
    <s v="SAVE10"/>
    <n v="0"/>
    <x v="1435"/>
    <s v="Krish Mukherjee"/>
    <n v="10.61"/>
    <n v="87.606000000000009"/>
    <n v="953.05600000000004"/>
    <d v="2024-10-08T00:00:00"/>
    <d v="2024-10-11T00:00:00"/>
    <s v="Cameron"/>
    <n v="8"/>
    <n v="10"/>
    <x v="5"/>
    <x v="1"/>
    <x v="1"/>
    <n v="41"/>
  </r>
  <r>
    <d v="2024-01-25T00:00:00"/>
    <x v="0"/>
    <x v="3"/>
    <n v="11"/>
    <n v="422.89"/>
    <x v="0"/>
    <x v="1"/>
    <n v="0.1"/>
    <x v="2"/>
    <n v="4186.6109999999999"/>
    <x v="2"/>
    <s v="SAVE10"/>
    <n v="0"/>
    <x v="1436"/>
    <s v="Kavya Sharma"/>
    <n v="45.89"/>
    <n v="380.601"/>
    <n v="4140.7209999999995"/>
    <d v="2024-01-25T00:00:00"/>
    <d v="2024-01-27T00:00:00"/>
    <s v="Eric"/>
    <n v="25"/>
    <n v="1"/>
    <x v="4"/>
    <x v="1"/>
    <x v="0"/>
    <n v="4"/>
  </r>
  <r>
    <d v="2024-12-16T00:00:00"/>
    <x v="1"/>
    <x v="4"/>
    <n v="4"/>
    <n v="557.16999999999996"/>
    <x v="2"/>
    <x v="0"/>
    <n v="0.05"/>
    <x v="2"/>
    <n v="2117.2460000000001"/>
    <x v="2"/>
    <s v="nan"/>
    <n v="0"/>
    <x v="1437"/>
    <s v="Karan Srivastava"/>
    <n v="32.159999999999997"/>
    <n v="529.31150000000002"/>
    <n v="2085.0860000000002"/>
    <d v="2024-12-16T00:00:00"/>
    <d v="2024-12-25T00:00:00"/>
    <s v="Sophie"/>
    <n v="16"/>
    <n v="12"/>
    <x v="1"/>
    <x v="1"/>
    <x v="1"/>
    <n v="51"/>
  </r>
  <r>
    <d v="2024-10-24T00:00:00"/>
    <x v="3"/>
    <x v="6"/>
    <n v="9"/>
    <n v="459.65"/>
    <x v="0"/>
    <x v="1"/>
    <n v="0.1"/>
    <x v="5"/>
    <n v="3723.165"/>
    <x v="1"/>
    <s v="WINTER15"/>
    <n v="1"/>
    <x v="1438"/>
    <s v="Krish Hussain"/>
    <n v="22.24"/>
    <n v="413.685"/>
    <n v="3700.9250000000002"/>
    <d v="2024-10-24T00:00:00"/>
    <d v="2024-11-01T00:00:00"/>
    <s v="Cameron"/>
    <n v="24"/>
    <n v="10"/>
    <x v="5"/>
    <x v="1"/>
    <x v="1"/>
    <n v="43"/>
  </r>
  <r>
    <d v="2023-11-16T00:00:00"/>
    <x v="4"/>
    <x v="4"/>
    <n v="8"/>
    <n v="493.35"/>
    <x v="1"/>
    <x v="1"/>
    <n v="0.1"/>
    <x v="1"/>
    <n v="3552.12"/>
    <x v="4"/>
    <s v="FREESHIP"/>
    <n v="1"/>
    <x v="1439"/>
    <s v="Yash Verma"/>
    <n v="12.86"/>
    <n v="444.01499999999999"/>
    <n v="3539.2599999999998"/>
    <d v="2023-11-16T00:00:00"/>
    <d v="2023-11-20T00:00:00"/>
    <s v="Wendy"/>
    <n v="16"/>
    <n v="11"/>
    <x v="9"/>
    <x v="0"/>
    <x v="1"/>
    <n v="46"/>
  </r>
  <r>
    <d v="2024-03-31T00:00:00"/>
    <x v="1"/>
    <x v="0"/>
    <n v="13"/>
    <n v="428.59"/>
    <x v="3"/>
    <x v="1"/>
    <n v="0"/>
    <x v="5"/>
    <n v="5571.67"/>
    <x v="4"/>
    <s v="FREESHIP"/>
    <n v="0"/>
    <x v="1440"/>
    <s v="Kavya Malhotra"/>
    <n v="23.89"/>
    <n v="428.59000000000003"/>
    <n v="5547.78"/>
    <d v="2024-03-31T00:00:00"/>
    <d v="2024-04-08T00:00:00"/>
    <s v="Sophie"/>
    <n v="31"/>
    <n v="3"/>
    <x v="6"/>
    <x v="1"/>
    <x v="0"/>
    <n v="13"/>
  </r>
  <r>
    <d v="2023-02-13T00:00:00"/>
    <x v="0"/>
    <x v="0"/>
    <n v="7"/>
    <n v="242.11"/>
    <x v="2"/>
    <x v="0"/>
    <n v="0.05"/>
    <x v="0"/>
    <n v="1610.0315000000001"/>
    <x v="3"/>
    <s v="WINTER15"/>
    <n v="0"/>
    <x v="1441"/>
    <s v="Dhruv Vora"/>
    <n v="47.19"/>
    <n v="230.00450000000001"/>
    <n v="1562.8415"/>
    <d v="2023-02-13T00:00:00"/>
    <d v="2023-02-18T00:00:00"/>
    <s v="Eric"/>
    <n v="13"/>
    <n v="2"/>
    <x v="0"/>
    <x v="0"/>
    <x v="0"/>
    <n v="7"/>
  </r>
  <r>
    <d v="2023-09-20T00:00:00"/>
    <x v="1"/>
    <x v="5"/>
    <n v="17"/>
    <n v="477.38"/>
    <x v="2"/>
    <x v="1"/>
    <n v="0.05"/>
    <x v="1"/>
    <n v="7709.6869999999999"/>
    <x v="1"/>
    <s v="FREESHIP"/>
    <n v="0"/>
    <x v="1442"/>
    <s v="Laksh Sinha"/>
    <n v="35.28"/>
    <n v="453.51099999999997"/>
    <n v="7674.4070000000002"/>
    <d v="2023-09-20T00:00:00"/>
    <d v="2023-09-27T00:00:00"/>
    <s v="Sophie"/>
    <n v="20"/>
    <n v="9"/>
    <x v="11"/>
    <x v="0"/>
    <x v="3"/>
    <n v="38"/>
  </r>
  <r>
    <d v="2023-06-27T00:00:00"/>
    <x v="1"/>
    <x v="3"/>
    <n v="3"/>
    <n v="261.60000000000002"/>
    <x v="3"/>
    <x v="1"/>
    <n v="0.05"/>
    <x v="4"/>
    <n v="745.56000000000006"/>
    <x v="4"/>
    <s v="WINTER15"/>
    <n v="0"/>
    <x v="1443"/>
    <s v="Nazia Qureshi"/>
    <n v="42.11"/>
    <n v="248.52"/>
    <n v="703.45"/>
    <d v="2023-06-27T00:00:00"/>
    <d v="2023-07-07T00:00:00"/>
    <s v="Sophie"/>
    <n v="27"/>
    <n v="6"/>
    <x v="3"/>
    <x v="0"/>
    <x v="2"/>
    <n v="26"/>
  </r>
  <r>
    <d v="2025-04-02T00:00:00"/>
    <x v="3"/>
    <x v="0"/>
    <n v="6"/>
    <n v="416.2"/>
    <x v="1"/>
    <x v="0"/>
    <n v="0.05"/>
    <x v="1"/>
    <n v="2372.34"/>
    <x v="4"/>
    <s v="WINTER15"/>
    <n v="1"/>
    <x v="1444"/>
    <s v="Arjun D'Souza"/>
    <n v="44.14"/>
    <n v="395.39000000000004"/>
    <n v="2328.2000000000003"/>
    <d v="2025-04-02T00:00:00"/>
    <d v="2025-04-06T00:00:00"/>
    <s v="Cameron"/>
    <n v="2"/>
    <n v="4"/>
    <x v="7"/>
    <x v="2"/>
    <x v="2"/>
    <n v="14"/>
  </r>
  <r>
    <d v="2025-04-16T00:00:00"/>
    <x v="2"/>
    <x v="6"/>
    <n v="15"/>
    <n v="99.66"/>
    <x v="1"/>
    <x v="0"/>
    <n v="0"/>
    <x v="0"/>
    <n v="1494.9"/>
    <x v="4"/>
    <s v="FREESHIP"/>
    <n v="0"/>
    <x v="1445"/>
    <s v="Manish Shetty"/>
    <n v="27.55"/>
    <n v="99.660000000000011"/>
    <n v="1467.3500000000001"/>
    <d v="2025-04-16T00:00:00"/>
    <d v="2025-04-26T00:00:00"/>
    <s v="Ryan"/>
    <n v="16"/>
    <n v="4"/>
    <x v="7"/>
    <x v="2"/>
    <x v="2"/>
    <n v="16"/>
  </r>
  <r>
    <d v="2024-07-09T00:00:00"/>
    <x v="3"/>
    <x v="0"/>
    <n v="16"/>
    <n v="55.56"/>
    <x v="3"/>
    <x v="0"/>
    <n v="0.15"/>
    <x v="2"/>
    <n v="755.61599999999999"/>
    <x v="4"/>
    <s v="nan"/>
    <n v="1"/>
    <x v="1446"/>
    <s v="Ritika Tiwari"/>
    <n v="17.809999999999999"/>
    <n v="47.225999999999999"/>
    <n v="737.80600000000004"/>
    <d v="2024-07-09T00:00:00"/>
    <d v="2024-07-17T00:00:00"/>
    <s v="Cameron"/>
    <n v="9"/>
    <n v="7"/>
    <x v="8"/>
    <x v="1"/>
    <x v="3"/>
    <n v="28"/>
  </r>
  <r>
    <d v="2025-06-23T00:00:00"/>
    <x v="0"/>
    <x v="1"/>
    <n v="20"/>
    <n v="243.47"/>
    <x v="1"/>
    <x v="0"/>
    <n v="0.05"/>
    <x v="1"/>
    <n v="4625.9299999999994"/>
    <x v="1"/>
    <s v="FREESHIP"/>
    <n v="1"/>
    <x v="1447"/>
    <s v="Aisha Reddy"/>
    <n v="32.28"/>
    <n v="231.29649999999998"/>
    <n v="4593.6499999999996"/>
    <d v="2025-06-23T00:00:00"/>
    <d v="2025-07-03T00:00:00"/>
    <s v="Eric"/>
    <n v="23"/>
    <n v="6"/>
    <x v="3"/>
    <x v="2"/>
    <x v="2"/>
    <n v="26"/>
  </r>
  <r>
    <d v="2024-06-09T00:00:00"/>
    <x v="0"/>
    <x v="5"/>
    <n v="11"/>
    <n v="185.59"/>
    <x v="0"/>
    <x v="1"/>
    <n v="0.1"/>
    <x v="3"/>
    <n v="1837.3409999999999"/>
    <x v="1"/>
    <s v="nan"/>
    <n v="0"/>
    <x v="1448"/>
    <s v="Karan Naidu"/>
    <n v="45.19"/>
    <n v="167.03099999999998"/>
    <n v="1792.1509999999998"/>
    <d v="2024-06-09T00:00:00"/>
    <d v="2024-06-18T00:00:00"/>
    <s v="Eric"/>
    <n v="9"/>
    <n v="6"/>
    <x v="3"/>
    <x v="1"/>
    <x v="2"/>
    <n v="23"/>
  </r>
  <r>
    <d v="2023-12-01T00:00:00"/>
    <x v="3"/>
    <x v="2"/>
    <n v="11"/>
    <n v="347.38"/>
    <x v="2"/>
    <x v="0"/>
    <n v="0.05"/>
    <x v="0"/>
    <n v="3630.1210000000001"/>
    <x v="2"/>
    <s v="FREESHIP"/>
    <n v="0"/>
    <x v="1449"/>
    <s v="Sara Khan"/>
    <n v="24.8"/>
    <n v="330.01100000000002"/>
    <n v="3605.3209999999999"/>
    <d v="2023-12-01T00:00:00"/>
    <d v="2023-12-03T00:00:00"/>
    <s v="Cameron"/>
    <n v="1"/>
    <n v="12"/>
    <x v="1"/>
    <x v="0"/>
    <x v="1"/>
    <n v="48"/>
  </r>
  <r>
    <d v="2024-07-24T00:00:00"/>
    <x v="4"/>
    <x v="5"/>
    <n v="15"/>
    <n v="318.02999999999997"/>
    <x v="3"/>
    <x v="1"/>
    <n v="0.05"/>
    <x v="4"/>
    <n v="4531.9274999999998"/>
    <x v="1"/>
    <s v="WINTER15"/>
    <n v="1"/>
    <x v="1450"/>
    <s v="Simran Kapoor"/>
    <n v="24.38"/>
    <n v="302.12849999999997"/>
    <n v="4507.5474999999997"/>
    <d v="2024-07-24T00:00:00"/>
    <d v="2024-07-30T00:00:00"/>
    <s v="Wendy"/>
    <n v="24"/>
    <n v="7"/>
    <x v="8"/>
    <x v="1"/>
    <x v="3"/>
    <n v="30"/>
  </r>
  <r>
    <d v="2023-04-12T00:00:00"/>
    <x v="4"/>
    <x v="3"/>
    <n v="15"/>
    <n v="242.35"/>
    <x v="3"/>
    <x v="0"/>
    <n v="0.15"/>
    <x v="4"/>
    <n v="3089.9625000000001"/>
    <x v="4"/>
    <s v="WINTER15"/>
    <n v="1"/>
    <x v="1451"/>
    <s v="Parth Sharma"/>
    <n v="14.92"/>
    <n v="205.9975"/>
    <n v="3075.0425"/>
    <d v="2023-04-12T00:00:00"/>
    <d v="2023-04-19T00:00:00"/>
    <s v="Wendy"/>
    <n v="12"/>
    <n v="4"/>
    <x v="7"/>
    <x v="0"/>
    <x v="2"/>
    <n v="15"/>
  </r>
  <r>
    <d v="2024-12-17T00:00:00"/>
    <x v="2"/>
    <x v="2"/>
    <n v="3"/>
    <n v="82.09"/>
    <x v="0"/>
    <x v="1"/>
    <n v="0.15"/>
    <x v="0"/>
    <n v="209.3295"/>
    <x v="1"/>
    <s v="WINTER15"/>
    <n v="1"/>
    <x v="1452"/>
    <s v="Raina Iyer"/>
    <n v="12.63"/>
    <n v="69.776499999999999"/>
    <n v="196.6995"/>
    <d v="2024-12-17T00:00:00"/>
    <d v="2024-12-26T00:00:00"/>
    <s v="Ryan"/>
    <n v="17"/>
    <n v="12"/>
    <x v="1"/>
    <x v="1"/>
    <x v="1"/>
    <n v="51"/>
  </r>
  <r>
    <d v="2024-08-08T00:00:00"/>
    <x v="1"/>
    <x v="4"/>
    <n v="10"/>
    <n v="285.73"/>
    <x v="3"/>
    <x v="0"/>
    <n v="0.15"/>
    <x v="0"/>
    <n v="2428.7049999999999"/>
    <x v="4"/>
    <s v="WINTER15"/>
    <n v="1"/>
    <x v="1453"/>
    <s v="Aditi Qureshi"/>
    <n v="26.68"/>
    <n v="242.87049999999999"/>
    <n v="2402.0250000000001"/>
    <d v="2024-08-08T00:00:00"/>
    <d v="2024-08-14T00:00:00"/>
    <s v="Sophie"/>
    <n v="8"/>
    <n v="8"/>
    <x v="10"/>
    <x v="1"/>
    <x v="3"/>
    <n v="32"/>
  </r>
  <r>
    <d v="2024-09-15T00:00:00"/>
    <x v="0"/>
    <x v="0"/>
    <n v="17"/>
    <n v="341.52"/>
    <x v="2"/>
    <x v="0"/>
    <n v="0.1"/>
    <x v="0"/>
    <n v="5225.2560000000003"/>
    <x v="2"/>
    <s v="FREESHIP"/>
    <n v="0"/>
    <x v="1454"/>
    <s v="Suresh Reddy"/>
    <n v="16.670000000000002"/>
    <n v="307.36799999999999"/>
    <n v="5208.5860000000002"/>
    <d v="2024-09-15T00:00:00"/>
    <d v="2024-09-22T00:00:00"/>
    <s v="Eric"/>
    <n v="15"/>
    <n v="9"/>
    <x v="11"/>
    <x v="1"/>
    <x v="3"/>
    <n v="37"/>
  </r>
  <r>
    <d v="2023-10-08T00:00:00"/>
    <x v="1"/>
    <x v="5"/>
    <n v="14"/>
    <n v="216.4"/>
    <x v="3"/>
    <x v="0"/>
    <n v="0.1"/>
    <x v="4"/>
    <n v="2726.64"/>
    <x v="3"/>
    <s v="WINTER15"/>
    <n v="0"/>
    <x v="1455"/>
    <s v="Arjun Arora"/>
    <n v="40.74"/>
    <n v="194.76"/>
    <n v="2685.9"/>
    <d v="2023-10-08T00:00:00"/>
    <d v="2023-10-10T00:00:00"/>
    <s v="Sophie"/>
    <n v="8"/>
    <n v="10"/>
    <x v="5"/>
    <x v="0"/>
    <x v="1"/>
    <n v="40"/>
  </r>
  <r>
    <d v="2025-05-23T00:00:00"/>
    <x v="1"/>
    <x v="1"/>
    <n v="16"/>
    <n v="231.76"/>
    <x v="0"/>
    <x v="1"/>
    <n v="0.15"/>
    <x v="5"/>
    <n v="3151.9360000000001"/>
    <x v="0"/>
    <s v="WINTER15"/>
    <n v="1"/>
    <x v="1456"/>
    <s v="Harsh Tripathi"/>
    <n v="9.42"/>
    <n v="196.99600000000001"/>
    <n v="3142.5160000000001"/>
    <d v="2025-05-23T00:00:00"/>
    <d v="2025-05-27T00:00:00"/>
    <s v="Sophie"/>
    <n v="23"/>
    <n v="5"/>
    <x v="2"/>
    <x v="2"/>
    <x v="2"/>
    <n v="21"/>
  </r>
  <r>
    <d v="2023-01-02T00:00:00"/>
    <x v="1"/>
    <x v="0"/>
    <n v="7"/>
    <n v="61.47"/>
    <x v="2"/>
    <x v="1"/>
    <n v="0.15"/>
    <x v="0"/>
    <n v="365.74650000000003"/>
    <x v="0"/>
    <s v="FREESHIP"/>
    <n v="0"/>
    <x v="1457"/>
    <s v="Priya Ansari"/>
    <n v="14.44"/>
    <n v="52.249500000000005"/>
    <n v="351.30650000000003"/>
    <d v="2023-01-02T00:00:00"/>
    <d v="2023-01-12T00:00:00"/>
    <s v="Sophie"/>
    <n v="2"/>
    <n v="1"/>
    <x v="4"/>
    <x v="0"/>
    <x v="0"/>
    <n v="1"/>
  </r>
  <r>
    <d v="2023-10-19T00:00:00"/>
    <x v="2"/>
    <x v="2"/>
    <n v="15"/>
    <n v="434.44"/>
    <x v="0"/>
    <x v="0"/>
    <n v="0"/>
    <x v="5"/>
    <n v="6516.6"/>
    <x v="3"/>
    <s v="nan"/>
    <n v="1"/>
    <x v="1458"/>
    <s v="Pooja Pandey"/>
    <n v="33.86"/>
    <n v="434.44"/>
    <n v="6482.7400000000007"/>
    <d v="2023-10-19T00:00:00"/>
    <d v="2023-10-28T00:00:00"/>
    <s v="Ryan"/>
    <n v="19"/>
    <n v="10"/>
    <x v="5"/>
    <x v="0"/>
    <x v="1"/>
    <n v="42"/>
  </r>
  <r>
    <d v="2025-04-25T00:00:00"/>
    <x v="4"/>
    <x v="3"/>
    <n v="16"/>
    <n v="484.01"/>
    <x v="1"/>
    <x v="0"/>
    <n v="0"/>
    <x v="1"/>
    <n v="7744.16"/>
    <x v="0"/>
    <s v="SAVE10"/>
    <n v="1"/>
    <x v="1459"/>
    <s v="Zara Ansari"/>
    <n v="9.65"/>
    <n v="484.01"/>
    <n v="7734.51"/>
    <d v="2025-04-25T00:00:00"/>
    <d v="2025-05-01T00:00:00"/>
    <s v="Wendy"/>
    <n v="25"/>
    <n v="4"/>
    <x v="7"/>
    <x v="2"/>
    <x v="2"/>
    <n v="17"/>
  </r>
  <r>
    <d v="2024-03-31T00:00:00"/>
    <x v="3"/>
    <x v="2"/>
    <n v="2"/>
    <n v="55.08"/>
    <x v="2"/>
    <x v="0"/>
    <n v="0"/>
    <x v="2"/>
    <n v="110.16"/>
    <x v="2"/>
    <s v="FREESHIP"/>
    <n v="0"/>
    <x v="1460"/>
    <s v="Gaurav Ghosh"/>
    <n v="9.85"/>
    <n v="55.08"/>
    <n v="100.31"/>
    <d v="2024-03-31T00:00:00"/>
    <d v="2024-04-04T00:00:00"/>
    <s v="Cameron"/>
    <n v="31"/>
    <n v="3"/>
    <x v="6"/>
    <x v="1"/>
    <x v="0"/>
    <n v="13"/>
  </r>
  <r>
    <d v="2025-01-31T00:00:00"/>
    <x v="2"/>
    <x v="6"/>
    <n v="13"/>
    <n v="223.44"/>
    <x v="0"/>
    <x v="1"/>
    <n v="0.15"/>
    <x v="3"/>
    <n v="2469.0120000000002"/>
    <x v="2"/>
    <s v="nan"/>
    <n v="1"/>
    <x v="1461"/>
    <s v="Ananya Hussain"/>
    <n v="38.46"/>
    <n v="189.92400000000001"/>
    <n v="2430.5520000000001"/>
    <d v="2025-01-31T00:00:00"/>
    <d v="2025-02-07T00:00:00"/>
    <s v="Ryan"/>
    <n v="31"/>
    <n v="1"/>
    <x v="4"/>
    <x v="2"/>
    <x v="0"/>
    <n v="5"/>
  </r>
  <r>
    <d v="2025-03-27T00:00:00"/>
    <x v="0"/>
    <x v="1"/>
    <n v="11"/>
    <n v="548.08000000000004"/>
    <x v="3"/>
    <x v="0"/>
    <n v="0.05"/>
    <x v="0"/>
    <n v="5727.4359999999997"/>
    <x v="4"/>
    <s v="nan"/>
    <n v="0"/>
    <x v="1462"/>
    <s v="Atharv Rao"/>
    <n v="25.82"/>
    <n v="520.67599999999993"/>
    <n v="5701.616"/>
    <d v="2025-03-27T00:00:00"/>
    <d v="2025-04-06T00:00:00"/>
    <s v="Eric"/>
    <n v="27"/>
    <n v="3"/>
    <x v="6"/>
    <x v="2"/>
    <x v="0"/>
    <n v="13"/>
  </r>
  <r>
    <d v="2025-01-19T00:00:00"/>
    <x v="3"/>
    <x v="2"/>
    <n v="11"/>
    <n v="133.63999999999999"/>
    <x v="3"/>
    <x v="0"/>
    <n v="0"/>
    <x v="4"/>
    <n v="1470.04"/>
    <x v="3"/>
    <s v="nan"/>
    <n v="1"/>
    <x v="1463"/>
    <s v="Ved Dubey"/>
    <n v="30.18"/>
    <n v="133.63999999999999"/>
    <n v="1439.86"/>
    <d v="2025-01-19T00:00:00"/>
    <d v="2025-01-24T00:00:00"/>
    <s v="Cameron"/>
    <n v="19"/>
    <n v="1"/>
    <x v="4"/>
    <x v="2"/>
    <x v="0"/>
    <n v="3"/>
  </r>
  <r>
    <d v="2024-05-16T00:00:00"/>
    <x v="2"/>
    <x v="3"/>
    <n v="19"/>
    <n v="368.85"/>
    <x v="2"/>
    <x v="1"/>
    <n v="0.1"/>
    <x v="5"/>
    <n v="6307.3350000000009"/>
    <x v="1"/>
    <s v="FREESHIP"/>
    <n v="0"/>
    <x v="1464"/>
    <s v="Ved Rao"/>
    <n v="35.369999999999997"/>
    <n v="331.96500000000003"/>
    <n v="6271.9650000000011"/>
    <d v="2024-05-16T00:00:00"/>
    <d v="2024-05-21T00:00:00"/>
    <s v="Ryan"/>
    <n v="16"/>
    <n v="5"/>
    <x v="2"/>
    <x v="1"/>
    <x v="2"/>
    <n v="20"/>
  </r>
  <r>
    <d v="2023-09-04T00:00:00"/>
    <x v="3"/>
    <x v="3"/>
    <n v="14"/>
    <n v="115.98"/>
    <x v="1"/>
    <x v="0"/>
    <n v="0"/>
    <x v="5"/>
    <n v="1623.72"/>
    <x v="3"/>
    <s v="nan"/>
    <n v="0"/>
    <x v="1465"/>
    <s v="Mitali Gupta"/>
    <n v="31.85"/>
    <n v="115.98"/>
    <n v="1591.8700000000001"/>
    <d v="2023-09-04T00:00:00"/>
    <d v="2023-09-06T00:00:00"/>
    <s v="Cameron"/>
    <n v="4"/>
    <n v="9"/>
    <x v="11"/>
    <x v="0"/>
    <x v="3"/>
    <n v="36"/>
  </r>
  <r>
    <d v="2023-12-17T00:00:00"/>
    <x v="1"/>
    <x v="4"/>
    <n v="9"/>
    <n v="55.04"/>
    <x v="0"/>
    <x v="1"/>
    <n v="0.15"/>
    <x v="1"/>
    <n v="421.05599999999998"/>
    <x v="0"/>
    <s v="nan"/>
    <n v="0"/>
    <x v="1466"/>
    <s v="Tanvi Thomas"/>
    <n v="31.09"/>
    <n v="46.783999999999999"/>
    <n v="389.96600000000001"/>
    <d v="2023-12-17T00:00:00"/>
    <d v="2023-12-23T00:00:00"/>
    <s v="Sophie"/>
    <n v="17"/>
    <n v="12"/>
    <x v="1"/>
    <x v="0"/>
    <x v="1"/>
    <n v="50"/>
  </r>
  <r>
    <d v="2024-01-15T00:00:00"/>
    <x v="3"/>
    <x v="4"/>
    <n v="4"/>
    <n v="159.54"/>
    <x v="1"/>
    <x v="0"/>
    <n v="0.05"/>
    <x v="1"/>
    <n v="606.25199999999995"/>
    <x v="2"/>
    <s v="FREESHIP"/>
    <n v="0"/>
    <x v="1467"/>
    <s v="Charu Ghosh"/>
    <n v="32.36"/>
    <n v="151.56299999999999"/>
    <n v="573.89199999999994"/>
    <d v="2024-01-15T00:00:00"/>
    <d v="2024-01-21T00:00:00"/>
    <s v="Cameron"/>
    <n v="15"/>
    <n v="1"/>
    <x v="4"/>
    <x v="1"/>
    <x v="0"/>
    <n v="3"/>
  </r>
  <r>
    <d v="2024-12-19T00:00:00"/>
    <x v="3"/>
    <x v="0"/>
    <n v="15"/>
    <n v="150.15"/>
    <x v="2"/>
    <x v="1"/>
    <n v="0"/>
    <x v="2"/>
    <n v="2252.25"/>
    <x v="0"/>
    <s v="WINTER15"/>
    <n v="0"/>
    <x v="1468"/>
    <s v="Devansh Dutta"/>
    <n v="35.94"/>
    <n v="150.15"/>
    <n v="2216.31"/>
    <d v="2024-12-19T00:00:00"/>
    <d v="2024-12-29T00:00:00"/>
    <s v="Cameron"/>
    <n v="19"/>
    <n v="12"/>
    <x v="1"/>
    <x v="1"/>
    <x v="1"/>
    <n v="51"/>
  </r>
  <r>
    <d v="2023-12-16T00:00:00"/>
    <x v="2"/>
    <x v="3"/>
    <n v="9"/>
    <n v="57.93"/>
    <x v="2"/>
    <x v="0"/>
    <n v="0"/>
    <x v="5"/>
    <n v="521.37"/>
    <x v="1"/>
    <s v="FREESHIP"/>
    <n v="1"/>
    <x v="1469"/>
    <s v="Alina Nair"/>
    <n v="28.73"/>
    <n v="57.93"/>
    <n v="492.64"/>
    <d v="2023-12-16T00:00:00"/>
    <d v="2023-12-18T00:00:00"/>
    <s v="Ryan"/>
    <n v="16"/>
    <n v="12"/>
    <x v="1"/>
    <x v="0"/>
    <x v="1"/>
    <n v="50"/>
  </r>
  <r>
    <d v="2025-05-14T00:00:00"/>
    <x v="3"/>
    <x v="0"/>
    <n v="4"/>
    <n v="438.58"/>
    <x v="3"/>
    <x v="1"/>
    <n v="0.05"/>
    <x v="1"/>
    <n v="1666.604"/>
    <x v="0"/>
    <s v="WINTER15"/>
    <n v="0"/>
    <x v="1470"/>
    <s v="Simran Reddy"/>
    <n v="5.0999999999999996"/>
    <n v="416.65100000000001"/>
    <n v="1661.5040000000001"/>
    <d v="2025-05-14T00:00:00"/>
    <d v="2025-05-18T00:00:00"/>
    <s v="Cameron"/>
    <n v="14"/>
    <n v="5"/>
    <x v="2"/>
    <x v="2"/>
    <x v="2"/>
    <n v="20"/>
  </r>
  <r>
    <d v="2023-06-30T00:00:00"/>
    <x v="1"/>
    <x v="4"/>
    <n v="6"/>
    <n v="536.24"/>
    <x v="3"/>
    <x v="1"/>
    <n v="0"/>
    <x v="4"/>
    <n v="3217.44"/>
    <x v="4"/>
    <s v="WINTER15"/>
    <n v="0"/>
    <x v="1471"/>
    <s v="Priya Chaudhary"/>
    <n v="35.32"/>
    <n v="536.24"/>
    <n v="3182.12"/>
    <d v="2023-06-30T00:00:00"/>
    <d v="2023-07-02T00:00:00"/>
    <s v="Sophie"/>
    <n v="30"/>
    <n v="6"/>
    <x v="3"/>
    <x v="0"/>
    <x v="2"/>
    <n v="26"/>
  </r>
  <r>
    <d v="2025-06-30T00:00:00"/>
    <x v="1"/>
    <x v="1"/>
    <n v="20"/>
    <n v="444.77"/>
    <x v="0"/>
    <x v="0"/>
    <n v="0.1"/>
    <x v="4"/>
    <n v="8005.86"/>
    <x v="0"/>
    <s v="nan"/>
    <n v="1"/>
    <x v="1472"/>
    <s v="Mohit Shetty"/>
    <n v="20.05"/>
    <n v="400.29300000000001"/>
    <n v="7985.8099999999995"/>
    <d v="2025-06-30T00:00:00"/>
    <d v="2025-07-07T00:00:00"/>
    <s v="Sophie"/>
    <n v="30"/>
    <n v="6"/>
    <x v="3"/>
    <x v="2"/>
    <x v="2"/>
    <n v="27"/>
  </r>
  <r>
    <d v="2025-03-14T00:00:00"/>
    <x v="3"/>
    <x v="6"/>
    <n v="10"/>
    <n v="212.1"/>
    <x v="0"/>
    <x v="1"/>
    <n v="0.15"/>
    <x v="0"/>
    <n v="1802.85"/>
    <x v="1"/>
    <s v="WINTER15"/>
    <n v="0"/>
    <x v="1473"/>
    <s v="Zoya Mishra"/>
    <n v="47.93"/>
    <n v="180.285"/>
    <n v="1754.9199999999998"/>
    <d v="2025-03-14T00:00:00"/>
    <d v="2025-03-22T00:00:00"/>
    <s v="Cameron"/>
    <n v="14"/>
    <n v="3"/>
    <x v="6"/>
    <x v="2"/>
    <x v="0"/>
    <n v="11"/>
  </r>
  <r>
    <d v="2023-04-18T00:00:00"/>
    <x v="1"/>
    <x v="1"/>
    <n v="9"/>
    <n v="509.44"/>
    <x v="0"/>
    <x v="1"/>
    <n v="0.15"/>
    <x v="0"/>
    <n v="3897.2159999999999"/>
    <x v="2"/>
    <s v="SAVE10"/>
    <n v="0"/>
    <x v="1474"/>
    <s v="Fatima Nair"/>
    <n v="13"/>
    <n v="433.024"/>
    <n v="3884.2159999999999"/>
    <d v="2023-04-18T00:00:00"/>
    <d v="2023-04-27T00:00:00"/>
    <s v="Sophie"/>
    <n v="18"/>
    <n v="4"/>
    <x v="7"/>
    <x v="0"/>
    <x v="2"/>
    <n v="16"/>
  </r>
  <r>
    <d v="2024-09-11T00:00:00"/>
    <x v="4"/>
    <x v="4"/>
    <n v="8"/>
    <n v="236.17"/>
    <x v="2"/>
    <x v="0"/>
    <n v="0.15"/>
    <x v="2"/>
    <n v="1605.9559999999999"/>
    <x v="4"/>
    <s v="WINTER15"/>
    <n v="0"/>
    <x v="1475"/>
    <s v="Atharv Farooqui"/>
    <n v="22.88"/>
    <n v="200.74449999999999"/>
    <n v="1583.0759999999998"/>
    <d v="2024-09-11T00:00:00"/>
    <d v="2024-09-19T00:00:00"/>
    <s v="Wendy"/>
    <n v="11"/>
    <n v="9"/>
    <x v="11"/>
    <x v="1"/>
    <x v="3"/>
    <n v="37"/>
  </r>
  <r>
    <d v="2023-11-21T00:00:00"/>
    <x v="3"/>
    <x v="6"/>
    <n v="1"/>
    <n v="147.4"/>
    <x v="3"/>
    <x v="1"/>
    <n v="0"/>
    <x v="3"/>
    <n v="147.4"/>
    <x v="4"/>
    <s v="SAVE10"/>
    <n v="1"/>
    <x v="1476"/>
    <s v="Avni Malik"/>
    <n v="40.47"/>
    <n v="147.4"/>
    <n v="106.93"/>
    <d v="2023-11-21T00:00:00"/>
    <d v="2023-11-28T00:00:00"/>
    <s v="Cameron"/>
    <n v="21"/>
    <n v="11"/>
    <x v="9"/>
    <x v="0"/>
    <x v="1"/>
    <n v="47"/>
  </r>
  <r>
    <d v="2024-02-29T00:00:00"/>
    <x v="4"/>
    <x v="5"/>
    <n v="8"/>
    <n v="279.74"/>
    <x v="0"/>
    <x v="1"/>
    <n v="0.05"/>
    <x v="1"/>
    <n v="2126.0239999999999"/>
    <x v="1"/>
    <s v="FREESHIP"/>
    <n v="0"/>
    <x v="1477"/>
    <s v="Akash Bose"/>
    <n v="33.1"/>
    <n v="265.75299999999999"/>
    <n v="2092.924"/>
    <d v="2024-02-29T00:00:00"/>
    <d v="2024-03-07T00:00:00"/>
    <s v="Wendy"/>
    <n v="29"/>
    <n v="2"/>
    <x v="0"/>
    <x v="1"/>
    <x v="0"/>
    <n v="9"/>
  </r>
  <r>
    <d v="2023-05-11T00:00:00"/>
    <x v="4"/>
    <x v="0"/>
    <n v="3"/>
    <n v="304.61"/>
    <x v="0"/>
    <x v="0"/>
    <n v="0.05"/>
    <x v="5"/>
    <n v="868.13850000000002"/>
    <x v="4"/>
    <s v="SAVE10"/>
    <n v="0"/>
    <x v="1478"/>
    <s v="Akash Tiwari"/>
    <n v="47.14"/>
    <n v="289.37950000000001"/>
    <n v="820.99850000000004"/>
    <d v="2023-05-11T00:00:00"/>
    <d v="2023-05-15T00:00:00"/>
    <s v="Wendy"/>
    <n v="11"/>
    <n v="5"/>
    <x v="2"/>
    <x v="0"/>
    <x v="2"/>
    <n v="19"/>
  </r>
  <r>
    <d v="2024-09-11T00:00:00"/>
    <x v="1"/>
    <x v="5"/>
    <n v="9"/>
    <n v="238.32"/>
    <x v="2"/>
    <x v="1"/>
    <n v="0"/>
    <x v="4"/>
    <n v="2144.88"/>
    <x v="4"/>
    <s v="WINTER15"/>
    <n v="1"/>
    <x v="1479"/>
    <s v="Priya Naidu"/>
    <n v="8.5"/>
    <n v="238.32000000000002"/>
    <n v="2136.38"/>
    <d v="2024-09-11T00:00:00"/>
    <d v="2024-09-20T00:00:00"/>
    <s v="Sophie"/>
    <n v="11"/>
    <n v="9"/>
    <x v="11"/>
    <x v="1"/>
    <x v="3"/>
    <n v="37"/>
  </r>
  <r>
    <d v="2024-08-16T00:00:00"/>
    <x v="4"/>
    <x v="6"/>
    <n v="16"/>
    <n v="483.37"/>
    <x v="0"/>
    <x v="1"/>
    <n v="0.1"/>
    <x v="1"/>
    <n v="6960.5280000000002"/>
    <x v="3"/>
    <s v="nan"/>
    <n v="0"/>
    <x v="1480"/>
    <s v="Sai Pathan"/>
    <n v="42.52"/>
    <n v="435.03300000000002"/>
    <n v="6918.0079999999998"/>
    <d v="2024-08-16T00:00:00"/>
    <d v="2024-08-22T00:00:00"/>
    <s v="Wendy"/>
    <n v="16"/>
    <n v="8"/>
    <x v="10"/>
    <x v="1"/>
    <x v="3"/>
    <n v="33"/>
  </r>
  <r>
    <d v="2025-05-30T00:00:00"/>
    <x v="2"/>
    <x v="4"/>
    <n v="6"/>
    <n v="159.53"/>
    <x v="1"/>
    <x v="1"/>
    <n v="0.05"/>
    <x v="5"/>
    <n v="909.32100000000003"/>
    <x v="1"/>
    <s v="nan"/>
    <n v="0"/>
    <x v="1481"/>
    <s v="Sara Farooqui"/>
    <n v="48.6"/>
    <n v="151.55350000000001"/>
    <n v="860.721"/>
    <d v="2025-05-30T00:00:00"/>
    <d v="2025-06-07T00:00:00"/>
    <s v="Ryan"/>
    <n v="30"/>
    <n v="5"/>
    <x v="2"/>
    <x v="2"/>
    <x v="2"/>
    <n v="22"/>
  </r>
  <r>
    <d v="2023-08-22T00:00:00"/>
    <x v="0"/>
    <x v="2"/>
    <n v="19"/>
    <n v="280.60000000000002"/>
    <x v="1"/>
    <x v="0"/>
    <n v="0.1"/>
    <x v="2"/>
    <n v="4798.26"/>
    <x v="1"/>
    <s v="FREESHIP"/>
    <n v="0"/>
    <x v="1482"/>
    <s v="Sara Chawla"/>
    <n v="35.94"/>
    <n v="252.54000000000002"/>
    <n v="4762.3200000000006"/>
    <d v="2023-08-22T00:00:00"/>
    <d v="2023-08-28T00:00:00"/>
    <s v="Eric"/>
    <n v="22"/>
    <n v="8"/>
    <x v="10"/>
    <x v="0"/>
    <x v="3"/>
    <n v="34"/>
  </r>
  <r>
    <d v="2024-01-23T00:00:00"/>
    <x v="0"/>
    <x v="5"/>
    <n v="2"/>
    <n v="389.98"/>
    <x v="3"/>
    <x v="0"/>
    <n v="0.05"/>
    <x v="3"/>
    <n v="740.96199999999999"/>
    <x v="3"/>
    <s v="SAVE10"/>
    <n v="1"/>
    <x v="1483"/>
    <s v="Isha George"/>
    <n v="24.55"/>
    <n v="370.48099999999999"/>
    <n v="716.41200000000003"/>
    <d v="2024-01-23T00:00:00"/>
    <d v="2024-01-25T00:00:00"/>
    <s v="Eric"/>
    <n v="23"/>
    <n v="1"/>
    <x v="4"/>
    <x v="1"/>
    <x v="0"/>
    <n v="4"/>
  </r>
  <r>
    <d v="2023-03-16T00:00:00"/>
    <x v="2"/>
    <x v="4"/>
    <n v="17"/>
    <n v="485.3"/>
    <x v="3"/>
    <x v="1"/>
    <n v="0.15"/>
    <x v="4"/>
    <n v="7012.585"/>
    <x v="4"/>
    <s v="WINTER15"/>
    <n v="0"/>
    <x v="1484"/>
    <s v="Manish Kulkarni"/>
    <n v="37.94"/>
    <n v="412.505"/>
    <n v="6974.6450000000004"/>
    <d v="2023-03-16T00:00:00"/>
    <d v="2023-03-23T00:00:00"/>
    <s v="Ryan"/>
    <n v="16"/>
    <n v="3"/>
    <x v="6"/>
    <x v="0"/>
    <x v="0"/>
    <n v="11"/>
  </r>
  <r>
    <d v="2025-05-16T00:00:00"/>
    <x v="1"/>
    <x v="0"/>
    <n v="4"/>
    <n v="472.24"/>
    <x v="3"/>
    <x v="1"/>
    <n v="0"/>
    <x v="1"/>
    <n v="1888.96"/>
    <x v="1"/>
    <s v="FREESHIP"/>
    <n v="1"/>
    <x v="1485"/>
    <s v="Ira Das"/>
    <n v="6.78"/>
    <n v="472.24"/>
    <n v="1882.18"/>
    <d v="2025-05-16T00:00:00"/>
    <d v="2025-05-21T00:00:00"/>
    <s v="Sophie"/>
    <n v="16"/>
    <n v="5"/>
    <x v="2"/>
    <x v="2"/>
    <x v="2"/>
    <n v="20"/>
  </r>
  <r>
    <d v="2023-05-23T00:00:00"/>
    <x v="0"/>
    <x v="4"/>
    <n v="8"/>
    <n v="143.53"/>
    <x v="3"/>
    <x v="0"/>
    <n v="0"/>
    <x v="1"/>
    <n v="1148.24"/>
    <x v="4"/>
    <s v="WINTER15"/>
    <n v="0"/>
    <x v="1486"/>
    <s v="Zara Saxena"/>
    <n v="9.1"/>
    <n v="143.53"/>
    <n v="1139.1400000000001"/>
    <d v="2023-05-23T00:00:00"/>
    <d v="2023-05-29T00:00:00"/>
    <s v="Eric"/>
    <n v="23"/>
    <n v="5"/>
    <x v="2"/>
    <x v="0"/>
    <x v="2"/>
    <n v="21"/>
  </r>
  <r>
    <d v="2024-06-16T00:00:00"/>
    <x v="2"/>
    <x v="3"/>
    <n v="5"/>
    <n v="159.91999999999999"/>
    <x v="0"/>
    <x v="0"/>
    <n v="0"/>
    <x v="3"/>
    <n v="799.59999999999991"/>
    <x v="4"/>
    <s v="SAVE10"/>
    <n v="0"/>
    <x v="1487"/>
    <s v="Sanya Farooqui"/>
    <n v="10.86"/>
    <n v="159.91999999999999"/>
    <n v="788.7399999999999"/>
    <d v="2024-06-16T00:00:00"/>
    <d v="2024-06-23T00:00:00"/>
    <s v="Ryan"/>
    <n v="16"/>
    <n v="6"/>
    <x v="3"/>
    <x v="1"/>
    <x v="2"/>
    <n v="24"/>
  </r>
  <r>
    <d v="2025-01-28T00:00:00"/>
    <x v="3"/>
    <x v="4"/>
    <n v="13"/>
    <n v="447.34"/>
    <x v="1"/>
    <x v="0"/>
    <n v="0.05"/>
    <x v="2"/>
    <n v="5524.6489999999994"/>
    <x v="4"/>
    <s v="SAVE10"/>
    <n v="0"/>
    <x v="1488"/>
    <s v="Rukhsar Farooqui"/>
    <n v="38.93"/>
    <n v="424.97299999999996"/>
    <n v="5485.7189999999991"/>
    <d v="2025-01-28T00:00:00"/>
    <d v="2025-02-04T00:00:00"/>
    <s v="Cameron"/>
    <n v="28"/>
    <n v="1"/>
    <x v="4"/>
    <x v="2"/>
    <x v="0"/>
    <n v="5"/>
  </r>
  <r>
    <d v="2024-11-27T00:00:00"/>
    <x v="1"/>
    <x v="1"/>
    <n v="13"/>
    <n v="196.8"/>
    <x v="0"/>
    <x v="1"/>
    <n v="0.1"/>
    <x v="4"/>
    <n v="2302.56"/>
    <x v="4"/>
    <s v="nan"/>
    <n v="0"/>
    <x v="1489"/>
    <s v="Avni Bhatia"/>
    <n v="10.119999999999999"/>
    <n v="177.12"/>
    <n v="2292.44"/>
    <d v="2024-11-27T00:00:00"/>
    <d v="2024-12-07T00:00:00"/>
    <s v="Sophie"/>
    <n v="27"/>
    <n v="11"/>
    <x v="9"/>
    <x v="1"/>
    <x v="1"/>
    <n v="48"/>
  </r>
  <r>
    <d v="2023-10-09T00:00:00"/>
    <x v="3"/>
    <x v="3"/>
    <n v="3"/>
    <n v="485.81"/>
    <x v="1"/>
    <x v="0"/>
    <n v="0.1"/>
    <x v="0"/>
    <n v="1311.6869999999999"/>
    <x v="3"/>
    <s v="SAVE10"/>
    <n v="0"/>
    <x v="1490"/>
    <s v="Zoya Reddy"/>
    <n v="19.46"/>
    <n v="437.22899999999998"/>
    <n v="1292.2269999999999"/>
    <d v="2023-10-09T00:00:00"/>
    <d v="2023-10-11T00:00:00"/>
    <s v="Cameron"/>
    <n v="9"/>
    <n v="10"/>
    <x v="5"/>
    <x v="0"/>
    <x v="1"/>
    <n v="41"/>
  </r>
  <r>
    <d v="2024-07-21T00:00:00"/>
    <x v="4"/>
    <x v="1"/>
    <n v="16"/>
    <n v="183.62"/>
    <x v="1"/>
    <x v="0"/>
    <n v="0.05"/>
    <x v="5"/>
    <n v="2791.0239999999999"/>
    <x v="1"/>
    <s v="WINTER15"/>
    <n v="0"/>
    <x v="1491"/>
    <s v="Kunal Chaudhary"/>
    <n v="6.56"/>
    <n v="174.43899999999999"/>
    <n v="2784.4639999999999"/>
    <d v="2024-07-21T00:00:00"/>
    <d v="2024-07-31T00:00:00"/>
    <s v="Wendy"/>
    <n v="21"/>
    <n v="7"/>
    <x v="8"/>
    <x v="1"/>
    <x v="3"/>
    <n v="29"/>
  </r>
  <r>
    <d v="2024-07-03T00:00:00"/>
    <x v="0"/>
    <x v="4"/>
    <n v="2"/>
    <n v="373.07"/>
    <x v="1"/>
    <x v="1"/>
    <n v="0.05"/>
    <x v="4"/>
    <n v="708.83299999999997"/>
    <x v="2"/>
    <s v="FREESHIP"/>
    <n v="0"/>
    <x v="1492"/>
    <s v="Kiara Ghosh"/>
    <n v="26.9"/>
    <n v="354.41649999999998"/>
    <n v="681.93299999999999"/>
    <d v="2024-07-03T00:00:00"/>
    <d v="2024-07-07T00:00:00"/>
    <s v="Eric"/>
    <n v="3"/>
    <n v="7"/>
    <x v="8"/>
    <x v="1"/>
    <x v="3"/>
    <n v="27"/>
  </r>
  <r>
    <d v="2024-09-24T00:00:00"/>
    <x v="4"/>
    <x v="4"/>
    <n v="17"/>
    <n v="527.67999999999995"/>
    <x v="0"/>
    <x v="0"/>
    <n v="0"/>
    <x v="4"/>
    <n v="8970.56"/>
    <x v="1"/>
    <s v="FREESHIP"/>
    <n v="0"/>
    <x v="1493"/>
    <s v="Atharv Khan"/>
    <n v="29.19"/>
    <n v="527.67999999999995"/>
    <n v="8941.369999999999"/>
    <d v="2024-09-24T00:00:00"/>
    <d v="2024-10-02T00:00:00"/>
    <s v="Wendy"/>
    <n v="24"/>
    <n v="9"/>
    <x v="11"/>
    <x v="1"/>
    <x v="3"/>
    <n v="39"/>
  </r>
  <r>
    <d v="2025-01-14T00:00:00"/>
    <x v="0"/>
    <x v="5"/>
    <n v="5"/>
    <n v="201.29"/>
    <x v="3"/>
    <x v="0"/>
    <n v="0"/>
    <x v="3"/>
    <n v="1006.45"/>
    <x v="0"/>
    <s v="FREESHIP"/>
    <n v="0"/>
    <x v="1494"/>
    <s v="Sanya Hegde"/>
    <n v="49.13"/>
    <n v="201.29000000000002"/>
    <n v="957.32"/>
    <d v="2025-01-14T00:00:00"/>
    <d v="2025-01-21T00:00:00"/>
    <s v="Eric"/>
    <n v="14"/>
    <n v="1"/>
    <x v="4"/>
    <x v="2"/>
    <x v="0"/>
    <n v="3"/>
  </r>
  <r>
    <d v="2025-02-17T00:00:00"/>
    <x v="4"/>
    <x v="2"/>
    <n v="13"/>
    <n v="134.56"/>
    <x v="3"/>
    <x v="1"/>
    <n v="0.05"/>
    <x v="3"/>
    <n v="1661.816"/>
    <x v="2"/>
    <s v="WINTER15"/>
    <n v="0"/>
    <x v="1495"/>
    <s v="Riya Hegde"/>
    <n v="35.630000000000003"/>
    <n v="127.83200000000001"/>
    <n v="1626.1859999999999"/>
    <d v="2025-02-17T00:00:00"/>
    <d v="2025-02-22T00:00:00"/>
    <s v="Wendy"/>
    <n v="17"/>
    <n v="2"/>
    <x v="0"/>
    <x v="2"/>
    <x v="0"/>
    <n v="8"/>
  </r>
  <r>
    <d v="2024-01-11T00:00:00"/>
    <x v="1"/>
    <x v="3"/>
    <n v="18"/>
    <n v="209.75"/>
    <x v="2"/>
    <x v="0"/>
    <n v="0.15"/>
    <x v="2"/>
    <n v="3209.1750000000002"/>
    <x v="3"/>
    <s v="FREESHIP"/>
    <n v="0"/>
    <x v="1496"/>
    <s v="Sai Naidu"/>
    <n v="45.93"/>
    <n v="178.28750000000002"/>
    <n v="3163.2450000000003"/>
    <d v="2024-01-11T00:00:00"/>
    <d v="2024-01-17T00:00:00"/>
    <s v="Sophie"/>
    <n v="11"/>
    <n v="1"/>
    <x v="4"/>
    <x v="1"/>
    <x v="0"/>
    <n v="2"/>
  </r>
  <r>
    <d v="2024-07-27T00:00:00"/>
    <x v="0"/>
    <x v="2"/>
    <n v="1"/>
    <n v="272.5"/>
    <x v="1"/>
    <x v="0"/>
    <n v="0"/>
    <x v="0"/>
    <n v="272.5"/>
    <x v="1"/>
    <s v="WINTER15"/>
    <n v="0"/>
    <x v="1497"/>
    <s v="Aryan Bose"/>
    <n v="35.56"/>
    <n v="272.5"/>
    <n v="236.94"/>
    <d v="2024-07-27T00:00:00"/>
    <d v="2024-08-03T00:00:00"/>
    <s v="Eric"/>
    <n v="27"/>
    <n v="7"/>
    <x v="8"/>
    <x v="1"/>
    <x v="3"/>
    <n v="30"/>
  </r>
  <r>
    <d v="2024-12-03T00:00:00"/>
    <x v="3"/>
    <x v="4"/>
    <n v="14"/>
    <n v="262.67"/>
    <x v="1"/>
    <x v="1"/>
    <n v="0.05"/>
    <x v="3"/>
    <n v="3493.511"/>
    <x v="1"/>
    <s v="SAVE10"/>
    <n v="0"/>
    <x v="1498"/>
    <s v="Karan Ansari"/>
    <n v="24.53"/>
    <n v="249.53649999999999"/>
    <n v="3468.9809999999998"/>
    <d v="2024-12-03T00:00:00"/>
    <d v="2024-12-10T00:00:00"/>
    <s v="Cameron"/>
    <n v="3"/>
    <n v="12"/>
    <x v="1"/>
    <x v="1"/>
    <x v="1"/>
    <n v="49"/>
  </r>
  <r>
    <d v="2025-05-09T00:00:00"/>
    <x v="4"/>
    <x v="3"/>
    <n v="13"/>
    <n v="221.39"/>
    <x v="3"/>
    <x v="0"/>
    <n v="0"/>
    <x v="2"/>
    <n v="2878.07"/>
    <x v="3"/>
    <s v="FREESHIP"/>
    <n v="1"/>
    <x v="1499"/>
    <s v="Neha Rawat"/>
    <n v="21.05"/>
    <n v="221.39000000000001"/>
    <n v="2857.02"/>
    <d v="2025-05-09T00:00:00"/>
    <d v="2025-05-13T00:00:00"/>
    <s v="Wendy"/>
    <n v="9"/>
    <n v="5"/>
    <x v="2"/>
    <x v="2"/>
    <x v="2"/>
    <n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DDE1F-3CDC-4C69-898E-882455DD0A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7">
    <pivotField numFmtId="164" showAll="0"/>
    <pivotField showAll="0">
      <items count="6">
        <item x="3"/>
        <item x="0"/>
        <item x="2"/>
        <item x="1"/>
        <item x="4"/>
        <item t="default"/>
      </items>
    </pivotField>
    <pivotField showAll="0">
      <items count="8">
        <item x="3"/>
        <item x="2"/>
        <item x="0"/>
        <item x="4"/>
        <item x="1"/>
        <item x="6"/>
        <item x="5"/>
        <item t="default"/>
      </items>
    </pivotField>
    <pivotField dataField="1" showAll="0"/>
    <pivotField dataField="1"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numFmtId="164" showAll="0"/>
    <pivotField numFmtId="164" showAll="0"/>
    <pivotField showAll="0"/>
    <pivotField showAll="0"/>
    <pivotField showAll="0"/>
    <pivotField showAll="0"/>
    <pivotField showAll="0">
      <items count="4">
        <item x="0"/>
        <item x="1"/>
        <item x="2"/>
        <item t="default"/>
      </items>
    </pivotField>
    <pivotField showAll="0"/>
    <pivotField showAll="0"/>
  </pivotFields>
  <rowItems count="1">
    <i/>
  </rowItems>
  <colFields count="1">
    <field x="-2"/>
  </colFields>
  <colItems count="4">
    <i>
      <x/>
    </i>
    <i i="1">
      <x v="1"/>
    </i>
    <i i="2">
      <x v="2"/>
    </i>
    <i i="3">
      <x v="3"/>
    </i>
  </colItems>
  <dataFields count="4">
    <dataField name="Count of Order ID" fld="13" subtotal="count" baseField="0" baseItem="0"/>
    <dataField name="Sum of Quantity" fld="3" baseField="0" baseItem="0" numFmtId="1"/>
    <dataField name="Sum of Total Price" fld="9" baseField="0" baseItem="0" numFmtId="1"/>
    <dataField name="Sum of UnitPrice" fld="4" baseField="0" baseItem="0" numFmtId="1"/>
  </dataFields>
  <formats count="6">
    <format dxfId="285">
      <pivotArea type="all" dataOnly="0" outline="0" fieldPosition="0"/>
    </format>
    <format dxfId="284">
      <pivotArea dataOnly="0" labelOnly="1" outline="0" fieldPosition="0">
        <references count="1">
          <reference field="4294967294" count="3">
            <x v="0"/>
            <x v="1"/>
            <x v="2"/>
          </reference>
        </references>
      </pivotArea>
    </format>
    <format dxfId="278">
      <pivotArea outline="0" collapsedLevelsAreSubtotals="1" fieldPosition="0">
        <references count="1">
          <reference field="4294967294" count="1" selected="0">
            <x v="0"/>
          </reference>
        </references>
      </pivotArea>
    </format>
    <format dxfId="277">
      <pivotArea outline="0" collapsedLevelsAreSubtotals="1" fieldPosition="0">
        <references count="1">
          <reference field="4294967294" count="1" selected="0">
            <x v="1"/>
          </reference>
        </references>
      </pivotArea>
    </format>
    <format dxfId="276">
      <pivotArea outline="0" collapsedLevelsAreSubtotals="1" fieldPosition="0"/>
    </format>
    <format dxfId="275">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4771C-4DED-4463-887B-5465F34DC7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9" firstHeaderRow="0" firstDataRow="1" firstDataCol="1"/>
  <pivotFields count="27">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items count="4">
        <item x="0"/>
        <item x="1"/>
        <item x="2"/>
        <item t="default"/>
      </items>
    </pivotField>
    <pivotField showAll="0">
      <items count="5">
        <item x="0"/>
        <item x="2"/>
        <item x="3"/>
        <item x="1"/>
        <item t="default"/>
      </items>
    </pivotField>
    <pivotField showAll="0"/>
  </pivotFields>
  <rowFields count="1">
    <field x="1"/>
  </rowFields>
  <rowItems count="6">
    <i>
      <x/>
    </i>
    <i>
      <x v="1"/>
    </i>
    <i>
      <x v="2"/>
    </i>
    <i>
      <x v="3"/>
    </i>
    <i>
      <x v="4"/>
    </i>
    <i t="grand">
      <x/>
    </i>
  </rowItems>
  <colFields count="1">
    <field x="-2"/>
  </colFields>
  <colItems count="2">
    <i>
      <x/>
    </i>
    <i i="1">
      <x v="1"/>
    </i>
  </colItems>
  <dataFields count="2">
    <dataField name="Sum of Total Price" fld="9" baseField="0" baseItem="0"/>
    <dataField name="Sum of Profit Estimate" fld="17" baseField="0" baseItem="0"/>
  </dataFields>
  <formats count="1">
    <format dxfId="283">
      <pivotArea outline="0" collapsedLevelsAreSubtotals="1" fieldPosition="0"/>
    </format>
  </formats>
  <chartFormats count="14">
    <chartFormat chart="0" format="12"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0" format="15">
      <pivotArea type="data" outline="0" fieldPosition="0">
        <references count="2">
          <reference field="4294967294" count="1" selected="0">
            <x v="0"/>
          </reference>
          <reference field="1" count="1" selected="0">
            <x v="1"/>
          </reference>
        </references>
      </pivotArea>
    </chartFormat>
    <chartFormat chart="0" format="16">
      <pivotArea type="data" outline="0" fieldPosition="0">
        <references count="2">
          <reference field="4294967294" count="1" selected="0">
            <x v="0"/>
          </reference>
          <reference field="1" count="1" selected="0">
            <x v="2"/>
          </reference>
        </references>
      </pivotArea>
    </chartFormat>
    <chartFormat chart="0" format="17">
      <pivotArea type="data" outline="0" fieldPosition="0">
        <references count="2">
          <reference field="4294967294" count="1" selected="0">
            <x v="0"/>
          </reference>
          <reference field="1" count="1" selected="0">
            <x v="3"/>
          </reference>
        </references>
      </pivotArea>
    </chartFormat>
    <chartFormat chart="0" format="18">
      <pivotArea type="data" outline="0" fieldPosition="0">
        <references count="2">
          <reference field="4294967294" count="1" selected="0">
            <x v="0"/>
          </reference>
          <reference field="1" count="1" selected="0">
            <x v="4"/>
          </reference>
        </references>
      </pivotArea>
    </chartFormat>
    <chartFormat chart="0" format="19">
      <pivotArea type="data" outline="0" fieldPosition="0">
        <references count="2">
          <reference field="4294967294" count="1" selected="0">
            <x v="0"/>
          </reference>
          <reference field="1" count="1" selected="0">
            <x v="0"/>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1" count="1" selected="0">
            <x v="0"/>
          </reference>
        </references>
      </pivotArea>
    </chartFormat>
    <chartFormat chart="8" format="29">
      <pivotArea type="data" outline="0" fieldPosition="0">
        <references count="2">
          <reference field="4294967294" count="1" selected="0">
            <x v="0"/>
          </reference>
          <reference field="1" count="1" selected="0">
            <x v="1"/>
          </reference>
        </references>
      </pivotArea>
    </chartFormat>
    <chartFormat chart="8" format="30">
      <pivotArea type="data" outline="0" fieldPosition="0">
        <references count="2">
          <reference field="4294967294" count="1" selected="0">
            <x v="0"/>
          </reference>
          <reference field="1" count="1" selected="0">
            <x v="2"/>
          </reference>
        </references>
      </pivotArea>
    </chartFormat>
    <chartFormat chart="8" format="31">
      <pivotArea type="data" outline="0" fieldPosition="0">
        <references count="2">
          <reference field="4294967294" count="1" selected="0">
            <x v="0"/>
          </reference>
          <reference field="1" count="1" selected="0">
            <x v="3"/>
          </reference>
        </references>
      </pivotArea>
    </chartFormat>
    <chartFormat chart="8" format="32">
      <pivotArea type="data" outline="0" fieldPosition="0">
        <references count="2">
          <reference field="4294967294" count="1" selected="0">
            <x v="0"/>
          </reference>
          <reference field="1" count="1" selected="0">
            <x v="4"/>
          </reference>
        </references>
      </pivotArea>
    </chartFormat>
    <chartFormat chart="8" format="3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B1433-4772-4CF4-8A47-220504C6EE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27">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items count="4">
        <item x="0"/>
        <item x="1"/>
        <item x="2"/>
        <item t="default"/>
      </items>
    </pivotField>
    <pivotField showAll="0"/>
    <pivotField showAll="0"/>
  </pivotFields>
  <rowFields count="1">
    <field x="2"/>
  </rowFields>
  <rowItems count="8">
    <i>
      <x/>
    </i>
    <i>
      <x v="1"/>
    </i>
    <i>
      <x v="2"/>
    </i>
    <i>
      <x v="3"/>
    </i>
    <i>
      <x v="4"/>
    </i>
    <i>
      <x v="5"/>
    </i>
    <i>
      <x v="6"/>
    </i>
    <i t="grand">
      <x/>
    </i>
  </rowItems>
  <colItems count="1">
    <i/>
  </colItems>
  <dataFields count="1">
    <dataField name="Sum of Total Price" fld="9" baseField="0" baseItem="0" numFmtId="165"/>
  </dataFields>
  <formats count="1">
    <format dxfId="282">
      <pivotArea outline="0" collapsedLevelsAreSubtotals="1" fieldPosition="0"/>
    </format>
  </formats>
  <chartFormats count="16">
    <chartFormat chart="0" format="1"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6"/>
          </reference>
        </references>
      </pivotArea>
    </chartFormat>
    <chartFormat chart="0" format="10">
      <pivotArea type="data" outline="0" fieldPosition="0">
        <references count="2">
          <reference field="4294967294" count="1" selected="0">
            <x v="0"/>
          </reference>
          <reference field="2" count="1" selected="0">
            <x v="2"/>
          </reference>
        </references>
      </pivotArea>
    </chartFormat>
    <chartFormat chart="0" format="11">
      <pivotArea type="data" outline="0" fieldPosition="0">
        <references count="2">
          <reference field="4294967294" count="1" selected="0">
            <x v="0"/>
          </reference>
          <reference field="2" count="1" selected="0">
            <x v="4"/>
          </reference>
        </references>
      </pivotArea>
    </chartFormat>
    <chartFormat chart="0" format="12">
      <pivotArea type="data" outline="0" fieldPosition="0">
        <references count="2">
          <reference field="4294967294" count="1" selected="0">
            <x v="0"/>
          </reference>
          <reference field="2" count="1" selected="0">
            <x v="3"/>
          </reference>
        </references>
      </pivotArea>
    </chartFormat>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2" count="1" selected="0">
            <x v="0"/>
          </reference>
        </references>
      </pivotArea>
    </chartFormat>
    <chartFormat chart="16" format="23">
      <pivotArea type="data" outline="0" fieldPosition="0">
        <references count="2">
          <reference field="4294967294" count="1" selected="0">
            <x v="0"/>
          </reference>
          <reference field="2" count="1" selected="0">
            <x v="1"/>
          </reference>
        </references>
      </pivotArea>
    </chartFormat>
    <chartFormat chart="16" format="24">
      <pivotArea type="data" outline="0" fieldPosition="0">
        <references count="2">
          <reference field="4294967294" count="1" selected="0">
            <x v="0"/>
          </reference>
          <reference field="2" count="1" selected="0">
            <x v="2"/>
          </reference>
        </references>
      </pivotArea>
    </chartFormat>
    <chartFormat chart="16" format="25">
      <pivotArea type="data" outline="0" fieldPosition="0">
        <references count="2">
          <reference field="4294967294" count="1" selected="0">
            <x v="0"/>
          </reference>
          <reference field="2" count="1" selected="0">
            <x v="3"/>
          </reference>
        </references>
      </pivotArea>
    </chartFormat>
    <chartFormat chart="16" format="26">
      <pivotArea type="data" outline="0" fieldPosition="0">
        <references count="2">
          <reference field="4294967294" count="1" selected="0">
            <x v="0"/>
          </reference>
          <reference field="2" count="1" selected="0">
            <x v="4"/>
          </reference>
        </references>
      </pivotArea>
    </chartFormat>
    <chartFormat chart="16" format="27">
      <pivotArea type="data" outline="0" fieldPosition="0">
        <references count="2">
          <reference field="4294967294" count="1" selected="0">
            <x v="0"/>
          </reference>
          <reference field="2" count="1" selected="0">
            <x v="5"/>
          </reference>
        </references>
      </pivotArea>
    </chartFormat>
    <chartFormat chart="16" format="2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7221E-F3F6-4F93-87EB-D425E13EDD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27">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items count="4">
        <item x="0"/>
        <item x="1"/>
        <item x="2"/>
        <item t="default"/>
      </items>
    </pivotField>
    <pivotField showAll="0"/>
    <pivotField showAll="0"/>
  </pivotFields>
  <rowFields count="1">
    <field x="8"/>
  </rowFields>
  <rowItems count="7">
    <i>
      <x/>
    </i>
    <i>
      <x v="1"/>
    </i>
    <i>
      <x v="2"/>
    </i>
    <i>
      <x v="3"/>
    </i>
    <i>
      <x v="4"/>
    </i>
    <i>
      <x v="5"/>
    </i>
    <i t="grand">
      <x/>
    </i>
  </rowItems>
  <colItems count="1">
    <i/>
  </colItems>
  <dataFields count="1">
    <dataField name="Sum of Total Price" fld="9" baseField="0" baseItem="0"/>
  </dataFields>
  <formats count="1">
    <format dxfId="281">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74A42-171A-497D-B3D7-CEE6998B69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7">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axis="axisRow"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pivotFields>
  <rowFields count="1">
    <field x="23"/>
  </rowFields>
  <rowItems count="13">
    <i>
      <x/>
    </i>
    <i>
      <x v="1"/>
    </i>
    <i>
      <x v="2"/>
    </i>
    <i>
      <x v="3"/>
    </i>
    <i>
      <x v="4"/>
    </i>
    <i>
      <x v="5"/>
    </i>
    <i>
      <x v="6"/>
    </i>
    <i>
      <x v="7"/>
    </i>
    <i>
      <x v="8"/>
    </i>
    <i>
      <x v="9"/>
    </i>
    <i>
      <x v="10"/>
    </i>
    <i>
      <x v="11"/>
    </i>
    <i t="grand">
      <x/>
    </i>
  </rowItems>
  <colItems count="1">
    <i/>
  </colItems>
  <dataFields count="1">
    <dataField name="Sum of Total Price" fld="9" baseField="0" baseItem="0" numFmtId="165"/>
  </dataFields>
  <formats count="1">
    <format dxfId="28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6486D9-DD39-4DEE-BB04-4F17B385A7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7">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axis="axisRow" showAll="0">
      <items count="3">
        <item x="1"/>
        <item x="0"/>
        <item t="default"/>
      </items>
    </pivotField>
    <pivotField showAll="0"/>
    <pivotField showAll="0"/>
    <pivotField dataField="1" showAll="0"/>
    <pivotField showAll="0">
      <items count="6">
        <item x="4"/>
        <item x="2"/>
        <item x="3"/>
        <item x="1"/>
        <item x="0"/>
        <item t="default"/>
      </items>
    </pivotField>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items count="4">
        <item x="0"/>
        <item x="1"/>
        <item x="2"/>
        <item t="default"/>
      </items>
    </pivotField>
    <pivotField showAll="0"/>
    <pivotField showAll="0"/>
  </pivotFields>
  <rowFields count="1">
    <field x="6"/>
  </rowFields>
  <rowItems count="3">
    <i>
      <x/>
    </i>
    <i>
      <x v="1"/>
    </i>
    <i t="grand">
      <x/>
    </i>
  </rowItems>
  <colItems count="1">
    <i/>
  </colItems>
  <dataFields count="1">
    <dataField name="Sum of Total Price" fld="9" baseField="0" baseItem="0" numFmtId="165"/>
  </dataFields>
  <formats count="1">
    <format dxfId="27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6"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7C718C-AB34-4AC4-AC78-F4551CA3C18E}" sourceName="Region">
  <pivotTables>
    <pivotTable tabId="2" name="PivotTable1"/>
    <pivotTable tabId="6" name="PivotTable6"/>
    <pivotTable tabId="9" name="PivotTable8"/>
    <pivotTable tabId="5" name="PivotTable5"/>
    <pivotTable tabId="3" name="PivotTable3"/>
    <pivotTable tabId="4" name="PivotTable4"/>
  </pivotTables>
  <data>
    <tabular pivotCacheId="160402922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BB7CA42-41D1-40EE-9545-38D129A0C4A9}" sourceName="Order Year">
  <pivotTables>
    <pivotTable tabId="3" name="PivotTable3"/>
    <pivotTable tabId="6" name="PivotTable6"/>
    <pivotTable tabId="9" name="PivotTable8"/>
    <pivotTable tabId="5" name="PivotTable5"/>
    <pivotTable tabId="2" name="PivotTable1"/>
    <pivotTable tabId="4" name="PivotTable4"/>
  </pivotTables>
  <data>
    <tabular pivotCacheId="160402922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D42D09-73C0-4A0C-85BB-2E79515465C1}" sourceName="Product">
  <pivotTables>
    <pivotTable tabId="4" name="PivotTable4"/>
    <pivotTable tabId="6" name="PivotTable6"/>
    <pivotTable tabId="9" name="PivotTable8"/>
    <pivotTable tabId="5" name="PivotTable5"/>
    <pivotTable tabId="3" name="PivotTable3"/>
    <pivotTable tabId="2" name="PivotTable1"/>
  </pivotTables>
  <data>
    <tabular pivotCacheId="1604029223">
      <items count="7">
        <i x="3" s="1"/>
        <i x="2" s="1"/>
        <i x="0" s="1"/>
        <i x="4" s="1"/>
        <i x="1"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DBEA87E2-9F06-4B17-BE72-7AF1685C6092}" sourceName="Store Location">
  <pivotTables>
    <pivotTable tabId="5" name="PivotTable5"/>
    <pivotTable tabId="6" name="PivotTable6"/>
    <pivotTable tabId="9" name="PivotTable8"/>
    <pivotTable tabId="3" name="PivotTable3"/>
    <pivotTable tabId="2" name="PivotTable1"/>
    <pivotTable tabId="4" name="PivotTable4"/>
  </pivotTables>
  <data>
    <tabular pivotCacheId="1604029223">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4BF766-367D-4486-9590-C37BE773A1A9}" sourceName="Customer Type">
  <pivotTables>
    <pivotTable tabId="6" name="PivotTable6"/>
    <pivotTable tabId="9" name="PivotTable8"/>
    <pivotTable tabId="5" name="PivotTable5"/>
    <pivotTable tabId="3" name="PivotTable3"/>
    <pivotTable tabId="2" name="PivotTable1"/>
    <pivotTable tabId="4" name="PivotTable4"/>
  </pivotTables>
  <data>
    <tabular pivotCacheId="16040292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BA484D-4F5A-42DC-9A3A-9D18E4C11E6D}" cache="Slicer_Region" caption="Region"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E7088808-CF51-4A62-8661-1BA8C1D4B210}" cache="Slicer_Order_Year" caption="Order 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1C81941-08A4-4907-BB0E-2D4ECD40DC9C}" cache="Slicer_Product" caption="Product" columnCoun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Location" xr10:uid="{964EA159-6A76-4D3C-AB42-365B5D6166BB}" cache="Slicer_Store_Location" caption="Store Location" columnCoun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0DA7539-AAE9-460A-A617-67F3FD041285}" cache="Slicer_Customer_Type" caption="Customer Typ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162F07F-E644-4603-9429-4172E34385F7}" cache="Slicer_Region" caption="Region" rowHeight="182880"/>
  <slicer name="Order Year 1" xr10:uid="{EA5F6D05-591F-43B6-93A7-B703EC439022}" cache="Slicer_Order_Year" caption="Order Year" columnCount="3" rowHeight="234950"/>
  <slicer name="Product 1" xr10:uid="{B528943B-AE3A-4D11-BFF7-EBEA5C1BCE02}" cache="Slicer_Product" caption="Product" rowHeight="234950"/>
  <slicer name="Store Location 1" xr10:uid="{BEE5AA43-B99A-4F22-862B-7671BA5AD97F}" cache="Slicer_Store_Location" caption="Store Location" columnCount="2" rowHeight="234950"/>
  <slicer name="Customer Type 1" xr10:uid="{9F597037-0451-47E9-84F7-DF5E1C017BA8}" cache="Slicer_Customer_Type" caption="Customer Type" columnCount="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01"/>
  <sheetViews>
    <sheetView zoomScale="110" zoomScaleNormal="110" workbookViewId="0">
      <selection activeCell="L25" sqref="L25"/>
    </sheetView>
  </sheetViews>
  <sheetFormatPr defaultRowHeight="14.4" x14ac:dyDescent="0.3"/>
  <cols>
    <col min="1" max="1" width="18.109375" bestFit="1" customWidth="1"/>
    <col min="2" max="2" width="7.109375" bestFit="1" customWidth="1"/>
    <col min="3" max="3" width="7.88671875" bestFit="1" customWidth="1"/>
    <col min="4" max="4" width="8.44140625" bestFit="1" customWidth="1"/>
    <col min="5" max="5" width="8.6640625" bestFit="1" customWidth="1"/>
    <col min="6" max="6" width="13.21875" bestFit="1" customWidth="1"/>
    <col min="7" max="7" width="13.77734375" bestFit="1" customWidth="1"/>
    <col min="8" max="8" width="8.44140625" bestFit="1" customWidth="1"/>
    <col min="9" max="9" width="11" bestFit="1" customWidth="1"/>
    <col min="10" max="10" width="10" bestFit="1" customWidth="1"/>
    <col min="11" max="11" width="15.88671875" bestFit="1" customWidth="1"/>
    <col min="12" max="12" width="10" bestFit="1" customWidth="1"/>
    <col min="13" max="13" width="8.77734375" bestFit="1" customWidth="1"/>
    <col min="14" max="14" width="10.44140625" bestFit="1" customWidth="1"/>
    <col min="15" max="15" width="19.109375" bestFit="1" customWidth="1"/>
    <col min="16" max="16" width="12.44140625" bestFit="1" customWidth="1"/>
    <col min="17" max="17" width="18.6640625" bestFit="1" customWidth="1"/>
    <col min="18" max="18" width="18.6640625" customWidth="1"/>
    <col min="19" max="20" width="18.109375" bestFit="1" customWidth="1"/>
    <col min="21" max="21" width="14.88671875" bestFit="1" customWidth="1"/>
    <col min="22" max="22" width="9.5546875" bestFit="1" customWidth="1"/>
    <col min="23" max="23" width="12.109375" bestFit="1" customWidth="1"/>
    <col min="24" max="24" width="17.77734375" bestFit="1" customWidth="1"/>
    <col min="25" max="25" width="10.109375" bestFit="1" customWidth="1"/>
    <col min="26" max="26" width="13.109375" bestFit="1" customWidth="1"/>
    <col min="27" max="27" width="11.21875" bestFit="1" customWidth="1"/>
    <col min="28" max="28" width="14.21875" bestFit="1" customWidth="1"/>
  </cols>
  <sheetData>
    <row r="1" spans="1:28" x14ac:dyDescent="0.3">
      <c r="A1" s="1" t="s">
        <v>50</v>
      </c>
      <c r="B1" s="1" t="s">
        <v>51</v>
      </c>
      <c r="C1" s="1" t="s">
        <v>52</v>
      </c>
      <c r="D1" s="1" t="s">
        <v>53</v>
      </c>
      <c r="E1" s="1" t="s">
        <v>54</v>
      </c>
      <c r="F1" s="1" t="s">
        <v>60</v>
      </c>
      <c r="G1" s="1" t="s">
        <v>59</v>
      </c>
      <c r="H1" s="1" t="s">
        <v>55</v>
      </c>
      <c r="I1" s="1" t="s">
        <v>56</v>
      </c>
      <c r="J1" s="1" t="s">
        <v>61</v>
      </c>
      <c r="K1" s="1" t="s">
        <v>62</v>
      </c>
      <c r="L1" s="1" t="s">
        <v>57</v>
      </c>
      <c r="M1" s="1" t="s">
        <v>58</v>
      </c>
      <c r="N1" s="1" t="s">
        <v>63</v>
      </c>
      <c r="O1" s="1" t="s">
        <v>64</v>
      </c>
      <c r="P1" s="1" t="s">
        <v>65</v>
      </c>
      <c r="Q1" s="1" t="s">
        <v>3071</v>
      </c>
      <c r="R1" s="1" t="s">
        <v>3072</v>
      </c>
      <c r="S1" s="1" t="s">
        <v>66</v>
      </c>
      <c r="T1" s="1" t="s">
        <v>67</v>
      </c>
      <c r="U1" s="1" t="s">
        <v>68</v>
      </c>
      <c r="V1" s="1" t="s">
        <v>69</v>
      </c>
      <c r="W1" s="1" t="s">
        <v>70</v>
      </c>
      <c r="X1" s="1" t="s">
        <v>71</v>
      </c>
      <c r="Y1" s="1" t="s">
        <v>72</v>
      </c>
      <c r="Z1" s="1" t="s">
        <v>73</v>
      </c>
      <c r="AA1" s="1" t="s">
        <v>74</v>
      </c>
      <c r="AB1" s="3"/>
    </row>
    <row r="2" spans="1:28" x14ac:dyDescent="0.3">
      <c r="A2" s="2">
        <v>44980</v>
      </c>
      <c r="B2" t="s">
        <v>0</v>
      </c>
      <c r="C2" t="s">
        <v>5</v>
      </c>
      <c r="D2">
        <v>14</v>
      </c>
      <c r="E2">
        <v>163.6</v>
      </c>
      <c r="F2" t="s">
        <v>12</v>
      </c>
      <c r="G2" t="s">
        <v>16</v>
      </c>
      <c r="H2">
        <v>0</v>
      </c>
      <c r="I2" t="s">
        <v>18</v>
      </c>
      <c r="J2">
        <v>2290.4</v>
      </c>
      <c r="K2" t="s">
        <v>24</v>
      </c>
      <c r="L2" t="s">
        <v>29</v>
      </c>
      <c r="M2">
        <v>0</v>
      </c>
      <c r="N2" t="s">
        <v>75</v>
      </c>
      <c r="O2" t="s">
        <v>1575</v>
      </c>
      <c r="P2">
        <v>43.34</v>
      </c>
      <c r="Q2">
        <f>J2/D2</f>
        <v>163.6</v>
      </c>
      <c r="R2">
        <v>2247.06</v>
      </c>
      <c r="S2" s="2">
        <v>44980</v>
      </c>
      <c r="T2" s="2">
        <v>44984</v>
      </c>
      <c r="U2" t="s">
        <v>33</v>
      </c>
      <c r="V2">
        <v>23</v>
      </c>
      <c r="W2">
        <v>2</v>
      </c>
      <c r="X2" t="s">
        <v>38</v>
      </c>
      <c r="Y2">
        <v>2023</v>
      </c>
      <c r="Z2">
        <v>1</v>
      </c>
      <c r="AA2">
        <v>8</v>
      </c>
    </row>
    <row r="3" spans="1:28" x14ac:dyDescent="0.3">
      <c r="A3" s="2">
        <v>45645</v>
      </c>
      <c r="B3" t="s">
        <v>1</v>
      </c>
      <c r="C3" t="s">
        <v>6</v>
      </c>
      <c r="D3">
        <v>1</v>
      </c>
      <c r="E3">
        <v>544.01</v>
      </c>
      <c r="F3" t="s">
        <v>13</v>
      </c>
      <c r="G3" t="s">
        <v>17</v>
      </c>
      <c r="H3">
        <v>0</v>
      </c>
      <c r="I3" t="s">
        <v>19</v>
      </c>
      <c r="J3">
        <v>544.01</v>
      </c>
      <c r="K3" t="s">
        <v>25</v>
      </c>
      <c r="L3" t="s">
        <v>30</v>
      </c>
      <c r="M3">
        <v>0</v>
      </c>
      <c r="N3" t="s">
        <v>76</v>
      </c>
      <c r="O3" t="s">
        <v>1576</v>
      </c>
      <c r="P3">
        <v>5.3</v>
      </c>
      <c r="Q3">
        <f t="shared" ref="Q3:Q66" si="0">J3/D3</f>
        <v>544.01</v>
      </c>
      <c r="R3">
        <v>538.71</v>
      </c>
      <c r="S3" s="2">
        <v>45645</v>
      </c>
      <c r="T3" s="2">
        <v>45654</v>
      </c>
      <c r="U3" t="s">
        <v>34</v>
      </c>
      <c r="V3">
        <v>19</v>
      </c>
      <c r="W3">
        <v>12</v>
      </c>
      <c r="X3" t="s">
        <v>39</v>
      </c>
      <c r="Y3">
        <v>2024</v>
      </c>
      <c r="Z3">
        <v>4</v>
      </c>
      <c r="AA3">
        <v>51</v>
      </c>
    </row>
    <row r="4" spans="1:28" x14ac:dyDescent="0.3">
      <c r="A4" s="2">
        <v>45056</v>
      </c>
      <c r="B4" t="s">
        <v>2</v>
      </c>
      <c r="C4" t="s">
        <v>7</v>
      </c>
      <c r="D4">
        <v>14</v>
      </c>
      <c r="E4">
        <v>346.18</v>
      </c>
      <c r="F4" t="s">
        <v>12</v>
      </c>
      <c r="G4" t="s">
        <v>16</v>
      </c>
      <c r="H4">
        <v>0.1</v>
      </c>
      <c r="I4" t="s">
        <v>19</v>
      </c>
      <c r="J4">
        <v>4361.8680000000004</v>
      </c>
      <c r="K4" t="s">
        <v>24</v>
      </c>
      <c r="L4" t="s">
        <v>31</v>
      </c>
      <c r="M4">
        <v>0</v>
      </c>
      <c r="N4" t="s">
        <v>77</v>
      </c>
      <c r="O4" t="s">
        <v>1577</v>
      </c>
      <c r="P4">
        <v>20.46</v>
      </c>
      <c r="Q4">
        <f t="shared" si="0"/>
        <v>311.56200000000001</v>
      </c>
      <c r="R4">
        <v>4341.4080000000004</v>
      </c>
      <c r="S4" s="2">
        <v>45056</v>
      </c>
      <c r="T4" s="2">
        <v>45065</v>
      </c>
      <c r="U4" t="s">
        <v>35</v>
      </c>
      <c r="V4">
        <v>10</v>
      </c>
      <c r="W4">
        <v>5</v>
      </c>
      <c r="X4" t="s">
        <v>40</v>
      </c>
      <c r="Y4">
        <v>2023</v>
      </c>
      <c r="Z4">
        <v>2</v>
      </c>
      <c r="AA4">
        <v>19</v>
      </c>
    </row>
    <row r="5" spans="1:28" x14ac:dyDescent="0.3">
      <c r="A5" s="2">
        <v>45714</v>
      </c>
      <c r="B5" t="s">
        <v>3</v>
      </c>
      <c r="C5" t="s">
        <v>8</v>
      </c>
      <c r="D5">
        <v>18</v>
      </c>
      <c r="E5">
        <v>384.82</v>
      </c>
      <c r="F5" t="s">
        <v>13</v>
      </c>
      <c r="G5" t="s">
        <v>16</v>
      </c>
      <c r="H5">
        <v>0.15</v>
      </c>
      <c r="I5" t="s">
        <v>20</v>
      </c>
      <c r="J5">
        <v>5887.7460000000001</v>
      </c>
      <c r="K5" t="s">
        <v>25</v>
      </c>
      <c r="L5" t="s">
        <v>29</v>
      </c>
      <c r="M5">
        <v>0</v>
      </c>
      <c r="N5" t="s">
        <v>78</v>
      </c>
      <c r="O5" t="s">
        <v>1578</v>
      </c>
      <c r="P5">
        <v>27.95</v>
      </c>
      <c r="Q5">
        <f t="shared" si="0"/>
        <v>327.09699999999998</v>
      </c>
      <c r="R5">
        <v>5859.7960000000003</v>
      </c>
      <c r="S5" s="2">
        <v>45714</v>
      </c>
      <c r="T5" s="2">
        <v>45718</v>
      </c>
      <c r="U5" t="s">
        <v>36</v>
      </c>
      <c r="V5">
        <v>26</v>
      </c>
      <c r="W5">
        <v>2</v>
      </c>
      <c r="X5" t="s">
        <v>38</v>
      </c>
      <c r="Y5">
        <v>2025</v>
      </c>
      <c r="Z5">
        <v>1</v>
      </c>
      <c r="AA5">
        <v>9</v>
      </c>
    </row>
    <row r="6" spans="1:28" x14ac:dyDescent="0.3">
      <c r="A6" s="2">
        <v>45101</v>
      </c>
      <c r="B6" t="s">
        <v>0</v>
      </c>
      <c r="C6" t="s">
        <v>7</v>
      </c>
      <c r="D6">
        <v>18</v>
      </c>
      <c r="E6">
        <v>237.76</v>
      </c>
      <c r="F6" t="s">
        <v>14</v>
      </c>
      <c r="G6" t="s">
        <v>17</v>
      </c>
      <c r="H6">
        <v>0</v>
      </c>
      <c r="I6" t="s">
        <v>21</v>
      </c>
      <c r="J6">
        <v>4279.68</v>
      </c>
      <c r="K6" t="s">
        <v>24</v>
      </c>
      <c r="L6" t="s">
        <v>30</v>
      </c>
      <c r="M6">
        <v>0</v>
      </c>
      <c r="N6" t="s">
        <v>79</v>
      </c>
      <c r="O6" t="s">
        <v>1579</v>
      </c>
      <c r="P6">
        <v>5.73</v>
      </c>
      <c r="Q6">
        <f t="shared" si="0"/>
        <v>237.76000000000002</v>
      </c>
      <c r="R6">
        <v>4273.9500000000007</v>
      </c>
      <c r="S6" s="2">
        <v>45101</v>
      </c>
      <c r="T6" s="2">
        <v>45104</v>
      </c>
      <c r="U6" t="s">
        <v>33</v>
      </c>
      <c r="V6">
        <v>24</v>
      </c>
      <c r="W6">
        <v>6</v>
      </c>
      <c r="X6" t="s">
        <v>41</v>
      </c>
      <c r="Y6">
        <v>2023</v>
      </c>
      <c r="Z6">
        <v>2</v>
      </c>
      <c r="AA6">
        <v>25</v>
      </c>
    </row>
    <row r="7" spans="1:28" x14ac:dyDescent="0.3">
      <c r="A7" s="2">
        <v>45342</v>
      </c>
      <c r="B7" t="s">
        <v>3</v>
      </c>
      <c r="C7" t="s">
        <v>9</v>
      </c>
      <c r="D7">
        <v>2</v>
      </c>
      <c r="E7">
        <v>385.09</v>
      </c>
      <c r="F7" t="s">
        <v>15</v>
      </c>
      <c r="G7" t="s">
        <v>16</v>
      </c>
      <c r="H7">
        <v>0.15</v>
      </c>
      <c r="I7" t="s">
        <v>22</v>
      </c>
      <c r="J7">
        <v>654.65299999999991</v>
      </c>
      <c r="K7" t="s">
        <v>26</v>
      </c>
      <c r="L7" t="s">
        <v>32</v>
      </c>
      <c r="M7">
        <v>0</v>
      </c>
      <c r="N7" t="s">
        <v>80</v>
      </c>
      <c r="O7" t="s">
        <v>1580</v>
      </c>
      <c r="P7">
        <v>11.92</v>
      </c>
      <c r="Q7">
        <f t="shared" si="0"/>
        <v>327.32649999999995</v>
      </c>
      <c r="R7">
        <v>642.73299999999995</v>
      </c>
      <c r="S7" s="2">
        <v>45342</v>
      </c>
      <c r="T7" s="2">
        <v>45352</v>
      </c>
      <c r="U7" t="s">
        <v>36</v>
      </c>
      <c r="V7">
        <v>20</v>
      </c>
      <c r="W7">
        <v>2</v>
      </c>
      <c r="X7" t="s">
        <v>38</v>
      </c>
      <c r="Y7">
        <v>2024</v>
      </c>
      <c r="Z7">
        <v>1</v>
      </c>
      <c r="AA7">
        <v>8</v>
      </c>
    </row>
    <row r="8" spans="1:28" x14ac:dyDescent="0.3">
      <c r="A8" s="2">
        <v>44937</v>
      </c>
      <c r="B8" t="s">
        <v>1</v>
      </c>
      <c r="C8" t="s">
        <v>8</v>
      </c>
      <c r="D8">
        <v>7</v>
      </c>
      <c r="E8">
        <v>17.5</v>
      </c>
      <c r="F8" t="s">
        <v>14</v>
      </c>
      <c r="G8" t="s">
        <v>17</v>
      </c>
      <c r="H8">
        <v>0.1</v>
      </c>
      <c r="I8" t="s">
        <v>19</v>
      </c>
      <c r="J8">
        <v>110.25</v>
      </c>
      <c r="K8" t="s">
        <v>27</v>
      </c>
      <c r="L8" t="s">
        <v>31</v>
      </c>
      <c r="M8">
        <v>0</v>
      </c>
      <c r="N8" t="s">
        <v>81</v>
      </c>
      <c r="O8" t="s">
        <v>1581</v>
      </c>
      <c r="P8">
        <v>5.0199999999999996</v>
      </c>
      <c r="Q8">
        <f t="shared" si="0"/>
        <v>15.75</v>
      </c>
      <c r="R8">
        <v>105.23</v>
      </c>
      <c r="S8" s="2">
        <v>44937</v>
      </c>
      <c r="T8" s="2">
        <v>44940</v>
      </c>
      <c r="U8" t="s">
        <v>34</v>
      </c>
      <c r="V8">
        <v>11</v>
      </c>
      <c r="W8">
        <v>1</v>
      </c>
      <c r="X8" t="s">
        <v>42</v>
      </c>
      <c r="Y8">
        <v>2023</v>
      </c>
      <c r="Z8">
        <v>1</v>
      </c>
      <c r="AA8">
        <v>2</v>
      </c>
    </row>
    <row r="9" spans="1:28" x14ac:dyDescent="0.3">
      <c r="A9" s="2">
        <v>44935</v>
      </c>
      <c r="B9" t="s">
        <v>3</v>
      </c>
      <c r="C9" t="s">
        <v>8</v>
      </c>
      <c r="D9">
        <v>3</v>
      </c>
      <c r="E9">
        <v>330.22</v>
      </c>
      <c r="F9" t="s">
        <v>14</v>
      </c>
      <c r="G9" t="s">
        <v>16</v>
      </c>
      <c r="H9">
        <v>0.15</v>
      </c>
      <c r="I9" t="s">
        <v>21</v>
      </c>
      <c r="J9">
        <v>842.06100000000004</v>
      </c>
      <c r="K9" t="s">
        <v>28</v>
      </c>
      <c r="L9" t="s">
        <v>32</v>
      </c>
      <c r="M9">
        <v>0</v>
      </c>
      <c r="N9" t="s">
        <v>82</v>
      </c>
      <c r="O9" t="s">
        <v>1582</v>
      </c>
      <c r="P9">
        <v>48.01</v>
      </c>
      <c r="Q9">
        <f t="shared" si="0"/>
        <v>280.68700000000001</v>
      </c>
      <c r="R9">
        <v>794.05100000000004</v>
      </c>
      <c r="S9" s="2">
        <v>44935</v>
      </c>
      <c r="T9" s="2">
        <v>44937</v>
      </c>
      <c r="U9" t="s">
        <v>36</v>
      </c>
      <c r="V9">
        <v>9</v>
      </c>
      <c r="W9">
        <v>1</v>
      </c>
      <c r="X9" t="s">
        <v>42</v>
      </c>
      <c r="Y9">
        <v>2023</v>
      </c>
      <c r="Z9">
        <v>1</v>
      </c>
      <c r="AA9">
        <v>2</v>
      </c>
    </row>
    <row r="10" spans="1:28" x14ac:dyDescent="0.3">
      <c r="A10" s="2">
        <v>45581</v>
      </c>
      <c r="B10" t="s">
        <v>1</v>
      </c>
      <c r="C10" t="s">
        <v>8</v>
      </c>
      <c r="D10">
        <v>3</v>
      </c>
      <c r="E10">
        <v>432.04</v>
      </c>
      <c r="F10" t="s">
        <v>15</v>
      </c>
      <c r="G10" t="s">
        <v>16</v>
      </c>
      <c r="H10">
        <v>0.05</v>
      </c>
      <c r="I10" t="s">
        <v>23</v>
      </c>
      <c r="J10">
        <v>1231.3140000000001</v>
      </c>
      <c r="K10" t="s">
        <v>27</v>
      </c>
      <c r="L10" t="s">
        <v>29</v>
      </c>
      <c r="M10">
        <v>1</v>
      </c>
      <c r="N10" t="s">
        <v>83</v>
      </c>
      <c r="O10" t="s">
        <v>1583</v>
      </c>
      <c r="P10">
        <v>42.11</v>
      </c>
      <c r="Q10">
        <f t="shared" si="0"/>
        <v>410.43800000000005</v>
      </c>
      <c r="R10">
        <v>1189.2040000000002</v>
      </c>
      <c r="S10" s="2">
        <v>45581</v>
      </c>
      <c r="T10" s="2">
        <v>45583</v>
      </c>
      <c r="U10" t="s">
        <v>34</v>
      </c>
      <c r="V10">
        <v>16</v>
      </c>
      <c r="W10">
        <v>10</v>
      </c>
      <c r="X10" t="s">
        <v>43</v>
      </c>
      <c r="Y10">
        <v>2024</v>
      </c>
      <c r="Z10">
        <v>4</v>
      </c>
      <c r="AA10">
        <v>42</v>
      </c>
    </row>
    <row r="11" spans="1:28" x14ac:dyDescent="0.3">
      <c r="A11" s="2">
        <v>45721</v>
      </c>
      <c r="B11" t="s">
        <v>4</v>
      </c>
      <c r="C11" t="s">
        <v>7</v>
      </c>
      <c r="D11">
        <v>5</v>
      </c>
      <c r="E11">
        <v>323.27999999999997</v>
      </c>
      <c r="F11" t="s">
        <v>15</v>
      </c>
      <c r="G11" t="s">
        <v>17</v>
      </c>
      <c r="H11">
        <v>0.1</v>
      </c>
      <c r="I11" t="s">
        <v>20</v>
      </c>
      <c r="J11">
        <v>1454.76</v>
      </c>
      <c r="K11" t="s">
        <v>25</v>
      </c>
      <c r="L11" t="s">
        <v>30</v>
      </c>
      <c r="M11">
        <v>0</v>
      </c>
      <c r="N11" t="s">
        <v>84</v>
      </c>
      <c r="O11" t="s">
        <v>1584</v>
      </c>
      <c r="P11">
        <v>41.1</v>
      </c>
      <c r="Q11">
        <f t="shared" si="0"/>
        <v>290.952</v>
      </c>
      <c r="R11">
        <v>1413.66</v>
      </c>
      <c r="S11" s="2">
        <v>45721</v>
      </c>
      <c r="T11" s="2">
        <v>45729</v>
      </c>
      <c r="U11" t="s">
        <v>37</v>
      </c>
      <c r="V11">
        <v>5</v>
      </c>
      <c r="W11">
        <v>3</v>
      </c>
      <c r="X11" t="s">
        <v>44</v>
      </c>
      <c r="Y11">
        <v>2025</v>
      </c>
      <c r="Z11">
        <v>1</v>
      </c>
      <c r="AA11">
        <v>10</v>
      </c>
    </row>
    <row r="12" spans="1:28" x14ac:dyDescent="0.3">
      <c r="A12" s="2">
        <v>45392</v>
      </c>
      <c r="B12" t="s">
        <v>2</v>
      </c>
      <c r="C12" t="s">
        <v>7</v>
      </c>
      <c r="D12">
        <v>15</v>
      </c>
      <c r="E12">
        <v>523.29</v>
      </c>
      <c r="F12" t="s">
        <v>12</v>
      </c>
      <c r="G12" t="s">
        <v>16</v>
      </c>
      <c r="H12">
        <v>0.15</v>
      </c>
      <c r="I12" t="s">
        <v>18</v>
      </c>
      <c r="J12">
        <v>6671.9474999999993</v>
      </c>
      <c r="K12" t="s">
        <v>27</v>
      </c>
      <c r="L12" t="s">
        <v>32</v>
      </c>
      <c r="M12">
        <v>0</v>
      </c>
      <c r="N12" t="s">
        <v>85</v>
      </c>
      <c r="O12" t="s">
        <v>1585</v>
      </c>
      <c r="P12">
        <v>12.14</v>
      </c>
      <c r="Q12">
        <f t="shared" si="0"/>
        <v>444.79649999999998</v>
      </c>
      <c r="R12">
        <v>6659.807499999999</v>
      </c>
      <c r="S12" s="2">
        <v>45392</v>
      </c>
      <c r="T12" s="2">
        <v>45399</v>
      </c>
      <c r="U12" t="s">
        <v>35</v>
      </c>
      <c r="V12">
        <v>10</v>
      </c>
      <c r="W12">
        <v>4</v>
      </c>
      <c r="X12" t="s">
        <v>45</v>
      </c>
      <c r="Y12">
        <v>2024</v>
      </c>
      <c r="Z12">
        <v>2</v>
      </c>
      <c r="AA12">
        <v>15</v>
      </c>
    </row>
    <row r="13" spans="1:28" x14ac:dyDescent="0.3">
      <c r="A13" s="2">
        <v>45485</v>
      </c>
      <c r="B13" t="s">
        <v>0</v>
      </c>
      <c r="C13" t="s">
        <v>6</v>
      </c>
      <c r="D13">
        <v>19</v>
      </c>
      <c r="E13">
        <v>207.35</v>
      </c>
      <c r="F13" t="s">
        <v>15</v>
      </c>
      <c r="G13" t="s">
        <v>17</v>
      </c>
      <c r="H13">
        <v>0.1</v>
      </c>
      <c r="I13" t="s">
        <v>18</v>
      </c>
      <c r="J13">
        <v>3545.6849999999999</v>
      </c>
      <c r="K13" t="s">
        <v>25</v>
      </c>
      <c r="L13" t="s">
        <v>32</v>
      </c>
      <c r="M13">
        <v>1</v>
      </c>
      <c r="N13" t="s">
        <v>86</v>
      </c>
      <c r="O13" t="s">
        <v>1586</v>
      </c>
      <c r="P13">
        <v>44.89</v>
      </c>
      <c r="Q13">
        <f t="shared" si="0"/>
        <v>186.61500000000001</v>
      </c>
      <c r="R13">
        <v>3500.7950000000001</v>
      </c>
      <c r="S13" s="2">
        <v>45485</v>
      </c>
      <c r="T13" s="2">
        <v>45491</v>
      </c>
      <c r="U13" t="s">
        <v>33</v>
      </c>
      <c r="V13">
        <v>12</v>
      </c>
      <c r="W13">
        <v>7</v>
      </c>
      <c r="X13" t="s">
        <v>46</v>
      </c>
      <c r="Y13">
        <v>2024</v>
      </c>
      <c r="Z13">
        <v>3</v>
      </c>
      <c r="AA13">
        <v>28</v>
      </c>
    </row>
    <row r="14" spans="1:28" x14ac:dyDescent="0.3">
      <c r="A14" s="2">
        <v>45128</v>
      </c>
      <c r="B14" t="s">
        <v>3</v>
      </c>
      <c r="C14" t="s">
        <v>6</v>
      </c>
      <c r="D14">
        <v>1</v>
      </c>
      <c r="E14">
        <v>120.53</v>
      </c>
      <c r="F14" t="s">
        <v>12</v>
      </c>
      <c r="G14" t="s">
        <v>17</v>
      </c>
      <c r="H14">
        <v>0.05</v>
      </c>
      <c r="I14" t="s">
        <v>22</v>
      </c>
      <c r="J14">
        <v>114.5035</v>
      </c>
      <c r="K14" t="s">
        <v>28</v>
      </c>
      <c r="L14" t="s">
        <v>31</v>
      </c>
      <c r="M14">
        <v>0</v>
      </c>
      <c r="N14" t="s">
        <v>87</v>
      </c>
      <c r="O14" t="s">
        <v>1587</v>
      </c>
      <c r="P14">
        <v>20.350000000000001</v>
      </c>
      <c r="Q14">
        <f t="shared" si="0"/>
        <v>114.5035</v>
      </c>
      <c r="R14">
        <v>94.153500000000008</v>
      </c>
      <c r="S14" s="2">
        <v>45128</v>
      </c>
      <c r="T14" s="2">
        <v>45138</v>
      </c>
      <c r="U14" t="s">
        <v>36</v>
      </c>
      <c r="V14">
        <v>21</v>
      </c>
      <c r="W14">
        <v>7</v>
      </c>
      <c r="X14" t="s">
        <v>46</v>
      </c>
      <c r="Y14">
        <v>2023</v>
      </c>
      <c r="Z14">
        <v>3</v>
      </c>
      <c r="AA14">
        <v>29</v>
      </c>
    </row>
    <row r="15" spans="1:28" x14ac:dyDescent="0.3">
      <c r="A15" s="2">
        <v>45675</v>
      </c>
      <c r="B15" t="s">
        <v>4</v>
      </c>
      <c r="C15" t="s">
        <v>10</v>
      </c>
      <c r="D15">
        <v>1</v>
      </c>
      <c r="E15">
        <v>157.83000000000001</v>
      </c>
      <c r="F15" t="s">
        <v>13</v>
      </c>
      <c r="G15" t="s">
        <v>16</v>
      </c>
      <c r="H15">
        <v>0.15</v>
      </c>
      <c r="I15" t="s">
        <v>21</v>
      </c>
      <c r="J15">
        <v>134.15549999999999</v>
      </c>
      <c r="K15" t="s">
        <v>27</v>
      </c>
      <c r="L15" t="s">
        <v>32</v>
      </c>
      <c r="M15">
        <v>0</v>
      </c>
      <c r="N15" t="s">
        <v>88</v>
      </c>
      <c r="O15" t="s">
        <v>1588</v>
      </c>
      <c r="P15">
        <v>42.82</v>
      </c>
      <c r="Q15">
        <f t="shared" si="0"/>
        <v>134.15549999999999</v>
      </c>
      <c r="R15">
        <v>91.335499999999996</v>
      </c>
      <c r="S15" s="2">
        <v>45675</v>
      </c>
      <c r="T15" s="2">
        <v>45679</v>
      </c>
      <c r="U15" t="s">
        <v>37</v>
      </c>
      <c r="V15">
        <v>18</v>
      </c>
      <c r="W15">
        <v>1</v>
      </c>
      <c r="X15" t="s">
        <v>42</v>
      </c>
      <c r="Y15">
        <v>2025</v>
      </c>
      <c r="Z15">
        <v>1</v>
      </c>
      <c r="AA15">
        <v>3</v>
      </c>
    </row>
    <row r="16" spans="1:28" x14ac:dyDescent="0.3">
      <c r="A16" s="2">
        <v>45634</v>
      </c>
      <c r="B16" t="s">
        <v>2</v>
      </c>
      <c r="C16" t="s">
        <v>7</v>
      </c>
      <c r="D16">
        <v>15</v>
      </c>
      <c r="E16">
        <v>220.3</v>
      </c>
      <c r="F16" t="s">
        <v>12</v>
      </c>
      <c r="G16" t="s">
        <v>17</v>
      </c>
      <c r="H16">
        <v>0.15</v>
      </c>
      <c r="I16" t="s">
        <v>22</v>
      </c>
      <c r="J16">
        <v>2808.8249999999998</v>
      </c>
      <c r="K16" t="s">
        <v>27</v>
      </c>
      <c r="L16" t="s">
        <v>32</v>
      </c>
      <c r="M16">
        <v>0</v>
      </c>
      <c r="N16" t="s">
        <v>89</v>
      </c>
      <c r="O16" t="s">
        <v>1589</v>
      </c>
      <c r="P16">
        <v>39.659999999999997</v>
      </c>
      <c r="Q16">
        <f t="shared" si="0"/>
        <v>187.255</v>
      </c>
      <c r="R16">
        <v>2769.165</v>
      </c>
      <c r="S16" s="2">
        <v>45634</v>
      </c>
      <c r="T16" s="2">
        <v>45641</v>
      </c>
      <c r="U16" t="s">
        <v>35</v>
      </c>
      <c r="V16">
        <v>8</v>
      </c>
      <c r="W16">
        <v>12</v>
      </c>
      <c r="X16" t="s">
        <v>39</v>
      </c>
      <c r="Y16">
        <v>2024</v>
      </c>
      <c r="Z16">
        <v>4</v>
      </c>
      <c r="AA16">
        <v>49</v>
      </c>
    </row>
    <row r="17" spans="1:27" x14ac:dyDescent="0.3">
      <c r="A17" s="2">
        <v>45788</v>
      </c>
      <c r="B17" t="s">
        <v>4</v>
      </c>
      <c r="C17" t="s">
        <v>8</v>
      </c>
      <c r="D17">
        <v>17</v>
      </c>
      <c r="E17">
        <v>162.96</v>
      </c>
      <c r="F17" t="s">
        <v>13</v>
      </c>
      <c r="G17" t="s">
        <v>16</v>
      </c>
      <c r="H17">
        <v>0.05</v>
      </c>
      <c r="I17" t="s">
        <v>18</v>
      </c>
      <c r="J17">
        <v>2631.8040000000001</v>
      </c>
      <c r="K17" t="s">
        <v>25</v>
      </c>
      <c r="L17" t="s">
        <v>29</v>
      </c>
      <c r="M17">
        <v>0</v>
      </c>
      <c r="N17" t="s">
        <v>90</v>
      </c>
      <c r="O17" t="s">
        <v>1590</v>
      </c>
      <c r="P17">
        <v>8.11</v>
      </c>
      <c r="Q17">
        <f t="shared" si="0"/>
        <v>154.81200000000001</v>
      </c>
      <c r="R17">
        <v>2623.694</v>
      </c>
      <c r="S17" s="2">
        <v>45788</v>
      </c>
      <c r="T17" s="2">
        <v>45794</v>
      </c>
      <c r="U17" t="s">
        <v>37</v>
      </c>
      <c r="V17">
        <v>11</v>
      </c>
      <c r="W17">
        <v>5</v>
      </c>
      <c r="X17" t="s">
        <v>40</v>
      </c>
      <c r="Y17">
        <v>2025</v>
      </c>
      <c r="Z17">
        <v>2</v>
      </c>
      <c r="AA17">
        <v>19</v>
      </c>
    </row>
    <row r="18" spans="1:27" x14ac:dyDescent="0.3">
      <c r="A18" s="2">
        <v>44983</v>
      </c>
      <c r="B18" t="s">
        <v>4</v>
      </c>
      <c r="C18" t="s">
        <v>5</v>
      </c>
      <c r="D18">
        <v>19</v>
      </c>
      <c r="E18">
        <v>236.11</v>
      </c>
      <c r="F18" t="s">
        <v>15</v>
      </c>
      <c r="G18" t="s">
        <v>16</v>
      </c>
      <c r="H18">
        <v>0</v>
      </c>
      <c r="I18" t="s">
        <v>23</v>
      </c>
      <c r="J18">
        <v>4486.09</v>
      </c>
      <c r="K18" t="s">
        <v>24</v>
      </c>
      <c r="L18" t="s">
        <v>31</v>
      </c>
      <c r="M18">
        <v>0</v>
      </c>
      <c r="N18" t="s">
        <v>91</v>
      </c>
      <c r="O18" t="s">
        <v>1591</v>
      </c>
      <c r="P18">
        <v>34.11</v>
      </c>
      <c r="Q18">
        <f t="shared" si="0"/>
        <v>236.11</v>
      </c>
      <c r="R18">
        <v>4451.9800000000005</v>
      </c>
      <c r="S18" s="2">
        <v>44983</v>
      </c>
      <c r="T18" s="2">
        <v>44989</v>
      </c>
      <c r="U18" t="s">
        <v>37</v>
      </c>
      <c r="V18">
        <v>26</v>
      </c>
      <c r="W18">
        <v>2</v>
      </c>
      <c r="X18" t="s">
        <v>38</v>
      </c>
      <c r="Y18">
        <v>2023</v>
      </c>
      <c r="Z18">
        <v>1</v>
      </c>
      <c r="AA18">
        <v>8</v>
      </c>
    </row>
    <row r="19" spans="1:27" x14ac:dyDescent="0.3">
      <c r="A19" s="2">
        <v>45440</v>
      </c>
      <c r="B19" t="s">
        <v>3</v>
      </c>
      <c r="C19" t="s">
        <v>7</v>
      </c>
      <c r="D19">
        <v>11</v>
      </c>
      <c r="E19">
        <v>573.14</v>
      </c>
      <c r="F19" t="s">
        <v>15</v>
      </c>
      <c r="G19" t="s">
        <v>17</v>
      </c>
      <c r="H19">
        <v>0.05</v>
      </c>
      <c r="I19" t="s">
        <v>22</v>
      </c>
      <c r="J19">
        <v>5989.3130000000001</v>
      </c>
      <c r="K19" t="s">
        <v>28</v>
      </c>
      <c r="L19" t="s">
        <v>30</v>
      </c>
      <c r="M19">
        <v>0</v>
      </c>
      <c r="N19" t="s">
        <v>92</v>
      </c>
      <c r="O19" t="s">
        <v>1592</v>
      </c>
      <c r="P19">
        <v>34.71</v>
      </c>
      <c r="Q19">
        <f t="shared" si="0"/>
        <v>544.48300000000006</v>
      </c>
      <c r="R19">
        <v>5954.6030000000001</v>
      </c>
      <c r="S19" s="2">
        <v>45440</v>
      </c>
      <c r="T19" s="2">
        <v>45444</v>
      </c>
      <c r="U19" t="s">
        <v>36</v>
      </c>
      <c r="V19">
        <v>28</v>
      </c>
      <c r="W19">
        <v>5</v>
      </c>
      <c r="X19" t="s">
        <v>40</v>
      </c>
      <c r="Y19">
        <v>2024</v>
      </c>
      <c r="Z19">
        <v>2</v>
      </c>
      <c r="AA19">
        <v>22</v>
      </c>
    </row>
    <row r="20" spans="1:27" x14ac:dyDescent="0.3">
      <c r="A20" s="2">
        <v>45260</v>
      </c>
      <c r="B20" t="s">
        <v>0</v>
      </c>
      <c r="C20" t="s">
        <v>6</v>
      </c>
      <c r="D20">
        <v>20</v>
      </c>
      <c r="E20">
        <v>519.04</v>
      </c>
      <c r="F20" t="s">
        <v>12</v>
      </c>
      <c r="G20" t="s">
        <v>17</v>
      </c>
      <c r="H20">
        <v>0.15</v>
      </c>
      <c r="I20" t="s">
        <v>21</v>
      </c>
      <c r="J20">
        <v>8823.6799999999985</v>
      </c>
      <c r="K20" t="s">
        <v>25</v>
      </c>
      <c r="L20" t="s">
        <v>29</v>
      </c>
      <c r="M20">
        <v>0</v>
      </c>
      <c r="N20" t="s">
        <v>93</v>
      </c>
      <c r="O20" t="s">
        <v>1593</v>
      </c>
      <c r="P20">
        <v>19.43</v>
      </c>
      <c r="Q20">
        <f t="shared" si="0"/>
        <v>441.18399999999991</v>
      </c>
      <c r="R20">
        <v>8804.2499999999982</v>
      </c>
      <c r="S20" s="2">
        <v>45260</v>
      </c>
      <c r="T20" s="2">
        <v>45268</v>
      </c>
      <c r="U20" t="s">
        <v>33</v>
      </c>
      <c r="V20">
        <v>30</v>
      </c>
      <c r="W20">
        <v>11</v>
      </c>
      <c r="X20" t="s">
        <v>47</v>
      </c>
      <c r="Y20">
        <v>2023</v>
      </c>
      <c r="Z20">
        <v>4</v>
      </c>
      <c r="AA20">
        <v>48</v>
      </c>
    </row>
    <row r="21" spans="1:27" x14ac:dyDescent="0.3">
      <c r="A21" s="2">
        <v>45099</v>
      </c>
      <c r="B21" t="s">
        <v>4</v>
      </c>
      <c r="C21" t="s">
        <v>7</v>
      </c>
      <c r="D21">
        <v>14</v>
      </c>
      <c r="E21">
        <v>30.83</v>
      </c>
      <c r="F21" t="s">
        <v>12</v>
      </c>
      <c r="G21" t="s">
        <v>17</v>
      </c>
      <c r="H21">
        <v>0</v>
      </c>
      <c r="I21" t="s">
        <v>21</v>
      </c>
      <c r="J21">
        <v>431.62</v>
      </c>
      <c r="K21" t="s">
        <v>24</v>
      </c>
      <c r="L21" t="s">
        <v>31</v>
      </c>
      <c r="M21">
        <v>1</v>
      </c>
      <c r="N21" t="s">
        <v>94</v>
      </c>
      <c r="O21" t="s">
        <v>1594</v>
      </c>
      <c r="P21">
        <v>7.1</v>
      </c>
      <c r="Q21">
        <f t="shared" si="0"/>
        <v>30.830000000000002</v>
      </c>
      <c r="R21">
        <v>424.52</v>
      </c>
      <c r="S21" s="2">
        <v>45099</v>
      </c>
      <c r="T21" s="2">
        <v>45109</v>
      </c>
      <c r="U21" t="s">
        <v>37</v>
      </c>
      <c r="V21">
        <v>22</v>
      </c>
      <c r="W21">
        <v>6</v>
      </c>
      <c r="X21" t="s">
        <v>41</v>
      </c>
      <c r="Y21">
        <v>2023</v>
      </c>
      <c r="Z21">
        <v>2</v>
      </c>
      <c r="AA21">
        <v>25</v>
      </c>
    </row>
    <row r="22" spans="1:27" x14ac:dyDescent="0.3">
      <c r="A22" s="2">
        <v>45813</v>
      </c>
      <c r="B22" t="s">
        <v>4</v>
      </c>
      <c r="C22" t="s">
        <v>6</v>
      </c>
      <c r="D22">
        <v>10</v>
      </c>
      <c r="E22">
        <v>319.05</v>
      </c>
      <c r="F22" t="s">
        <v>15</v>
      </c>
      <c r="G22" t="s">
        <v>16</v>
      </c>
      <c r="H22">
        <v>0</v>
      </c>
      <c r="I22" t="s">
        <v>22</v>
      </c>
      <c r="J22">
        <v>3190.5</v>
      </c>
      <c r="K22" t="s">
        <v>24</v>
      </c>
      <c r="L22" t="s">
        <v>32</v>
      </c>
      <c r="M22">
        <v>0</v>
      </c>
      <c r="N22" t="s">
        <v>95</v>
      </c>
      <c r="O22" t="s">
        <v>1595</v>
      </c>
      <c r="P22">
        <v>28.43</v>
      </c>
      <c r="Q22">
        <f t="shared" si="0"/>
        <v>319.05</v>
      </c>
      <c r="R22">
        <v>3162.07</v>
      </c>
      <c r="S22" s="2">
        <v>45813</v>
      </c>
      <c r="T22" s="2">
        <v>45816</v>
      </c>
      <c r="U22" t="s">
        <v>37</v>
      </c>
      <c r="V22">
        <v>5</v>
      </c>
      <c r="W22">
        <v>6</v>
      </c>
      <c r="X22" t="s">
        <v>41</v>
      </c>
      <c r="Y22">
        <v>2025</v>
      </c>
      <c r="Z22">
        <v>2</v>
      </c>
      <c r="AA22">
        <v>23</v>
      </c>
    </row>
    <row r="23" spans="1:27" x14ac:dyDescent="0.3">
      <c r="A23" s="2">
        <v>44988</v>
      </c>
      <c r="B23" t="s">
        <v>3</v>
      </c>
      <c r="C23" t="s">
        <v>8</v>
      </c>
      <c r="D23">
        <v>14</v>
      </c>
      <c r="E23">
        <v>312.79000000000002</v>
      </c>
      <c r="F23" t="s">
        <v>13</v>
      </c>
      <c r="G23" t="s">
        <v>17</v>
      </c>
      <c r="H23">
        <v>0.05</v>
      </c>
      <c r="I23" t="s">
        <v>23</v>
      </c>
      <c r="J23">
        <v>4160.107</v>
      </c>
      <c r="K23" t="s">
        <v>24</v>
      </c>
      <c r="L23" t="s">
        <v>32</v>
      </c>
      <c r="M23">
        <v>1</v>
      </c>
      <c r="N23" t="s">
        <v>96</v>
      </c>
      <c r="O23" t="s">
        <v>1596</v>
      </c>
      <c r="P23">
        <v>46.83</v>
      </c>
      <c r="Q23">
        <f t="shared" si="0"/>
        <v>297.15050000000002</v>
      </c>
      <c r="R23">
        <v>4113.277</v>
      </c>
      <c r="S23" s="2">
        <v>44988</v>
      </c>
      <c r="T23" s="2">
        <v>44993</v>
      </c>
      <c r="U23" t="s">
        <v>36</v>
      </c>
      <c r="V23">
        <v>3</v>
      </c>
      <c r="W23">
        <v>3</v>
      </c>
      <c r="X23" t="s">
        <v>44</v>
      </c>
      <c r="Y23">
        <v>2023</v>
      </c>
      <c r="Z23">
        <v>1</v>
      </c>
      <c r="AA23">
        <v>9</v>
      </c>
    </row>
    <row r="24" spans="1:27" x14ac:dyDescent="0.3">
      <c r="A24" s="2">
        <v>45340</v>
      </c>
      <c r="B24" t="s">
        <v>2</v>
      </c>
      <c r="C24" t="s">
        <v>5</v>
      </c>
      <c r="D24">
        <v>14</v>
      </c>
      <c r="E24">
        <v>395.45</v>
      </c>
      <c r="F24" t="s">
        <v>14</v>
      </c>
      <c r="G24" t="s">
        <v>17</v>
      </c>
      <c r="H24">
        <v>0</v>
      </c>
      <c r="I24" t="s">
        <v>21</v>
      </c>
      <c r="J24">
        <v>5536.3</v>
      </c>
      <c r="K24" t="s">
        <v>28</v>
      </c>
      <c r="L24" t="s">
        <v>29</v>
      </c>
      <c r="M24">
        <v>1</v>
      </c>
      <c r="N24" t="s">
        <v>97</v>
      </c>
      <c r="O24" t="s">
        <v>1597</v>
      </c>
      <c r="P24">
        <v>36.450000000000003</v>
      </c>
      <c r="Q24">
        <f t="shared" si="0"/>
        <v>395.45</v>
      </c>
      <c r="R24">
        <v>5499.85</v>
      </c>
      <c r="S24" s="2">
        <v>45340</v>
      </c>
      <c r="T24" s="2">
        <v>45344</v>
      </c>
      <c r="U24" t="s">
        <v>35</v>
      </c>
      <c r="V24">
        <v>18</v>
      </c>
      <c r="W24">
        <v>2</v>
      </c>
      <c r="X24" t="s">
        <v>38</v>
      </c>
      <c r="Y24">
        <v>2024</v>
      </c>
      <c r="Z24">
        <v>1</v>
      </c>
      <c r="AA24">
        <v>7</v>
      </c>
    </row>
    <row r="25" spans="1:27" x14ac:dyDescent="0.3">
      <c r="A25" s="2">
        <v>45144</v>
      </c>
      <c r="B25" t="s">
        <v>3</v>
      </c>
      <c r="C25" t="s">
        <v>5</v>
      </c>
      <c r="D25">
        <v>12</v>
      </c>
      <c r="E25">
        <v>472.72</v>
      </c>
      <c r="F25" t="s">
        <v>15</v>
      </c>
      <c r="G25" t="s">
        <v>17</v>
      </c>
      <c r="H25">
        <v>0.15</v>
      </c>
      <c r="I25" t="s">
        <v>22</v>
      </c>
      <c r="J25">
        <v>4821.7440000000006</v>
      </c>
      <c r="K25" t="s">
        <v>26</v>
      </c>
      <c r="L25" t="s">
        <v>32</v>
      </c>
      <c r="M25">
        <v>0</v>
      </c>
      <c r="N25" t="s">
        <v>98</v>
      </c>
      <c r="O25" t="s">
        <v>1598</v>
      </c>
      <c r="P25">
        <v>27.97</v>
      </c>
      <c r="Q25">
        <f t="shared" si="0"/>
        <v>401.81200000000007</v>
      </c>
      <c r="R25">
        <v>4793.7740000000003</v>
      </c>
      <c r="S25" s="2">
        <v>45144</v>
      </c>
      <c r="T25" s="2">
        <v>45152</v>
      </c>
      <c r="U25" t="s">
        <v>36</v>
      </c>
      <c r="V25">
        <v>6</v>
      </c>
      <c r="W25">
        <v>8</v>
      </c>
      <c r="X25" t="s">
        <v>48</v>
      </c>
      <c r="Y25">
        <v>2023</v>
      </c>
      <c r="Z25">
        <v>3</v>
      </c>
      <c r="AA25">
        <v>31</v>
      </c>
    </row>
    <row r="26" spans="1:27" x14ac:dyDescent="0.3">
      <c r="A26" s="2">
        <v>45435</v>
      </c>
      <c r="B26" t="s">
        <v>2</v>
      </c>
      <c r="C26" t="s">
        <v>7</v>
      </c>
      <c r="D26">
        <v>5</v>
      </c>
      <c r="E26">
        <v>288.01</v>
      </c>
      <c r="F26" t="s">
        <v>13</v>
      </c>
      <c r="G26" t="s">
        <v>16</v>
      </c>
      <c r="H26">
        <v>0</v>
      </c>
      <c r="I26" t="s">
        <v>18</v>
      </c>
      <c r="J26">
        <v>1440.05</v>
      </c>
      <c r="K26" t="s">
        <v>26</v>
      </c>
      <c r="L26" t="s">
        <v>29</v>
      </c>
      <c r="M26">
        <v>0</v>
      </c>
      <c r="N26" t="s">
        <v>99</v>
      </c>
      <c r="O26" t="s">
        <v>1599</v>
      </c>
      <c r="P26">
        <v>46.69</v>
      </c>
      <c r="Q26">
        <f t="shared" si="0"/>
        <v>288.01</v>
      </c>
      <c r="R26">
        <v>1393.36</v>
      </c>
      <c r="S26" s="2">
        <v>45435</v>
      </c>
      <c r="T26" s="2">
        <v>45442</v>
      </c>
      <c r="U26" t="s">
        <v>35</v>
      </c>
      <c r="V26">
        <v>23</v>
      </c>
      <c r="W26">
        <v>5</v>
      </c>
      <c r="X26" t="s">
        <v>40</v>
      </c>
      <c r="Y26">
        <v>2024</v>
      </c>
      <c r="Z26">
        <v>2</v>
      </c>
      <c r="AA26">
        <v>21</v>
      </c>
    </row>
    <row r="27" spans="1:27" x14ac:dyDescent="0.3">
      <c r="A27" s="2">
        <v>45222</v>
      </c>
      <c r="B27" t="s">
        <v>0</v>
      </c>
      <c r="C27" t="s">
        <v>6</v>
      </c>
      <c r="D27">
        <v>13</v>
      </c>
      <c r="E27">
        <v>562.29</v>
      </c>
      <c r="F27" t="s">
        <v>15</v>
      </c>
      <c r="G27" t="s">
        <v>17</v>
      </c>
      <c r="H27">
        <v>0</v>
      </c>
      <c r="I27" t="s">
        <v>22</v>
      </c>
      <c r="J27">
        <v>7309.77</v>
      </c>
      <c r="K27" t="s">
        <v>25</v>
      </c>
      <c r="L27" t="s">
        <v>30</v>
      </c>
      <c r="M27">
        <v>0</v>
      </c>
      <c r="N27" t="s">
        <v>100</v>
      </c>
      <c r="O27" t="s">
        <v>1600</v>
      </c>
      <c r="P27">
        <v>38.130000000000003</v>
      </c>
      <c r="Q27">
        <f t="shared" si="0"/>
        <v>562.29000000000008</v>
      </c>
      <c r="R27">
        <v>7271.64</v>
      </c>
      <c r="S27" s="2">
        <v>45222</v>
      </c>
      <c r="T27" s="2">
        <v>45227</v>
      </c>
      <c r="U27" t="s">
        <v>33</v>
      </c>
      <c r="V27">
        <v>23</v>
      </c>
      <c r="W27">
        <v>10</v>
      </c>
      <c r="X27" t="s">
        <v>43</v>
      </c>
      <c r="Y27">
        <v>2023</v>
      </c>
      <c r="Z27">
        <v>4</v>
      </c>
      <c r="AA27">
        <v>43</v>
      </c>
    </row>
    <row r="28" spans="1:27" x14ac:dyDescent="0.3">
      <c r="A28" s="2">
        <v>45824</v>
      </c>
      <c r="B28" t="s">
        <v>4</v>
      </c>
      <c r="C28" t="s">
        <v>6</v>
      </c>
      <c r="D28">
        <v>1</v>
      </c>
      <c r="E28">
        <v>101.73</v>
      </c>
      <c r="F28" t="s">
        <v>15</v>
      </c>
      <c r="G28" t="s">
        <v>17</v>
      </c>
      <c r="H28">
        <v>0</v>
      </c>
      <c r="I28" t="s">
        <v>20</v>
      </c>
      <c r="J28">
        <v>101.73</v>
      </c>
      <c r="K28" t="s">
        <v>27</v>
      </c>
      <c r="L28" t="s">
        <v>31</v>
      </c>
      <c r="M28">
        <v>0</v>
      </c>
      <c r="N28" t="s">
        <v>101</v>
      </c>
      <c r="O28" t="s">
        <v>1601</v>
      </c>
      <c r="P28">
        <v>11.59</v>
      </c>
      <c r="Q28">
        <f t="shared" si="0"/>
        <v>101.73</v>
      </c>
      <c r="R28">
        <v>90.14</v>
      </c>
      <c r="S28" s="2">
        <v>45824</v>
      </c>
      <c r="T28" s="2">
        <v>45833</v>
      </c>
      <c r="U28" t="s">
        <v>37</v>
      </c>
      <c r="V28">
        <v>16</v>
      </c>
      <c r="W28">
        <v>6</v>
      </c>
      <c r="X28" t="s">
        <v>41</v>
      </c>
      <c r="Y28">
        <v>2025</v>
      </c>
      <c r="Z28">
        <v>2</v>
      </c>
      <c r="AA28">
        <v>25</v>
      </c>
    </row>
    <row r="29" spans="1:27" x14ac:dyDescent="0.3">
      <c r="A29" s="2">
        <v>44988</v>
      </c>
      <c r="B29" t="s">
        <v>2</v>
      </c>
      <c r="C29" t="s">
        <v>6</v>
      </c>
      <c r="D29">
        <v>4</v>
      </c>
      <c r="E29">
        <v>279.49</v>
      </c>
      <c r="F29" t="s">
        <v>12</v>
      </c>
      <c r="G29" t="s">
        <v>17</v>
      </c>
      <c r="H29">
        <v>0</v>
      </c>
      <c r="I29" t="s">
        <v>22</v>
      </c>
      <c r="J29">
        <v>1117.96</v>
      </c>
      <c r="K29" t="s">
        <v>26</v>
      </c>
      <c r="L29" t="s">
        <v>29</v>
      </c>
      <c r="M29">
        <v>0</v>
      </c>
      <c r="N29" t="s">
        <v>102</v>
      </c>
      <c r="O29" t="s">
        <v>1602</v>
      </c>
      <c r="P29">
        <v>24.78</v>
      </c>
      <c r="Q29">
        <f t="shared" si="0"/>
        <v>279.49</v>
      </c>
      <c r="R29">
        <v>1093.18</v>
      </c>
      <c r="S29" s="2">
        <v>44988</v>
      </c>
      <c r="T29" s="2">
        <v>44993</v>
      </c>
      <c r="U29" t="s">
        <v>35</v>
      </c>
      <c r="V29">
        <v>3</v>
      </c>
      <c r="W29">
        <v>3</v>
      </c>
      <c r="X29" t="s">
        <v>44</v>
      </c>
      <c r="Y29">
        <v>2023</v>
      </c>
      <c r="Z29">
        <v>1</v>
      </c>
      <c r="AA29">
        <v>9</v>
      </c>
    </row>
    <row r="30" spans="1:27" x14ac:dyDescent="0.3">
      <c r="A30" s="2">
        <v>45614</v>
      </c>
      <c r="B30" t="s">
        <v>1</v>
      </c>
      <c r="C30" t="s">
        <v>5</v>
      </c>
      <c r="D30">
        <v>1</v>
      </c>
      <c r="E30">
        <v>178.55</v>
      </c>
      <c r="F30" t="s">
        <v>13</v>
      </c>
      <c r="G30" t="s">
        <v>17</v>
      </c>
      <c r="H30">
        <v>0.15</v>
      </c>
      <c r="I30" t="s">
        <v>21</v>
      </c>
      <c r="J30">
        <v>151.76750000000001</v>
      </c>
      <c r="K30" t="s">
        <v>27</v>
      </c>
      <c r="L30" t="s">
        <v>30</v>
      </c>
      <c r="M30">
        <v>1</v>
      </c>
      <c r="N30" t="s">
        <v>103</v>
      </c>
      <c r="O30" t="s">
        <v>1603</v>
      </c>
      <c r="P30">
        <v>7.61</v>
      </c>
      <c r="Q30">
        <f t="shared" si="0"/>
        <v>151.76750000000001</v>
      </c>
      <c r="R30">
        <v>144.1575</v>
      </c>
      <c r="S30" s="2">
        <v>45614</v>
      </c>
      <c r="T30" s="2">
        <v>45617</v>
      </c>
      <c r="U30" t="s">
        <v>34</v>
      </c>
      <c r="V30">
        <v>18</v>
      </c>
      <c r="W30">
        <v>11</v>
      </c>
      <c r="X30" t="s">
        <v>47</v>
      </c>
      <c r="Y30">
        <v>2024</v>
      </c>
      <c r="Z30">
        <v>4</v>
      </c>
      <c r="AA30">
        <v>47</v>
      </c>
    </row>
    <row r="31" spans="1:27" x14ac:dyDescent="0.3">
      <c r="A31" s="2">
        <v>45055</v>
      </c>
      <c r="B31" t="s">
        <v>3</v>
      </c>
      <c r="C31" t="s">
        <v>10</v>
      </c>
      <c r="D31">
        <v>1</v>
      </c>
      <c r="E31">
        <v>472.07</v>
      </c>
      <c r="F31" t="s">
        <v>13</v>
      </c>
      <c r="G31" t="s">
        <v>16</v>
      </c>
      <c r="H31">
        <v>0.1</v>
      </c>
      <c r="I31" t="s">
        <v>21</v>
      </c>
      <c r="J31">
        <v>424.863</v>
      </c>
      <c r="K31" t="s">
        <v>24</v>
      </c>
      <c r="L31" t="s">
        <v>29</v>
      </c>
      <c r="M31">
        <v>0</v>
      </c>
      <c r="N31" t="s">
        <v>104</v>
      </c>
      <c r="O31" t="s">
        <v>1604</v>
      </c>
      <c r="P31">
        <v>33.17</v>
      </c>
      <c r="Q31">
        <f t="shared" si="0"/>
        <v>424.863</v>
      </c>
      <c r="R31">
        <v>391.69299999999998</v>
      </c>
      <c r="S31" s="2">
        <v>45055</v>
      </c>
      <c r="T31" s="2">
        <v>45063</v>
      </c>
      <c r="U31" t="s">
        <v>36</v>
      </c>
      <c r="V31">
        <v>9</v>
      </c>
      <c r="W31">
        <v>5</v>
      </c>
      <c r="X31" t="s">
        <v>40</v>
      </c>
      <c r="Y31">
        <v>2023</v>
      </c>
      <c r="Z31">
        <v>2</v>
      </c>
      <c r="AA31">
        <v>19</v>
      </c>
    </row>
    <row r="32" spans="1:27" x14ac:dyDescent="0.3">
      <c r="A32" s="2">
        <v>45633</v>
      </c>
      <c r="B32" t="s">
        <v>2</v>
      </c>
      <c r="C32" t="s">
        <v>10</v>
      </c>
      <c r="D32">
        <v>12</v>
      </c>
      <c r="E32">
        <v>306.29000000000002</v>
      </c>
      <c r="F32" t="s">
        <v>15</v>
      </c>
      <c r="G32" t="s">
        <v>17</v>
      </c>
      <c r="H32">
        <v>0</v>
      </c>
      <c r="I32" t="s">
        <v>20</v>
      </c>
      <c r="J32">
        <v>3675.48</v>
      </c>
      <c r="K32" t="s">
        <v>27</v>
      </c>
      <c r="L32" t="s">
        <v>30</v>
      </c>
      <c r="M32">
        <v>0</v>
      </c>
      <c r="N32" t="s">
        <v>105</v>
      </c>
      <c r="O32" t="s">
        <v>1605</v>
      </c>
      <c r="P32">
        <v>37.380000000000003</v>
      </c>
      <c r="Q32">
        <f t="shared" si="0"/>
        <v>306.29000000000002</v>
      </c>
      <c r="R32">
        <v>3638.1</v>
      </c>
      <c r="S32" s="2">
        <v>45633</v>
      </c>
      <c r="T32" s="2">
        <v>45640</v>
      </c>
      <c r="U32" t="s">
        <v>35</v>
      </c>
      <c r="V32">
        <v>7</v>
      </c>
      <c r="W32">
        <v>12</v>
      </c>
      <c r="X32" t="s">
        <v>39</v>
      </c>
      <c r="Y32">
        <v>2024</v>
      </c>
      <c r="Z32">
        <v>4</v>
      </c>
      <c r="AA32">
        <v>49</v>
      </c>
    </row>
    <row r="33" spans="1:27" x14ac:dyDescent="0.3">
      <c r="A33" s="2">
        <v>45335</v>
      </c>
      <c r="B33" t="s">
        <v>2</v>
      </c>
      <c r="C33" t="s">
        <v>6</v>
      </c>
      <c r="D33">
        <v>7</v>
      </c>
      <c r="E33">
        <v>434.77</v>
      </c>
      <c r="F33" t="s">
        <v>14</v>
      </c>
      <c r="G33" t="s">
        <v>17</v>
      </c>
      <c r="H33">
        <v>0.15</v>
      </c>
      <c r="I33" t="s">
        <v>20</v>
      </c>
      <c r="J33">
        <v>2586.8815</v>
      </c>
      <c r="K33" t="s">
        <v>24</v>
      </c>
      <c r="L33" t="s">
        <v>30</v>
      </c>
      <c r="M33">
        <v>0</v>
      </c>
      <c r="N33" t="s">
        <v>106</v>
      </c>
      <c r="O33" t="s">
        <v>1606</v>
      </c>
      <c r="P33">
        <v>12.35</v>
      </c>
      <c r="Q33">
        <f t="shared" si="0"/>
        <v>369.55450000000002</v>
      </c>
      <c r="R33">
        <v>2574.5315000000001</v>
      </c>
      <c r="S33" s="2">
        <v>45335</v>
      </c>
      <c r="T33" s="2">
        <v>45337</v>
      </c>
      <c r="U33" t="s">
        <v>35</v>
      </c>
      <c r="V33">
        <v>13</v>
      </c>
      <c r="W33">
        <v>2</v>
      </c>
      <c r="X33" t="s">
        <v>38</v>
      </c>
      <c r="Y33">
        <v>2024</v>
      </c>
      <c r="Z33">
        <v>1</v>
      </c>
      <c r="AA33">
        <v>7</v>
      </c>
    </row>
    <row r="34" spans="1:27" x14ac:dyDescent="0.3">
      <c r="A34" s="2">
        <v>45725</v>
      </c>
      <c r="B34" t="s">
        <v>1</v>
      </c>
      <c r="C34" t="s">
        <v>7</v>
      </c>
      <c r="D34">
        <v>6</v>
      </c>
      <c r="E34">
        <v>64.98</v>
      </c>
      <c r="F34" t="s">
        <v>14</v>
      </c>
      <c r="G34" t="s">
        <v>17</v>
      </c>
      <c r="H34">
        <v>0</v>
      </c>
      <c r="I34" t="s">
        <v>21</v>
      </c>
      <c r="J34">
        <v>389.88</v>
      </c>
      <c r="K34" t="s">
        <v>27</v>
      </c>
      <c r="L34" t="s">
        <v>31</v>
      </c>
      <c r="M34">
        <v>0</v>
      </c>
      <c r="N34" t="s">
        <v>107</v>
      </c>
      <c r="O34" t="s">
        <v>1607</v>
      </c>
      <c r="P34">
        <v>21.25</v>
      </c>
      <c r="Q34">
        <f t="shared" si="0"/>
        <v>64.98</v>
      </c>
      <c r="R34">
        <v>368.63</v>
      </c>
      <c r="S34" s="2">
        <v>45725</v>
      </c>
      <c r="T34" s="2">
        <v>45731</v>
      </c>
      <c r="U34" t="s">
        <v>34</v>
      </c>
      <c r="V34">
        <v>9</v>
      </c>
      <c r="W34">
        <v>3</v>
      </c>
      <c r="X34" t="s">
        <v>44</v>
      </c>
      <c r="Y34">
        <v>2025</v>
      </c>
      <c r="Z34">
        <v>1</v>
      </c>
      <c r="AA34">
        <v>10</v>
      </c>
    </row>
    <row r="35" spans="1:27" x14ac:dyDescent="0.3">
      <c r="A35" s="2">
        <v>45021</v>
      </c>
      <c r="B35" t="s">
        <v>3</v>
      </c>
      <c r="C35" t="s">
        <v>7</v>
      </c>
      <c r="D35">
        <v>17</v>
      </c>
      <c r="E35">
        <v>476.49</v>
      </c>
      <c r="F35" t="s">
        <v>15</v>
      </c>
      <c r="G35" t="s">
        <v>17</v>
      </c>
      <c r="H35">
        <v>0</v>
      </c>
      <c r="I35" t="s">
        <v>19</v>
      </c>
      <c r="J35">
        <v>8100.33</v>
      </c>
      <c r="K35" t="s">
        <v>25</v>
      </c>
      <c r="L35" t="s">
        <v>32</v>
      </c>
      <c r="M35">
        <v>0</v>
      </c>
      <c r="N35" t="s">
        <v>108</v>
      </c>
      <c r="O35" t="s">
        <v>1608</v>
      </c>
      <c r="P35">
        <v>17.91</v>
      </c>
      <c r="Q35">
        <f t="shared" si="0"/>
        <v>476.49</v>
      </c>
      <c r="R35">
        <v>8082.42</v>
      </c>
      <c r="S35" s="2">
        <v>45021</v>
      </c>
      <c r="T35" s="2">
        <v>45027</v>
      </c>
      <c r="U35" t="s">
        <v>36</v>
      </c>
      <c r="V35">
        <v>5</v>
      </c>
      <c r="W35">
        <v>4</v>
      </c>
      <c r="X35" t="s">
        <v>45</v>
      </c>
      <c r="Y35">
        <v>2023</v>
      </c>
      <c r="Z35">
        <v>2</v>
      </c>
      <c r="AA35">
        <v>14</v>
      </c>
    </row>
    <row r="36" spans="1:27" x14ac:dyDescent="0.3">
      <c r="A36" s="2">
        <v>45785</v>
      </c>
      <c r="B36" t="s">
        <v>2</v>
      </c>
      <c r="C36" t="s">
        <v>9</v>
      </c>
      <c r="D36">
        <v>4</v>
      </c>
      <c r="E36">
        <v>559.72</v>
      </c>
      <c r="F36" t="s">
        <v>15</v>
      </c>
      <c r="G36" t="s">
        <v>17</v>
      </c>
      <c r="H36">
        <v>0.15</v>
      </c>
      <c r="I36" t="s">
        <v>22</v>
      </c>
      <c r="J36">
        <v>1903.048</v>
      </c>
      <c r="K36" t="s">
        <v>24</v>
      </c>
      <c r="L36" t="s">
        <v>30</v>
      </c>
      <c r="M36">
        <v>0</v>
      </c>
      <c r="N36" t="s">
        <v>109</v>
      </c>
      <c r="O36" t="s">
        <v>1609</v>
      </c>
      <c r="P36">
        <v>41.91</v>
      </c>
      <c r="Q36">
        <f t="shared" si="0"/>
        <v>475.762</v>
      </c>
      <c r="R36">
        <v>1861.1379999999999</v>
      </c>
      <c r="S36" s="2">
        <v>45785</v>
      </c>
      <c r="T36" s="2">
        <v>45789</v>
      </c>
      <c r="U36" t="s">
        <v>35</v>
      </c>
      <c r="V36">
        <v>8</v>
      </c>
      <c r="W36">
        <v>5</v>
      </c>
      <c r="X36" t="s">
        <v>40</v>
      </c>
      <c r="Y36">
        <v>2025</v>
      </c>
      <c r="Z36">
        <v>2</v>
      </c>
      <c r="AA36">
        <v>19</v>
      </c>
    </row>
    <row r="37" spans="1:27" x14ac:dyDescent="0.3">
      <c r="A37" s="2">
        <v>45172</v>
      </c>
      <c r="B37" t="s">
        <v>2</v>
      </c>
      <c r="C37" t="s">
        <v>10</v>
      </c>
      <c r="D37">
        <v>14</v>
      </c>
      <c r="E37">
        <v>82.14</v>
      </c>
      <c r="F37" t="s">
        <v>14</v>
      </c>
      <c r="G37" t="s">
        <v>17</v>
      </c>
      <c r="H37">
        <v>0</v>
      </c>
      <c r="I37" t="s">
        <v>19</v>
      </c>
      <c r="J37">
        <v>1149.96</v>
      </c>
      <c r="K37" t="s">
        <v>26</v>
      </c>
      <c r="L37" t="s">
        <v>32</v>
      </c>
      <c r="M37">
        <v>0</v>
      </c>
      <c r="N37" t="s">
        <v>110</v>
      </c>
      <c r="O37" t="s">
        <v>1610</v>
      </c>
      <c r="P37">
        <v>12.57</v>
      </c>
      <c r="Q37">
        <f t="shared" si="0"/>
        <v>82.14</v>
      </c>
      <c r="R37">
        <v>1137.3900000000001</v>
      </c>
      <c r="S37" s="2">
        <v>45172</v>
      </c>
      <c r="T37" s="2">
        <v>45180</v>
      </c>
      <c r="U37" t="s">
        <v>35</v>
      </c>
      <c r="V37">
        <v>3</v>
      </c>
      <c r="W37">
        <v>9</v>
      </c>
      <c r="X37" t="s">
        <v>49</v>
      </c>
      <c r="Y37">
        <v>2023</v>
      </c>
      <c r="Z37">
        <v>3</v>
      </c>
      <c r="AA37">
        <v>35</v>
      </c>
    </row>
    <row r="38" spans="1:27" x14ac:dyDescent="0.3">
      <c r="A38" s="2">
        <v>45737</v>
      </c>
      <c r="B38" t="s">
        <v>3</v>
      </c>
      <c r="C38" t="s">
        <v>8</v>
      </c>
      <c r="D38">
        <v>9</v>
      </c>
      <c r="E38">
        <v>343.21</v>
      </c>
      <c r="F38" t="s">
        <v>13</v>
      </c>
      <c r="G38" t="s">
        <v>17</v>
      </c>
      <c r="H38">
        <v>0.05</v>
      </c>
      <c r="I38" t="s">
        <v>21</v>
      </c>
      <c r="J38">
        <v>2934.4454999999998</v>
      </c>
      <c r="K38" t="s">
        <v>27</v>
      </c>
      <c r="L38" t="s">
        <v>29</v>
      </c>
      <c r="M38">
        <v>0</v>
      </c>
      <c r="N38" t="s">
        <v>111</v>
      </c>
      <c r="O38" t="s">
        <v>1611</v>
      </c>
      <c r="P38">
        <v>40.29</v>
      </c>
      <c r="Q38">
        <f t="shared" si="0"/>
        <v>326.04949999999997</v>
      </c>
      <c r="R38">
        <v>2894.1554999999998</v>
      </c>
      <c r="S38" s="2">
        <v>45737</v>
      </c>
      <c r="T38" s="2">
        <v>45744</v>
      </c>
      <c r="U38" t="s">
        <v>36</v>
      </c>
      <c r="V38">
        <v>21</v>
      </c>
      <c r="W38">
        <v>3</v>
      </c>
      <c r="X38" t="s">
        <v>44</v>
      </c>
      <c r="Y38">
        <v>2025</v>
      </c>
      <c r="Z38">
        <v>1</v>
      </c>
      <c r="AA38">
        <v>12</v>
      </c>
    </row>
    <row r="39" spans="1:27" x14ac:dyDescent="0.3">
      <c r="A39" s="2">
        <v>45828</v>
      </c>
      <c r="B39" t="s">
        <v>1</v>
      </c>
      <c r="C39" t="s">
        <v>8</v>
      </c>
      <c r="D39">
        <v>7</v>
      </c>
      <c r="E39">
        <v>301.01</v>
      </c>
      <c r="F39" t="s">
        <v>12</v>
      </c>
      <c r="G39" t="s">
        <v>17</v>
      </c>
      <c r="H39">
        <v>0.15</v>
      </c>
      <c r="I39" t="s">
        <v>22</v>
      </c>
      <c r="J39">
        <v>1791.0094999999999</v>
      </c>
      <c r="K39" t="s">
        <v>28</v>
      </c>
      <c r="L39" t="s">
        <v>30</v>
      </c>
      <c r="M39">
        <v>1</v>
      </c>
      <c r="N39" t="s">
        <v>112</v>
      </c>
      <c r="O39" t="s">
        <v>1612</v>
      </c>
      <c r="P39">
        <v>34.97</v>
      </c>
      <c r="Q39">
        <f t="shared" si="0"/>
        <v>255.85849999999999</v>
      </c>
      <c r="R39">
        <v>1756.0394999999999</v>
      </c>
      <c r="S39" s="2">
        <v>45828</v>
      </c>
      <c r="T39" s="2">
        <v>45838</v>
      </c>
      <c r="U39" t="s">
        <v>34</v>
      </c>
      <c r="V39">
        <v>20</v>
      </c>
      <c r="W39">
        <v>6</v>
      </c>
      <c r="X39" t="s">
        <v>41</v>
      </c>
      <c r="Y39">
        <v>2025</v>
      </c>
      <c r="Z39">
        <v>2</v>
      </c>
      <c r="AA39">
        <v>25</v>
      </c>
    </row>
    <row r="40" spans="1:27" x14ac:dyDescent="0.3">
      <c r="A40" s="2">
        <v>45337</v>
      </c>
      <c r="B40" t="s">
        <v>3</v>
      </c>
      <c r="C40" t="s">
        <v>11</v>
      </c>
      <c r="D40">
        <v>14</v>
      </c>
      <c r="E40">
        <v>428.13</v>
      </c>
      <c r="F40" t="s">
        <v>14</v>
      </c>
      <c r="G40" t="s">
        <v>17</v>
      </c>
      <c r="H40">
        <v>0.1</v>
      </c>
      <c r="I40" t="s">
        <v>23</v>
      </c>
      <c r="J40">
        <v>5394.4380000000001</v>
      </c>
      <c r="K40" t="s">
        <v>28</v>
      </c>
      <c r="L40" t="s">
        <v>32</v>
      </c>
      <c r="M40">
        <v>1</v>
      </c>
      <c r="N40" t="s">
        <v>113</v>
      </c>
      <c r="O40" t="s">
        <v>1613</v>
      </c>
      <c r="P40">
        <v>24.77</v>
      </c>
      <c r="Q40">
        <f t="shared" si="0"/>
        <v>385.31700000000001</v>
      </c>
      <c r="R40">
        <v>5369.6679999999997</v>
      </c>
      <c r="S40" s="2">
        <v>45337</v>
      </c>
      <c r="T40" s="2">
        <v>45347</v>
      </c>
      <c r="U40" t="s">
        <v>36</v>
      </c>
      <c r="V40">
        <v>15</v>
      </c>
      <c r="W40">
        <v>2</v>
      </c>
      <c r="X40" t="s">
        <v>38</v>
      </c>
      <c r="Y40">
        <v>2024</v>
      </c>
      <c r="Z40">
        <v>1</v>
      </c>
      <c r="AA40">
        <v>7</v>
      </c>
    </row>
    <row r="41" spans="1:27" x14ac:dyDescent="0.3">
      <c r="A41" s="2">
        <v>45086</v>
      </c>
      <c r="B41" t="s">
        <v>3</v>
      </c>
      <c r="C41" t="s">
        <v>5</v>
      </c>
      <c r="D41">
        <v>2</v>
      </c>
      <c r="E41">
        <v>503.28</v>
      </c>
      <c r="F41" t="s">
        <v>15</v>
      </c>
      <c r="G41" t="s">
        <v>17</v>
      </c>
      <c r="H41">
        <v>0.15</v>
      </c>
      <c r="I41" t="s">
        <v>19</v>
      </c>
      <c r="J41">
        <v>855.57599999999991</v>
      </c>
      <c r="K41" t="s">
        <v>25</v>
      </c>
      <c r="L41" t="s">
        <v>32</v>
      </c>
      <c r="M41">
        <v>0</v>
      </c>
      <c r="N41" t="s">
        <v>114</v>
      </c>
      <c r="O41" t="s">
        <v>1614</v>
      </c>
      <c r="P41">
        <v>34.79</v>
      </c>
      <c r="Q41">
        <f t="shared" si="0"/>
        <v>427.78799999999995</v>
      </c>
      <c r="R41">
        <v>820.78599999999994</v>
      </c>
      <c r="S41" s="2">
        <v>45086</v>
      </c>
      <c r="T41" s="2">
        <v>45094</v>
      </c>
      <c r="U41" t="s">
        <v>36</v>
      </c>
      <c r="V41">
        <v>9</v>
      </c>
      <c r="W41">
        <v>6</v>
      </c>
      <c r="X41" t="s">
        <v>41</v>
      </c>
      <c r="Y41">
        <v>2023</v>
      </c>
      <c r="Z41">
        <v>2</v>
      </c>
      <c r="AA41">
        <v>23</v>
      </c>
    </row>
    <row r="42" spans="1:27" x14ac:dyDescent="0.3">
      <c r="A42" s="2">
        <v>45148</v>
      </c>
      <c r="B42" t="s">
        <v>1</v>
      </c>
      <c r="C42" t="s">
        <v>11</v>
      </c>
      <c r="D42">
        <v>5</v>
      </c>
      <c r="E42">
        <v>470.32</v>
      </c>
      <c r="F42" t="s">
        <v>13</v>
      </c>
      <c r="G42" t="s">
        <v>17</v>
      </c>
      <c r="H42">
        <v>0.1</v>
      </c>
      <c r="I42" t="s">
        <v>18</v>
      </c>
      <c r="J42">
        <v>2116.44</v>
      </c>
      <c r="K42" t="s">
        <v>27</v>
      </c>
      <c r="L42" t="s">
        <v>30</v>
      </c>
      <c r="M42">
        <v>0</v>
      </c>
      <c r="N42" t="s">
        <v>115</v>
      </c>
      <c r="O42" t="s">
        <v>1615</v>
      </c>
      <c r="P42">
        <v>17.77</v>
      </c>
      <c r="Q42">
        <f t="shared" si="0"/>
        <v>423.28800000000001</v>
      </c>
      <c r="R42">
        <v>2098.67</v>
      </c>
      <c r="S42" s="2">
        <v>45148</v>
      </c>
      <c r="T42" s="2">
        <v>45152</v>
      </c>
      <c r="U42" t="s">
        <v>34</v>
      </c>
      <c r="V42">
        <v>10</v>
      </c>
      <c r="W42">
        <v>8</v>
      </c>
      <c r="X42" t="s">
        <v>48</v>
      </c>
      <c r="Y42">
        <v>2023</v>
      </c>
      <c r="Z42">
        <v>3</v>
      </c>
      <c r="AA42">
        <v>32</v>
      </c>
    </row>
    <row r="43" spans="1:27" x14ac:dyDescent="0.3">
      <c r="A43" s="2">
        <v>45459</v>
      </c>
      <c r="B43" t="s">
        <v>3</v>
      </c>
      <c r="C43" t="s">
        <v>11</v>
      </c>
      <c r="D43">
        <v>20</v>
      </c>
      <c r="E43">
        <v>65.17</v>
      </c>
      <c r="F43" t="s">
        <v>14</v>
      </c>
      <c r="G43" t="s">
        <v>16</v>
      </c>
      <c r="H43">
        <v>0.05</v>
      </c>
      <c r="I43" t="s">
        <v>18</v>
      </c>
      <c r="J43">
        <v>1238.23</v>
      </c>
      <c r="K43" t="s">
        <v>25</v>
      </c>
      <c r="L43" t="s">
        <v>29</v>
      </c>
      <c r="M43">
        <v>0</v>
      </c>
      <c r="N43" t="s">
        <v>116</v>
      </c>
      <c r="O43" t="s">
        <v>1616</v>
      </c>
      <c r="P43">
        <v>21.72</v>
      </c>
      <c r="Q43">
        <f t="shared" si="0"/>
        <v>61.911500000000004</v>
      </c>
      <c r="R43">
        <v>1216.51</v>
      </c>
      <c r="S43" s="2">
        <v>45459</v>
      </c>
      <c r="T43" s="2">
        <v>45468</v>
      </c>
      <c r="U43" t="s">
        <v>36</v>
      </c>
      <c r="V43">
        <v>16</v>
      </c>
      <c r="W43">
        <v>6</v>
      </c>
      <c r="X43" t="s">
        <v>41</v>
      </c>
      <c r="Y43">
        <v>2024</v>
      </c>
      <c r="Z43">
        <v>2</v>
      </c>
      <c r="AA43">
        <v>24</v>
      </c>
    </row>
    <row r="44" spans="1:27" x14ac:dyDescent="0.3">
      <c r="A44" s="2">
        <v>45130</v>
      </c>
      <c r="B44" t="s">
        <v>1</v>
      </c>
      <c r="C44" t="s">
        <v>5</v>
      </c>
      <c r="D44">
        <v>12</v>
      </c>
      <c r="E44">
        <v>36.17</v>
      </c>
      <c r="F44" t="s">
        <v>13</v>
      </c>
      <c r="G44" t="s">
        <v>17</v>
      </c>
      <c r="H44">
        <v>0</v>
      </c>
      <c r="I44" t="s">
        <v>18</v>
      </c>
      <c r="J44">
        <v>434.04</v>
      </c>
      <c r="K44" t="s">
        <v>24</v>
      </c>
      <c r="L44" t="s">
        <v>31</v>
      </c>
      <c r="M44">
        <v>0</v>
      </c>
      <c r="N44" t="s">
        <v>117</v>
      </c>
      <c r="O44" t="s">
        <v>1617</v>
      </c>
      <c r="P44">
        <v>34.85</v>
      </c>
      <c r="Q44">
        <f t="shared" si="0"/>
        <v>36.17</v>
      </c>
      <c r="R44">
        <v>399.19</v>
      </c>
      <c r="S44" s="2">
        <v>45130</v>
      </c>
      <c r="T44" s="2">
        <v>45133</v>
      </c>
      <c r="U44" t="s">
        <v>34</v>
      </c>
      <c r="V44">
        <v>23</v>
      </c>
      <c r="W44">
        <v>7</v>
      </c>
      <c r="X44" t="s">
        <v>46</v>
      </c>
      <c r="Y44">
        <v>2023</v>
      </c>
      <c r="Z44">
        <v>3</v>
      </c>
      <c r="AA44">
        <v>29</v>
      </c>
    </row>
    <row r="45" spans="1:27" x14ac:dyDescent="0.3">
      <c r="A45" s="2">
        <v>45066</v>
      </c>
      <c r="B45" t="s">
        <v>3</v>
      </c>
      <c r="C45" t="s">
        <v>11</v>
      </c>
      <c r="D45">
        <v>4</v>
      </c>
      <c r="E45">
        <v>459.31</v>
      </c>
      <c r="F45" t="s">
        <v>15</v>
      </c>
      <c r="G45" t="s">
        <v>16</v>
      </c>
      <c r="H45">
        <v>0.15</v>
      </c>
      <c r="I45" t="s">
        <v>21</v>
      </c>
      <c r="J45">
        <v>1561.654</v>
      </c>
      <c r="K45" t="s">
        <v>25</v>
      </c>
      <c r="L45" t="s">
        <v>31</v>
      </c>
      <c r="M45">
        <v>1</v>
      </c>
      <c r="N45" t="s">
        <v>118</v>
      </c>
      <c r="O45" t="s">
        <v>1618</v>
      </c>
      <c r="P45">
        <v>27.39</v>
      </c>
      <c r="Q45">
        <f t="shared" si="0"/>
        <v>390.4135</v>
      </c>
      <c r="R45">
        <v>1534.2639999999999</v>
      </c>
      <c r="S45" s="2">
        <v>45066</v>
      </c>
      <c r="T45" s="2">
        <v>45073</v>
      </c>
      <c r="U45" t="s">
        <v>36</v>
      </c>
      <c r="V45">
        <v>20</v>
      </c>
      <c r="W45">
        <v>5</v>
      </c>
      <c r="X45" t="s">
        <v>40</v>
      </c>
      <c r="Y45">
        <v>2023</v>
      </c>
      <c r="Z45">
        <v>2</v>
      </c>
      <c r="AA45">
        <v>20</v>
      </c>
    </row>
    <row r="46" spans="1:27" x14ac:dyDescent="0.3">
      <c r="A46" s="2">
        <v>45107</v>
      </c>
      <c r="B46" t="s">
        <v>1</v>
      </c>
      <c r="C46" t="s">
        <v>5</v>
      </c>
      <c r="D46">
        <v>2</v>
      </c>
      <c r="E46">
        <v>416.06</v>
      </c>
      <c r="F46" t="s">
        <v>15</v>
      </c>
      <c r="G46" t="s">
        <v>17</v>
      </c>
      <c r="H46">
        <v>0.05</v>
      </c>
      <c r="I46" t="s">
        <v>18</v>
      </c>
      <c r="J46">
        <v>790.51400000000001</v>
      </c>
      <c r="K46" t="s">
        <v>27</v>
      </c>
      <c r="L46" t="s">
        <v>30</v>
      </c>
      <c r="M46">
        <v>0</v>
      </c>
      <c r="N46" t="s">
        <v>119</v>
      </c>
      <c r="O46" t="s">
        <v>1619</v>
      </c>
      <c r="P46">
        <v>11.62</v>
      </c>
      <c r="Q46">
        <f t="shared" si="0"/>
        <v>395.25700000000001</v>
      </c>
      <c r="R46">
        <v>778.89400000000001</v>
      </c>
      <c r="S46" s="2">
        <v>45107</v>
      </c>
      <c r="T46" s="2">
        <v>45111</v>
      </c>
      <c r="U46" t="s">
        <v>34</v>
      </c>
      <c r="V46">
        <v>30</v>
      </c>
      <c r="W46">
        <v>6</v>
      </c>
      <c r="X46" t="s">
        <v>41</v>
      </c>
      <c r="Y46">
        <v>2023</v>
      </c>
      <c r="Z46">
        <v>2</v>
      </c>
      <c r="AA46">
        <v>26</v>
      </c>
    </row>
    <row r="47" spans="1:27" x14ac:dyDescent="0.3">
      <c r="A47" s="2">
        <v>45447</v>
      </c>
      <c r="B47" t="s">
        <v>1</v>
      </c>
      <c r="C47" t="s">
        <v>10</v>
      </c>
      <c r="D47">
        <v>16</v>
      </c>
      <c r="E47">
        <v>302.58</v>
      </c>
      <c r="F47" t="s">
        <v>15</v>
      </c>
      <c r="G47" t="s">
        <v>17</v>
      </c>
      <c r="H47">
        <v>0</v>
      </c>
      <c r="I47" t="s">
        <v>19</v>
      </c>
      <c r="J47">
        <v>4841.28</v>
      </c>
      <c r="K47" t="s">
        <v>24</v>
      </c>
      <c r="L47" t="s">
        <v>31</v>
      </c>
      <c r="M47">
        <v>1</v>
      </c>
      <c r="N47" t="s">
        <v>120</v>
      </c>
      <c r="O47" t="s">
        <v>1620</v>
      </c>
      <c r="P47">
        <v>20.76</v>
      </c>
      <c r="Q47">
        <f t="shared" si="0"/>
        <v>302.58</v>
      </c>
      <c r="R47">
        <v>4820.5199999999995</v>
      </c>
      <c r="S47" s="2">
        <v>45447</v>
      </c>
      <c r="T47" s="2">
        <v>45457</v>
      </c>
      <c r="U47" t="s">
        <v>34</v>
      </c>
      <c r="V47">
        <v>4</v>
      </c>
      <c r="W47">
        <v>6</v>
      </c>
      <c r="X47" t="s">
        <v>41</v>
      </c>
      <c r="Y47">
        <v>2024</v>
      </c>
      <c r="Z47">
        <v>2</v>
      </c>
      <c r="AA47">
        <v>23</v>
      </c>
    </row>
    <row r="48" spans="1:27" x14ac:dyDescent="0.3">
      <c r="A48" s="2">
        <v>45691</v>
      </c>
      <c r="B48" t="s">
        <v>4</v>
      </c>
      <c r="C48" t="s">
        <v>8</v>
      </c>
      <c r="D48">
        <v>11</v>
      </c>
      <c r="E48">
        <v>33.130000000000003</v>
      </c>
      <c r="F48" t="s">
        <v>13</v>
      </c>
      <c r="G48" t="s">
        <v>17</v>
      </c>
      <c r="H48">
        <v>0.15</v>
      </c>
      <c r="I48" t="s">
        <v>20</v>
      </c>
      <c r="J48">
        <v>309.76549999999997</v>
      </c>
      <c r="K48" t="s">
        <v>24</v>
      </c>
      <c r="L48" t="s">
        <v>29</v>
      </c>
      <c r="M48">
        <v>0</v>
      </c>
      <c r="N48" t="s">
        <v>121</v>
      </c>
      <c r="O48" t="s">
        <v>1621</v>
      </c>
      <c r="P48">
        <v>24.95</v>
      </c>
      <c r="Q48">
        <f t="shared" si="0"/>
        <v>28.160499999999999</v>
      </c>
      <c r="R48">
        <v>284.81549999999999</v>
      </c>
      <c r="S48" s="2">
        <v>45691</v>
      </c>
      <c r="T48" s="2">
        <v>45693</v>
      </c>
      <c r="U48" t="s">
        <v>37</v>
      </c>
      <c r="V48">
        <v>3</v>
      </c>
      <c r="W48">
        <v>2</v>
      </c>
      <c r="X48" t="s">
        <v>38</v>
      </c>
      <c r="Y48">
        <v>2025</v>
      </c>
      <c r="Z48">
        <v>1</v>
      </c>
      <c r="AA48">
        <v>6</v>
      </c>
    </row>
    <row r="49" spans="1:27" x14ac:dyDescent="0.3">
      <c r="A49" s="2">
        <v>45300</v>
      </c>
      <c r="B49" t="s">
        <v>0</v>
      </c>
      <c r="C49" t="s">
        <v>10</v>
      </c>
      <c r="D49">
        <v>8</v>
      </c>
      <c r="E49">
        <v>582.52</v>
      </c>
      <c r="F49" t="s">
        <v>15</v>
      </c>
      <c r="G49" t="s">
        <v>17</v>
      </c>
      <c r="H49">
        <v>0.15</v>
      </c>
      <c r="I49" t="s">
        <v>20</v>
      </c>
      <c r="J49">
        <v>3961.136</v>
      </c>
      <c r="K49" t="s">
        <v>25</v>
      </c>
      <c r="L49" t="s">
        <v>31</v>
      </c>
      <c r="M49">
        <v>0</v>
      </c>
      <c r="N49" t="s">
        <v>122</v>
      </c>
      <c r="O49" t="s">
        <v>1622</v>
      </c>
      <c r="P49">
        <v>6.47</v>
      </c>
      <c r="Q49">
        <f t="shared" si="0"/>
        <v>495.142</v>
      </c>
      <c r="R49">
        <v>3954.6660000000002</v>
      </c>
      <c r="S49" s="2">
        <v>45300</v>
      </c>
      <c r="T49" s="2">
        <v>45304</v>
      </c>
      <c r="U49" t="s">
        <v>33</v>
      </c>
      <c r="V49">
        <v>9</v>
      </c>
      <c r="W49">
        <v>1</v>
      </c>
      <c r="X49" t="s">
        <v>42</v>
      </c>
      <c r="Y49">
        <v>2024</v>
      </c>
      <c r="Z49">
        <v>1</v>
      </c>
      <c r="AA49">
        <v>2</v>
      </c>
    </row>
    <row r="50" spans="1:27" x14ac:dyDescent="0.3">
      <c r="A50" s="2">
        <v>45365</v>
      </c>
      <c r="B50" t="s">
        <v>2</v>
      </c>
      <c r="C50" t="s">
        <v>7</v>
      </c>
      <c r="D50">
        <v>5</v>
      </c>
      <c r="E50">
        <v>165.15</v>
      </c>
      <c r="F50" t="s">
        <v>13</v>
      </c>
      <c r="G50" t="s">
        <v>17</v>
      </c>
      <c r="H50">
        <v>0.1</v>
      </c>
      <c r="I50" t="s">
        <v>18</v>
      </c>
      <c r="J50">
        <v>743.17500000000007</v>
      </c>
      <c r="K50" t="s">
        <v>25</v>
      </c>
      <c r="L50" t="s">
        <v>32</v>
      </c>
      <c r="M50">
        <v>0</v>
      </c>
      <c r="N50" t="s">
        <v>123</v>
      </c>
      <c r="O50" t="s">
        <v>1623</v>
      </c>
      <c r="P50">
        <v>20.57</v>
      </c>
      <c r="Q50">
        <f t="shared" si="0"/>
        <v>148.63500000000002</v>
      </c>
      <c r="R50">
        <v>722.60500000000002</v>
      </c>
      <c r="S50" s="2">
        <v>45365</v>
      </c>
      <c r="T50" s="2">
        <v>45367</v>
      </c>
      <c r="U50" t="s">
        <v>35</v>
      </c>
      <c r="V50">
        <v>14</v>
      </c>
      <c r="W50">
        <v>3</v>
      </c>
      <c r="X50" t="s">
        <v>44</v>
      </c>
      <c r="Y50">
        <v>2024</v>
      </c>
      <c r="Z50">
        <v>1</v>
      </c>
      <c r="AA50">
        <v>11</v>
      </c>
    </row>
    <row r="51" spans="1:27" x14ac:dyDescent="0.3">
      <c r="A51" s="2">
        <v>45541</v>
      </c>
      <c r="B51" t="s">
        <v>4</v>
      </c>
      <c r="C51" t="s">
        <v>9</v>
      </c>
      <c r="D51">
        <v>14</v>
      </c>
      <c r="E51">
        <v>242.82</v>
      </c>
      <c r="F51" t="s">
        <v>15</v>
      </c>
      <c r="G51" t="s">
        <v>16</v>
      </c>
      <c r="H51">
        <v>0.15</v>
      </c>
      <c r="I51" t="s">
        <v>19</v>
      </c>
      <c r="J51">
        <v>2889.558</v>
      </c>
      <c r="K51" t="s">
        <v>28</v>
      </c>
      <c r="L51" t="s">
        <v>31</v>
      </c>
      <c r="M51">
        <v>1</v>
      </c>
      <c r="N51" t="s">
        <v>124</v>
      </c>
      <c r="O51" t="s">
        <v>1624</v>
      </c>
      <c r="P51">
        <v>20.71</v>
      </c>
      <c r="Q51">
        <f t="shared" si="0"/>
        <v>206.39699999999999</v>
      </c>
      <c r="R51">
        <v>2868.848</v>
      </c>
      <c r="S51" s="2">
        <v>45541</v>
      </c>
      <c r="T51" s="2">
        <v>45548</v>
      </c>
      <c r="U51" t="s">
        <v>37</v>
      </c>
      <c r="V51">
        <v>6</v>
      </c>
      <c r="W51">
        <v>9</v>
      </c>
      <c r="X51" t="s">
        <v>49</v>
      </c>
      <c r="Y51">
        <v>2024</v>
      </c>
      <c r="Z51">
        <v>3</v>
      </c>
      <c r="AA51">
        <v>36</v>
      </c>
    </row>
    <row r="52" spans="1:27" x14ac:dyDescent="0.3">
      <c r="A52" s="2">
        <v>45002</v>
      </c>
      <c r="B52" t="s">
        <v>0</v>
      </c>
      <c r="C52" t="s">
        <v>9</v>
      </c>
      <c r="D52">
        <v>13</v>
      </c>
      <c r="E52">
        <v>65.989999999999995</v>
      </c>
      <c r="F52" t="s">
        <v>13</v>
      </c>
      <c r="G52" t="s">
        <v>16</v>
      </c>
      <c r="H52">
        <v>0.1</v>
      </c>
      <c r="I52" t="s">
        <v>20</v>
      </c>
      <c r="J52">
        <v>772.08299999999997</v>
      </c>
      <c r="K52" t="s">
        <v>28</v>
      </c>
      <c r="L52" t="s">
        <v>31</v>
      </c>
      <c r="M52">
        <v>0</v>
      </c>
      <c r="N52" t="s">
        <v>125</v>
      </c>
      <c r="O52" t="s">
        <v>1625</v>
      </c>
      <c r="P52">
        <v>12.87</v>
      </c>
      <c r="Q52">
        <f t="shared" si="0"/>
        <v>59.390999999999998</v>
      </c>
      <c r="R52">
        <v>759.21299999999997</v>
      </c>
      <c r="S52" s="2">
        <v>45002</v>
      </c>
      <c r="T52" s="2">
        <v>45005</v>
      </c>
      <c r="U52" t="s">
        <v>33</v>
      </c>
      <c r="V52">
        <v>17</v>
      </c>
      <c r="W52">
        <v>3</v>
      </c>
      <c r="X52" t="s">
        <v>44</v>
      </c>
      <c r="Y52">
        <v>2023</v>
      </c>
      <c r="Z52">
        <v>1</v>
      </c>
      <c r="AA52">
        <v>11</v>
      </c>
    </row>
    <row r="53" spans="1:27" x14ac:dyDescent="0.3">
      <c r="A53" s="2">
        <v>45674</v>
      </c>
      <c r="B53" t="s">
        <v>4</v>
      </c>
      <c r="C53" t="s">
        <v>8</v>
      </c>
      <c r="D53">
        <v>2</v>
      </c>
      <c r="E53">
        <v>251.69</v>
      </c>
      <c r="F53" t="s">
        <v>14</v>
      </c>
      <c r="G53" t="s">
        <v>16</v>
      </c>
      <c r="H53">
        <v>0</v>
      </c>
      <c r="I53" t="s">
        <v>19</v>
      </c>
      <c r="J53">
        <v>503.38</v>
      </c>
      <c r="K53" t="s">
        <v>27</v>
      </c>
      <c r="L53" t="s">
        <v>29</v>
      </c>
      <c r="M53">
        <v>0</v>
      </c>
      <c r="N53" t="s">
        <v>126</v>
      </c>
      <c r="O53" t="s">
        <v>1626</v>
      </c>
      <c r="P53">
        <v>42.49</v>
      </c>
      <c r="Q53">
        <f t="shared" si="0"/>
        <v>251.69</v>
      </c>
      <c r="R53">
        <v>460.89</v>
      </c>
      <c r="S53" s="2">
        <v>45674</v>
      </c>
      <c r="T53" s="2">
        <v>45681</v>
      </c>
      <c r="U53" t="s">
        <v>37</v>
      </c>
      <c r="V53">
        <v>17</v>
      </c>
      <c r="W53">
        <v>1</v>
      </c>
      <c r="X53" t="s">
        <v>42</v>
      </c>
      <c r="Y53">
        <v>2025</v>
      </c>
      <c r="Z53">
        <v>1</v>
      </c>
      <c r="AA53">
        <v>3</v>
      </c>
    </row>
    <row r="54" spans="1:27" x14ac:dyDescent="0.3">
      <c r="A54" s="2">
        <v>45547</v>
      </c>
      <c r="B54" t="s">
        <v>1</v>
      </c>
      <c r="C54" t="s">
        <v>5</v>
      </c>
      <c r="D54">
        <v>1</v>
      </c>
      <c r="E54">
        <v>269.41000000000003</v>
      </c>
      <c r="F54" t="s">
        <v>12</v>
      </c>
      <c r="G54" t="s">
        <v>16</v>
      </c>
      <c r="H54">
        <v>0.1</v>
      </c>
      <c r="I54" t="s">
        <v>18</v>
      </c>
      <c r="J54">
        <v>242.46899999999999</v>
      </c>
      <c r="K54" t="s">
        <v>28</v>
      </c>
      <c r="L54" t="s">
        <v>31</v>
      </c>
      <c r="M54">
        <v>1</v>
      </c>
      <c r="N54" t="s">
        <v>127</v>
      </c>
      <c r="O54" t="s">
        <v>1627</v>
      </c>
      <c r="P54">
        <v>19.22</v>
      </c>
      <c r="Q54">
        <f t="shared" si="0"/>
        <v>242.46899999999999</v>
      </c>
      <c r="R54">
        <v>223.249</v>
      </c>
      <c r="S54" s="2">
        <v>45547</v>
      </c>
      <c r="T54" s="2">
        <v>45553</v>
      </c>
      <c r="U54" t="s">
        <v>34</v>
      </c>
      <c r="V54">
        <v>12</v>
      </c>
      <c r="W54">
        <v>9</v>
      </c>
      <c r="X54" t="s">
        <v>49</v>
      </c>
      <c r="Y54">
        <v>2024</v>
      </c>
      <c r="Z54">
        <v>3</v>
      </c>
      <c r="AA54">
        <v>37</v>
      </c>
    </row>
    <row r="55" spans="1:27" x14ac:dyDescent="0.3">
      <c r="A55" s="2">
        <v>45296</v>
      </c>
      <c r="B55" t="s">
        <v>1</v>
      </c>
      <c r="C55" t="s">
        <v>9</v>
      </c>
      <c r="D55">
        <v>2</v>
      </c>
      <c r="E55">
        <v>371.3</v>
      </c>
      <c r="F55" t="s">
        <v>12</v>
      </c>
      <c r="G55" t="s">
        <v>16</v>
      </c>
      <c r="H55">
        <v>0.05</v>
      </c>
      <c r="I55" t="s">
        <v>23</v>
      </c>
      <c r="J55">
        <v>705.47</v>
      </c>
      <c r="K55" t="s">
        <v>26</v>
      </c>
      <c r="L55" t="s">
        <v>30</v>
      </c>
      <c r="M55">
        <v>0</v>
      </c>
      <c r="N55" t="s">
        <v>128</v>
      </c>
      <c r="O55" t="s">
        <v>1628</v>
      </c>
      <c r="P55">
        <v>36.51</v>
      </c>
      <c r="Q55">
        <f t="shared" si="0"/>
        <v>352.73500000000001</v>
      </c>
      <c r="R55">
        <v>668.96</v>
      </c>
      <c r="S55" s="2">
        <v>45296</v>
      </c>
      <c r="T55" s="2">
        <v>45306</v>
      </c>
      <c r="U55" t="s">
        <v>34</v>
      </c>
      <c r="V55">
        <v>5</v>
      </c>
      <c r="W55">
        <v>1</v>
      </c>
      <c r="X55" t="s">
        <v>42</v>
      </c>
      <c r="Y55">
        <v>2024</v>
      </c>
      <c r="Z55">
        <v>1</v>
      </c>
      <c r="AA55">
        <v>1</v>
      </c>
    </row>
    <row r="56" spans="1:27" x14ac:dyDescent="0.3">
      <c r="A56" s="2">
        <v>45401</v>
      </c>
      <c r="B56" t="s">
        <v>4</v>
      </c>
      <c r="C56" t="s">
        <v>10</v>
      </c>
      <c r="D56">
        <v>11</v>
      </c>
      <c r="E56">
        <v>288.24</v>
      </c>
      <c r="F56" t="s">
        <v>13</v>
      </c>
      <c r="G56" t="s">
        <v>16</v>
      </c>
      <c r="H56">
        <v>0.15</v>
      </c>
      <c r="I56" t="s">
        <v>22</v>
      </c>
      <c r="J56">
        <v>2695.0439999999999</v>
      </c>
      <c r="K56" t="s">
        <v>24</v>
      </c>
      <c r="L56" t="s">
        <v>32</v>
      </c>
      <c r="M56">
        <v>0</v>
      </c>
      <c r="N56" t="s">
        <v>129</v>
      </c>
      <c r="O56" t="s">
        <v>1629</v>
      </c>
      <c r="P56">
        <v>37.39</v>
      </c>
      <c r="Q56">
        <f t="shared" si="0"/>
        <v>245.00399999999999</v>
      </c>
      <c r="R56">
        <v>2657.654</v>
      </c>
      <c r="S56" s="2">
        <v>45401</v>
      </c>
      <c r="T56" s="2">
        <v>45407</v>
      </c>
      <c r="U56" t="s">
        <v>37</v>
      </c>
      <c r="V56">
        <v>19</v>
      </c>
      <c r="W56">
        <v>4</v>
      </c>
      <c r="X56" t="s">
        <v>45</v>
      </c>
      <c r="Y56">
        <v>2024</v>
      </c>
      <c r="Z56">
        <v>2</v>
      </c>
      <c r="AA56">
        <v>16</v>
      </c>
    </row>
    <row r="57" spans="1:27" x14ac:dyDescent="0.3">
      <c r="A57" s="2">
        <v>45819</v>
      </c>
      <c r="B57" t="s">
        <v>3</v>
      </c>
      <c r="C57" t="s">
        <v>10</v>
      </c>
      <c r="D57">
        <v>11</v>
      </c>
      <c r="E57">
        <v>232.75</v>
      </c>
      <c r="F57" t="s">
        <v>15</v>
      </c>
      <c r="G57" t="s">
        <v>16</v>
      </c>
      <c r="H57">
        <v>0.05</v>
      </c>
      <c r="I57" t="s">
        <v>18</v>
      </c>
      <c r="J57">
        <v>2432.2375000000002</v>
      </c>
      <c r="K57" t="s">
        <v>26</v>
      </c>
      <c r="L57" t="s">
        <v>30</v>
      </c>
      <c r="M57">
        <v>0</v>
      </c>
      <c r="N57" t="s">
        <v>130</v>
      </c>
      <c r="O57" t="s">
        <v>1630</v>
      </c>
      <c r="P57">
        <v>36.33</v>
      </c>
      <c r="Q57">
        <f t="shared" si="0"/>
        <v>221.11250000000001</v>
      </c>
      <c r="R57">
        <v>2395.9075000000003</v>
      </c>
      <c r="S57" s="2">
        <v>45819</v>
      </c>
      <c r="T57" s="2">
        <v>45829</v>
      </c>
      <c r="U57" t="s">
        <v>36</v>
      </c>
      <c r="V57">
        <v>11</v>
      </c>
      <c r="W57">
        <v>6</v>
      </c>
      <c r="X57" t="s">
        <v>41</v>
      </c>
      <c r="Y57">
        <v>2025</v>
      </c>
      <c r="Z57">
        <v>2</v>
      </c>
      <c r="AA57">
        <v>24</v>
      </c>
    </row>
    <row r="58" spans="1:27" x14ac:dyDescent="0.3">
      <c r="A58" s="2">
        <v>45722</v>
      </c>
      <c r="B58" t="s">
        <v>0</v>
      </c>
      <c r="C58" t="s">
        <v>6</v>
      </c>
      <c r="D58">
        <v>17</v>
      </c>
      <c r="E58">
        <v>146.28</v>
      </c>
      <c r="F58" t="s">
        <v>12</v>
      </c>
      <c r="G58" t="s">
        <v>17</v>
      </c>
      <c r="H58">
        <v>0.15</v>
      </c>
      <c r="I58" t="s">
        <v>21</v>
      </c>
      <c r="J58">
        <v>2113.7460000000001</v>
      </c>
      <c r="K58" t="s">
        <v>28</v>
      </c>
      <c r="L58" t="s">
        <v>30</v>
      </c>
      <c r="M58">
        <v>0</v>
      </c>
      <c r="N58" t="s">
        <v>131</v>
      </c>
      <c r="O58" t="s">
        <v>1631</v>
      </c>
      <c r="P58">
        <v>7.84</v>
      </c>
      <c r="Q58">
        <f t="shared" si="0"/>
        <v>124.33800000000001</v>
      </c>
      <c r="R58">
        <v>2105.9059999999999</v>
      </c>
      <c r="S58" s="2">
        <v>45722</v>
      </c>
      <c r="T58" s="2">
        <v>45731</v>
      </c>
      <c r="U58" t="s">
        <v>33</v>
      </c>
      <c r="V58">
        <v>6</v>
      </c>
      <c r="W58">
        <v>3</v>
      </c>
      <c r="X58" t="s">
        <v>44</v>
      </c>
      <c r="Y58">
        <v>2025</v>
      </c>
      <c r="Z58">
        <v>1</v>
      </c>
      <c r="AA58">
        <v>10</v>
      </c>
    </row>
    <row r="59" spans="1:27" x14ac:dyDescent="0.3">
      <c r="A59" s="2">
        <v>45070</v>
      </c>
      <c r="B59" t="s">
        <v>0</v>
      </c>
      <c r="C59" t="s">
        <v>8</v>
      </c>
      <c r="D59">
        <v>5</v>
      </c>
      <c r="E59">
        <v>100.38</v>
      </c>
      <c r="F59" t="s">
        <v>14</v>
      </c>
      <c r="G59" t="s">
        <v>17</v>
      </c>
      <c r="H59">
        <v>0.1</v>
      </c>
      <c r="I59" t="s">
        <v>18</v>
      </c>
      <c r="J59">
        <v>451.71</v>
      </c>
      <c r="K59" t="s">
        <v>25</v>
      </c>
      <c r="L59" t="s">
        <v>31</v>
      </c>
      <c r="M59">
        <v>1</v>
      </c>
      <c r="N59" t="s">
        <v>132</v>
      </c>
      <c r="O59" t="s">
        <v>1632</v>
      </c>
      <c r="P59">
        <v>18.350000000000001</v>
      </c>
      <c r="Q59">
        <f t="shared" si="0"/>
        <v>90.341999999999999</v>
      </c>
      <c r="R59">
        <v>433.35999999999996</v>
      </c>
      <c r="S59" s="2">
        <v>45070</v>
      </c>
      <c r="T59" s="2">
        <v>45072</v>
      </c>
      <c r="U59" t="s">
        <v>33</v>
      </c>
      <c r="V59">
        <v>24</v>
      </c>
      <c r="W59">
        <v>5</v>
      </c>
      <c r="X59" t="s">
        <v>40</v>
      </c>
      <c r="Y59">
        <v>2023</v>
      </c>
      <c r="Z59">
        <v>2</v>
      </c>
      <c r="AA59">
        <v>21</v>
      </c>
    </row>
    <row r="60" spans="1:27" x14ac:dyDescent="0.3">
      <c r="A60" s="2">
        <v>44953</v>
      </c>
      <c r="B60" t="s">
        <v>1</v>
      </c>
      <c r="C60" t="s">
        <v>6</v>
      </c>
      <c r="D60">
        <v>11</v>
      </c>
      <c r="E60">
        <v>375.48</v>
      </c>
      <c r="F60" t="s">
        <v>12</v>
      </c>
      <c r="G60" t="s">
        <v>17</v>
      </c>
      <c r="H60">
        <v>0.05</v>
      </c>
      <c r="I60" t="s">
        <v>23</v>
      </c>
      <c r="J60">
        <v>3923.766000000001</v>
      </c>
      <c r="K60" t="s">
        <v>27</v>
      </c>
      <c r="L60" t="s">
        <v>31</v>
      </c>
      <c r="M60">
        <v>0</v>
      </c>
      <c r="N60" t="s">
        <v>133</v>
      </c>
      <c r="O60" t="s">
        <v>1633</v>
      </c>
      <c r="P60">
        <v>15.95</v>
      </c>
      <c r="Q60">
        <f t="shared" si="0"/>
        <v>356.70600000000007</v>
      </c>
      <c r="R60">
        <v>3907.8160000000012</v>
      </c>
      <c r="S60" s="2">
        <v>44953</v>
      </c>
      <c r="T60" s="2">
        <v>44960</v>
      </c>
      <c r="U60" t="s">
        <v>34</v>
      </c>
      <c r="V60">
        <v>27</v>
      </c>
      <c r="W60">
        <v>1</v>
      </c>
      <c r="X60" t="s">
        <v>42</v>
      </c>
      <c r="Y60">
        <v>2023</v>
      </c>
      <c r="Z60">
        <v>1</v>
      </c>
      <c r="AA60">
        <v>4</v>
      </c>
    </row>
    <row r="61" spans="1:27" x14ac:dyDescent="0.3">
      <c r="A61" s="2">
        <v>45372</v>
      </c>
      <c r="B61" t="s">
        <v>1</v>
      </c>
      <c r="C61" t="s">
        <v>5</v>
      </c>
      <c r="D61">
        <v>18</v>
      </c>
      <c r="E61">
        <v>316.89</v>
      </c>
      <c r="F61" t="s">
        <v>12</v>
      </c>
      <c r="G61" t="s">
        <v>16</v>
      </c>
      <c r="H61">
        <v>0.05</v>
      </c>
      <c r="I61" t="s">
        <v>23</v>
      </c>
      <c r="J61">
        <v>5418.8190000000004</v>
      </c>
      <c r="K61" t="s">
        <v>28</v>
      </c>
      <c r="L61" t="s">
        <v>29</v>
      </c>
      <c r="M61">
        <v>0</v>
      </c>
      <c r="N61" t="s">
        <v>134</v>
      </c>
      <c r="O61" t="s">
        <v>1634</v>
      </c>
      <c r="P61">
        <v>15.69</v>
      </c>
      <c r="Q61">
        <f t="shared" si="0"/>
        <v>301.0455</v>
      </c>
      <c r="R61">
        <v>5403.1290000000008</v>
      </c>
      <c r="S61" s="2">
        <v>45372</v>
      </c>
      <c r="T61" s="2">
        <v>45378</v>
      </c>
      <c r="U61" t="s">
        <v>34</v>
      </c>
      <c r="V61">
        <v>21</v>
      </c>
      <c r="W61">
        <v>3</v>
      </c>
      <c r="X61" t="s">
        <v>44</v>
      </c>
      <c r="Y61">
        <v>2024</v>
      </c>
      <c r="Z61">
        <v>1</v>
      </c>
      <c r="AA61">
        <v>12</v>
      </c>
    </row>
    <row r="62" spans="1:27" x14ac:dyDescent="0.3">
      <c r="A62" s="2">
        <v>45682</v>
      </c>
      <c r="B62" t="s">
        <v>4</v>
      </c>
      <c r="C62" t="s">
        <v>5</v>
      </c>
      <c r="D62">
        <v>20</v>
      </c>
      <c r="E62">
        <v>295.06</v>
      </c>
      <c r="F62" t="s">
        <v>15</v>
      </c>
      <c r="G62" t="s">
        <v>17</v>
      </c>
      <c r="H62">
        <v>0.15</v>
      </c>
      <c r="I62" t="s">
        <v>20</v>
      </c>
      <c r="J62">
        <v>5016.0200000000004</v>
      </c>
      <c r="K62" t="s">
        <v>24</v>
      </c>
      <c r="L62" t="s">
        <v>30</v>
      </c>
      <c r="M62">
        <v>1</v>
      </c>
      <c r="N62" t="s">
        <v>135</v>
      </c>
      <c r="O62" t="s">
        <v>1635</v>
      </c>
      <c r="P62">
        <v>13.66</v>
      </c>
      <c r="Q62">
        <f t="shared" si="0"/>
        <v>250.80100000000002</v>
      </c>
      <c r="R62">
        <v>5002.3600000000006</v>
      </c>
      <c r="S62" s="2">
        <v>45682</v>
      </c>
      <c r="T62" s="2">
        <v>45688</v>
      </c>
      <c r="U62" t="s">
        <v>37</v>
      </c>
      <c r="V62">
        <v>25</v>
      </c>
      <c r="W62">
        <v>1</v>
      </c>
      <c r="X62" t="s">
        <v>42</v>
      </c>
      <c r="Y62">
        <v>2025</v>
      </c>
      <c r="Z62">
        <v>1</v>
      </c>
      <c r="AA62">
        <v>4</v>
      </c>
    </row>
    <row r="63" spans="1:27" x14ac:dyDescent="0.3">
      <c r="A63" s="2">
        <v>45089</v>
      </c>
      <c r="B63" t="s">
        <v>3</v>
      </c>
      <c r="C63" t="s">
        <v>6</v>
      </c>
      <c r="D63">
        <v>8</v>
      </c>
      <c r="E63">
        <v>301.68</v>
      </c>
      <c r="F63" t="s">
        <v>15</v>
      </c>
      <c r="G63" t="s">
        <v>17</v>
      </c>
      <c r="H63">
        <v>0</v>
      </c>
      <c r="I63" t="s">
        <v>18</v>
      </c>
      <c r="J63">
        <v>2413.44</v>
      </c>
      <c r="K63" t="s">
        <v>28</v>
      </c>
      <c r="L63" t="s">
        <v>30</v>
      </c>
      <c r="M63">
        <v>0</v>
      </c>
      <c r="N63" t="s">
        <v>136</v>
      </c>
      <c r="O63" t="s">
        <v>1636</v>
      </c>
      <c r="P63">
        <v>36.54</v>
      </c>
      <c r="Q63">
        <f t="shared" si="0"/>
        <v>301.68</v>
      </c>
      <c r="R63">
        <v>2376.9</v>
      </c>
      <c r="S63" s="2">
        <v>45089</v>
      </c>
      <c r="T63" s="2">
        <v>45098</v>
      </c>
      <c r="U63" t="s">
        <v>36</v>
      </c>
      <c r="V63">
        <v>12</v>
      </c>
      <c r="W63">
        <v>6</v>
      </c>
      <c r="X63" t="s">
        <v>41</v>
      </c>
      <c r="Y63">
        <v>2023</v>
      </c>
      <c r="Z63">
        <v>2</v>
      </c>
      <c r="AA63">
        <v>24</v>
      </c>
    </row>
    <row r="64" spans="1:27" x14ac:dyDescent="0.3">
      <c r="A64" s="2">
        <v>45738</v>
      </c>
      <c r="B64" t="s">
        <v>3</v>
      </c>
      <c r="C64" t="s">
        <v>8</v>
      </c>
      <c r="D64">
        <v>3</v>
      </c>
      <c r="E64">
        <v>475.39</v>
      </c>
      <c r="F64" t="s">
        <v>12</v>
      </c>
      <c r="G64" t="s">
        <v>17</v>
      </c>
      <c r="H64">
        <v>0.1</v>
      </c>
      <c r="I64" t="s">
        <v>19</v>
      </c>
      <c r="J64">
        <v>1283.5530000000001</v>
      </c>
      <c r="K64" t="s">
        <v>25</v>
      </c>
      <c r="L64" t="s">
        <v>32</v>
      </c>
      <c r="M64">
        <v>0</v>
      </c>
      <c r="N64" t="s">
        <v>137</v>
      </c>
      <c r="O64" t="s">
        <v>1637</v>
      </c>
      <c r="P64">
        <v>15.62</v>
      </c>
      <c r="Q64">
        <f t="shared" si="0"/>
        <v>427.85100000000006</v>
      </c>
      <c r="R64">
        <v>1267.9330000000002</v>
      </c>
      <c r="S64" s="2">
        <v>45738</v>
      </c>
      <c r="T64" s="2">
        <v>45742</v>
      </c>
      <c r="U64" t="s">
        <v>36</v>
      </c>
      <c r="V64">
        <v>22</v>
      </c>
      <c r="W64">
        <v>3</v>
      </c>
      <c r="X64" t="s">
        <v>44</v>
      </c>
      <c r="Y64">
        <v>2025</v>
      </c>
      <c r="Z64">
        <v>1</v>
      </c>
      <c r="AA64">
        <v>12</v>
      </c>
    </row>
    <row r="65" spans="1:27" x14ac:dyDescent="0.3">
      <c r="A65" s="2">
        <v>45346</v>
      </c>
      <c r="B65" t="s">
        <v>3</v>
      </c>
      <c r="C65" t="s">
        <v>7</v>
      </c>
      <c r="D65">
        <v>16</v>
      </c>
      <c r="E65">
        <v>47.25</v>
      </c>
      <c r="F65" t="s">
        <v>15</v>
      </c>
      <c r="G65" t="s">
        <v>17</v>
      </c>
      <c r="H65">
        <v>0.15</v>
      </c>
      <c r="I65" t="s">
        <v>23</v>
      </c>
      <c r="J65">
        <v>642.6</v>
      </c>
      <c r="K65" t="s">
        <v>27</v>
      </c>
      <c r="L65" t="s">
        <v>29</v>
      </c>
      <c r="M65">
        <v>0</v>
      </c>
      <c r="N65" t="s">
        <v>138</v>
      </c>
      <c r="O65" t="s">
        <v>1638</v>
      </c>
      <c r="P65">
        <v>29.5</v>
      </c>
      <c r="Q65">
        <f t="shared" si="0"/>
        <v>40.162500000000001</v>
      </c>
      <c r="R65">
        <v>613.1</v>
      </c>
      <c r="S65" s="2">
        <v>45346</v>
      </c>
      <c r="T65" s="2">
        <v>45349</v>
      </c>
      <c r="U65" t="s">
        <v>36</v>
      </c>
      <c r="V65">
        <v>24</v>
      </c>
      <c r="W65">
        <v>2</v>
      </c>
      <c r="X65" t="s">
        <v>38</v>
      </c>
      <c r="Y65">
        <v>2024</v>
      </c>
      <c r="Z65">
        <v>1</v>
      </c>
      <c r="AA65">
        <v>8</v>
      </c>
    </row>
    <row r="66" spans="1:27" x14ac:dyDescent="0.3">
      <c r="A66" s="2">
        <v>45269</v>
      </c>
      <c r="B66" t="s">
        <v>1</v>
      </c>
      <c r="C66" t="s">
        <v>8</v>
      </c>
      <c r="D66">
        <v>15</v>
      </c>
      <c r="E66">
        <v>511.17</v>
      </c>
      <c r="F66" t="s">
        <v>12</v>
      </c>
      <c r="G66" t="s">
        <v>16</v>
      </c>
      <c r="H66">
        <v>0</v>
      </c>
      <c r="I66" t="s">
        <v>20</v>
      </c>
      <c r="J66">
        <v>7667.55</v>
      </c>
      <c r="K66" t="s">
        <v>24</v>
      </c>
      <c r="L66" t="s">
        <v>29</v>
      </c>
      <c r="M66">
        <v>0</v>
      </c>
      <c r="N66" t="s">
        <v>139</v>
      </c>
      <c r="O66" t="s">
        <v>1639</v>
      </c>
      <c r="P66">
        <v>21.77</v>
      </c>
      <c r="Q66">
        <f t="shared" si="0"/>
        <v>511.17</v>
      </c>
      <c r="R66">
        <v>7645.78</v>
      </c>
      <c r="S66" s="2">
        <v>45269</v>
      </c>
      <c r="T66" s="2">
        <v>45272</v>
      </c>
      <c r="U66" t="s">
        <v>34</v>
      </c>
      <c r="V66">
        <v>9</v>
      </c>
      <c r="W66">
        <v>12</v>
      </c>
      <c r="X66" t="s">
        <v>39</v>
      </c>
      <c r="Y66">
        <v>2023</v>
      </c>
      <c r="Z66">
        <v>4</v>
      </c>
      <c r="AA66">
        <v>49</v>
      </c>
    </row>
    <row r="67" spans="1:27" x14ac:dyDescent="0.3">
      <c r="A67" s="2">
        <v>45200</v>
      </c>
      <c r="B67" t="s">
        <v>3</v>
      </c>
      <c r="C67" t="s">
        <v>9</v>
      </c>
      <c r="D67">
        <v>3</v>
      </c>
      <c r="E67">
        <v>66.58</v>
      </c>
      <c r="F67" t="s">
        <v>12</v>
      </c>
      <c r="G67" t="s">
        <v>17</v>
      </c>
      <c r="H67">
        <v>0.1</v>
      </c>
      <c r="I67" t="s">
        <v>20</v>
      </c>
      <c r="J67">
        <v>179.76599999999999</v>
      </c>
      <c r="K67" t="s">
        <v>27</v>
      </c>
      <c r="L67" t="s">
        <v>29</v>
      </c>
      <c r="M67">
        <v>0</v>
      </c>
      <c r="N67" t="s">
        <v>140</v>
      </c>
      <c r="O67" t="s">
        <v>1640</v>
      </c>
      <c r="P67">
        <v>22.43</v>
      </c>
      <c r="Q67">
        <f t="shared" ref="Q67:Q130" si="1">J67/D67</f>
        <v>59.921999999999997</v>
      </c>
      <c r="R67">
        <v>157.33599999999998</v>
      </c>
      <c r="S67" s="2">
        <v>45200</v>
      </c>
      <c r="T67" s="2">
        <v>45204</v>
      </c>
      <c r="U67" t="s">
        <v>36</v>
      </c>
      <c r="V67">
        <v>1</v>
      </c>
      <c r="W67">
        <v>10</v>
      </c>
      <c r="X67" t="s">
        <v>43</v>
      </c>
      <c r="Y67">
        <v>2023</v>
      </c>
      <c r="Z67">
        <v>4</v>
      </c>
      <c r="AA67">
        <v>39</v>
      </c>
    </row>
    <row r="68" spans="1:27" x14ac:dyDescent="0.3">
      <c r="A68" s="2">
        <v>45138</v>
      </c>
      <c r="B68" t="s">
        <v>4</v>
      </c>
      <c r="C68" t="s">
        <v>10</v>
      </c>
      <c r="D68">
        <v>5</v>
      </c>
      <c r="E68">
        <v>490.52</v>
      </c>
      <c r="F68" t="s">
        <v>15</v>
      </c>
      <c r="G68" t="s">
        <v>16</v>
      </c>
      <c r="H68">
        <v>0.05</v>
      </c>
      <c r="I68" t="s">
        <v>20</v>
      </c>
      <c r="J68">
        <v>2329.9699999999998</v>
      </c>
      <c r="K68" t="s">
        <v>24</v>
      </c>
      <c r="L68" t="s">
        <v>32</v>
      </c>
      <c r="M68">
        <v>0</v>
      </c>
      <c r="N68" t="s">
        <v>141</v>
      </c>
      <c r="O68" t="s">
        <v>1641</v>
      </c>
      <c r="P68">
        <v>12.24</v>
      </c>
      <c r="Q68">
        <f t="shared" si="1"/>
        <v>465.99399999999997</v>
      </c>
      <c r="R68">
        <v>2317.73</v>
      </c>
      <c r="S68" s="2">
        <v>45138</v>
      </c>
      <c r="T68" s="2">
        <v>45145</v>
      </c>
      <c r="U68" t="s">
        <v>37</v>
      </c>
      <c r="V68">
        <v>31</v>
      </c>
      <c r="W68">
        <v>7</v>
      </c>
      <c r="X68" t="s">
        <v>46</v>
      </c>
      <c r="Y68">
        <v>2023</v>
      </c>
      <c r="Z68">
        <v>3</v>
      </c>
      <c r="AA68">
        <v>31</v>
      </c>
    </row>
    <row r="69" spans="1:27" x14ac:dyDescent="0.3">
      <c r="A69" s="2">
        <v>45650</v>
      </c>
      <c r="B69" t="s">
        <v>1</v>
      </c>
      <c r="C69" t="s">
        <v>8</v>
      </c>
      <c r="D69">
        <v>8</v>
      </c>
      <c r="E69">
        <v>405.96</v>
      </c>
      <c r="F69" t="s">
        <v>13</v>
      </c>
      <c r="G69" t="s">
        <v>16</v>
      </c>
      <c r="H69">
        <v>0.05</v>
      </c>
      <c r="I69" t="s">
        <v>21</v>
      </c>
      <c r="J69">
        <v>3085.2959999999998</v>
      </c>
      <c r="K69" t="s">
        <v>26</v>
      </c>
      <c r="L69" t="s">
        <v>31</v>
      </c>
      <c r="M69">
        <v>0</v>
      </c>
      <c r="N69" t="s">
        <v>142</v>
      </c>
      <c r="O69" t="s">
        <v>1642</v>
      </c>
      <c r="P69">
        <v>41.27</v>
      </c>
      <c r="Q69">
        <f t="shared" si="1"/>
        <v>385.66199999999998</v>
      </c>
      <c r="R69">
        <v>3044.0259999999998</v>
      </c>
      <c r="S69" s="2">
        <v>45650</v>
      </c>
      <c r="T69" s="2">
        <v>45657</v>
      </c>
      <c r="U69" t="s">
        <v>34</v>
      </c>
      <c r="V69">
        <v>24</v>
      </c>
      <c r="W69">
        <v>12</v>
      </c>
      <c r="X69" t="s">
        <v>39</v>
      </c>
      <c r="Y69">
        <v>2024</v>
      </c>
      <c r="Z69">
        <v>4</v>
      </c>
      <c r="AA69">
        <v>52</v>
      </c>
    </row>
    <row r="70" spans="1:27" x14ac:dyDescent="0.3">
      <c r="A70" s="2">
        <v>45611</v>
      </c>
      <c r="B70" t="s">
        <v>2</v>
      </c>
      <c r="C70" t="s">
        <v>6</v>
      </c>
      <c r="D70">
        <v>1</v>
      </c>
      <c r="E70">
        <v>159.41</v>
      </c>
      <c r="F70" t="s">
        <v>12</v>
      </c>
      <c r="G70" t="s">
        <v>17</v>
      </c>
      <c r="H70">
        <v>0.1</v>
      </c>
      <c r="I70" t="s">
        <v>23</v>
      </c>
      <c r="J70">
        <v>143.46899999999999</v>
      </c>
      <c r="K70" t="s">
        <v>26</v>
      </c>
      <c r="L70" t="s">
        <v>29</v>
      </c>
      <c r="M70">
        <v>0</v>
      </c>
      <c r="N70" t="s">
        <v>143</v>
      </c>
      <c r="O70" t="s">
        <v>1643</v>
      </c>
      <c r="P70">
        <v>35.14</v>
      </c>
      <c r="Q70">
        <f t="shared" si="1"/>
        <v>143.46899999999999</v>
      </c>
      <c r="R70">
        <v>108.32899999999999</v>
      </c>
      <c r="S70" s="2">
        <v>45611</v>
      </c>
      <c r="T70" s="2">
        <v>45615</v>
      </c>
      <c r="U70" t="s">
        <v>35</v>
      </c>
      <c r="V70">
        <v>15</v>
      </c>
      <c r="W70">
        <v>11</v>
      </c>
      <c r="X70" t="s">
        <v>47</v>
      </c>
      <c r="Y70">
        <v>2024</v>
      </c>
      <c r="Z70">
        <v>4</v>
      </c>
      <c r="AA70">
        <v>46</v>
      </c>
    </row>
    <row r="71" spans="1:27" x14ac:dyDescent="0.3">
      <c r="A71" s="2">
        <v>45729</v>
      </c>
      <c r="B71" t="s">
        <v>4</v>
      </c>
      <c r="C71" t="s">
        <v>9</v>
      </c>
      <c r="D71">
        <v>16</v>
      </c>
      <c r="E71">
        <v>38.49</v>
      </c>
      <c r="F71" t="s">
        <v>14</v>
      </c>
      <c r="G71" t="s">
        <v>17</v>
      </c>
      <c r="H71">
        <v>0.15</v>
      </c>
      <c r="I71" t="s">
        <v>21</v>
      </c>
      <c r="J71">
        <v>523.46400000000006</v>
      </c>
      <c r="K71" t="s">
        <v>27</v>
      </c>
      <c r="L71" t="s">
        <v>30</v>
      </c>
      <c r="M71">
        <v>0</v>
      </c>
      <c r="N71" t="s">
        <v>144</v>
      </c>
      <c r="O71" t="s">
        <v>1644</v>
      </c>
      <c r="P71">
        <v>8.3800000000000008</v>
      </c>
      <c r="Q71">
        <f t="shared" si="1"/>
        <v>32.716500000000003</v>
      </c>
      <c r="R71">
        <v>515.08400000000006</v>
      </c>
      <c r="S71" s="2">
        <v>45729</v>
      </c>
      <c r="T71" s="2">
        <v>45738</v>
      </c>
      <c r="U71" t="s">
        <v>37</v>
      </c>
      <c r="V71">
        <v>13</v>
      </c>
      <c r="W71">
        <v>3</v>
      </c>
      <c r="X71" t="s">
        <v>44</v>
      </c>
      <c r="Y71">
        <v>2025</v>
      </c>
      <c r="Z71">
        <v>1</v>
      </c>
      <c r="AA71">
        <v>11</v>
      </c>
    </row>
    <row r="72" spans="1:27" x14ac:dyDescent="0.3">
      <c r="A72" s="2">
        <v>45354</v>
      </c>
      <c r="B72" t="s">
        <v>0</v>
      </c>
      <c r="C72" t="s">
        <v>10</v>
      </c>
      <c r="D72">
        <v>15</v>
      </c>
      <c r="E72">
        <v>328.36</v>
      </c>
      <c r="F72" t="s">
        <v>15</v>
      </c>
      <c r="G72" t="s">
        <v>17</v>
      </c>
      <c r="H72">
        <v>0.15</v>
      </c>
      <c r="I72" t="s">
        <v>19</v>
      </c>
      <c r="J72">
        <v>4186.59</v>
      </c>
      <c r="K72" t="s">
        <v>25</v>
      </c>
      <c r="L72" t="s">
        <v>31</v>
      </c>
      <c r="M72">
        <v>0</v>
      </c>
      <c r="N72" t="s">
        <v>145</v>
      </c>
      <c r="O72" t="s">
        <v>1645</v>
      </c>
      <c r="P72">
        <v>15.76</v>
      </c>
      <c r="Q72">
        <f t="shared" si="1"/>
        <v>279.10599999999999</v>
      </c>
      <c r="R72">
        <v>4170.83</v>
      </c>
      <c r="S72" s="2">
        <v>45354</v>
      </c>
      <c r="T72" s="2">
        <v>45363</v>
      </c>
      <c r="U72" t="s">
        <v>33</v>
      </c>
      <c r="V72">
        <v>3</v>
      </c>
      <c r="W72">
        <v>3</v>
      </c>
      <c r="X72" t="s">
        <v>44</v>
      </c>
      <c r="Y72">
        <v>2024</v>
      </c>
      <c r="Z72">
        <v>1</v>
      </c>
      <c r="AA72">
        <v>9</v>
      </c>
    </row>
    <row r="73" spans="1:27" x14ac:dyDescent="0.3">
      <c r="A73" s="2">
        <v>44968</v>
      </c>
      <c r="B73" t="s">
        <v>3</v>
      </c>
      <c r="C73" t="s">
        <v>10</v>
      </c>
      <c r="D73">
        <v>20</v>
      </c>
      <c r="E73">
        <v>548.01</v>
      </c>
      <c r="F73" t="s">
        <v>13</v>
      </c>
      <c r="G73" t="s">
        <v>16</v>
      </c>
      <c r="H73">
        <v>0.1</v>
      </c>
      <c r="I73" t="s">
        <v>18</v>
      </c>
      <c r="J73">
        <v>9864.18</v>
      </c>
      <c r="K73" t="s">
        <v>26</v>
      </c>
      <c r="L73" t="s">
        <v>31</v>
      </c>
      <c r="M73">
        <v>1</v>
      </c>
      <c r="N73" t="s">
        <v>146</v>
      </c>
      <c r="O73" t="s">
        <v>1646</v>
      </c>
      <c r="P73">
        <v>5.89</v>
      </c>
      <c r="Q73">
        <f t="shared" si="1"/>
        <v>493.209</v>
      </c>
      <c r="R73">
        <v>9858.2900000000009</v>
      </c>
      <c r="S73" s="2">
        <v>44968</v>
      </c>
      <c r="T73" s="2">
        <v>44971</v>
      </c>
      <c r="U73" t="s">
        <v>36</v>
      </c>
      <c r="V73">
        <v>11</v>
      </c>
      <c r="W73">
        <v>2</v>
      </c>
      <c r="X73" t="s">
        <v>38</v>
      </c>
      <c r="Y73">
        <v>2023</v>
      </c>
      <c r="Z73">
        <v>1</v>
      </c>
      <c r="AA73">
        <v>6</v>
      </c>
    </row>
    <row r="74" spans="1:27" x14ac:dyDescent="0.3">
      <c r="A74" s="2">
        <v>45225</v>
      </c>
      <c r="B74" t="s">
        <v>1</v>
      </c>
      <c r="C74" t="s">
        <v>7</v>
      </c>
      <c r="D74">
        <v>13</v>
      </c>
      <c r="E74">
        <v>484.45</v>
      </c>
      <c r="F74" t="s">
        <v>12</v>
      </c>
      <c r="G74" t="s">
        <v>16</v>
      </c>
      <c r="H74">
        <v>0.05</v>
      </c>
      <c r="I74" t="s">
        <v>21</v>
      </c>
      <c r="J74">
        <v>5982.9575000000004</v>
      </c>
      <c r="K74" t="s">
        <v>25</v>
      </c>
      <c r="L74" t="s">
        <v>31</v>
      </c>
      <c r="M74">
        <v>1</v>
      </c>
      <c r="N74" t="s">
        <v>147</v>
      </c>
      <c r="O74" t="s">
        <v>1647</v>
      </c>
      <c r="P74">
        <v>6.57</v>
      </c>
      <c r="Q74">
        <f t="shared" si="1"/>
        <v>460.22750000000002</v>
      </c>
      <c r="R74">
        <v>5976.3875000000007</v>
      </c>
      <c r="S74" s="2">
        <v>45225</v>
      </c>
      <c r="T74" s="2">
        <v>45235</v>
      </c>
      <c r="U74" t="s">
        <v>34</v>
      </c>
      <c r="V74">
        <v>26</v>
      </c>
      <c r="W74">
        <v>10</v>
      </c>
      <c r="X74" t="s">
        <v>43</v>
      </c>
      <c r="Y74">
        <v>2023</v>
      </c>
      <c r="Z74">
        <v>4</v>
      </c>
      <c r="AA74">
        <v>43</v>
      </c>
    </row>
    <row r="75" spans="1:27" x14ac:dyDescent="0.3">
      <c r="A75" s="2">
        <v>45220</v>
      </c>
      <c r="B75" t="s">
        <v>1</v>
      </c>
      <c r="C75" t="s">
        <v>9</v>
      </c>
      <c r="D75">
        <v>13</v>
      </c>
      <c r="E75">
        <v>195.84</v>
      </c>
      <c r="F75" t="s">
        <v>13</v>
      </c>
      <c r="G75" t="s">
        <v>16</v>
      </c>
      <c r="H75">
        <v>0.05</v>
      </c>
      <c r="I75" t="s">
        <v>19</v>
      </c>
      <c r="J75">
        <v>2418.6239999999998</v>
      </c>
      <c r="K75" t="s">
        <v>26</v>
      </c>
      <c r="L75" t="s">
        <v>32</v>
      </c>
      <c r="M75">
        <v>0</v>
      </c>
      <c r="N75" t="s">
        <v>148</v>
      </c>
      <c r="O75" t="s">
        <v>1648</v>
      </c>
      <c r="P75">
        <v>33.520000000000003</v>
      </c>
      <c r="Q75">
        <f t="shared" si="1"/>
        <v>186.04799999999997</v>
      </c>
      <c r="R75">
        <v>2385.1039999999998</v>
      </c>
      <c r="S75" s="2">
        <v>45220</v>
      </c>
      <c r="T75" s="2">
        <v>45227</v>
      </c>
      <c r="U75" t="s">
        <v>34</v>
      </c>
      <c r="V75">
        <v>21</v>
      </c>
      <c r="W75">
        <v>10</v>
      </c>
      <c r="X75" t="s">
        <v>43</v>
      </c>
      <c r="Y75">
        <v>2023</v>
      </c>
      <c r="Z75">
        <v>4</v>
      </c>
      <c r="AA75">
        <v>42</v>
      </c>
    </row>
    <row r="76" spans="1:27" x14ac:dyDescent="0.3">
      <c r="A76" s="2">
        <v>45305</v>
      </c>
      <c r="B76" t="s">
        <v>3</v>
      </c>
      <c r="C76" t="s">
        <v>10</v>
      </c>
      <c r="D76">
        <v>19</v>
      </c>
      <c r="E76">
        <v>29.94</v>
      </c>
      <c r="F76" t="s">
        <v>15</v>
      </c>
      <c r="G76" t="s">
        <v>17</v>
      </c>
      <c r="H76">
        <v>0.15</v>
      </c>
      <c r="I76" t="s">
        <v>22</v>
      </c>
      <c r="J76">
        <v>483.53100000000001</v>
      </c>
      <c r="K76" t="s">
        <v>27</v>
      </c>
      <c r="L76" t="s">
        <v>29</v>
      </c>
      <c r="M76">
        <v>0</v>
      </c>
      <c r="N76" t="s">
        <v>149</v>
      </c>
      <c r="O76" t="s">
        <v>1649</v>
      </c>
      <c r="P76">
        <v>33.590000000000003</v>
      </c>
      <c r="Q76">
        <f t="shared" si="1"/>
        <v>25.449000000000002</v>
      </c>
      <c r="R76">
        <v>449.94100000000003</v>
      </c>
      <c r="S76" s="2">
        <v>45305</v>
      </c>
      <c r="T76" s="2">
        <v>45311</v>
      </c>
      <c r="U76" t="s">
        <v>36</v>
      </c>
      <c r="V76">
        <v>14</v>
      </c>
      <c r="W76">
        <v>1</v>
      </c>
      <c r="X76" t="s">
        <v>42</v>
      </c>
      <c r="Y76">
        <v>2024</v>
      </c>
      <c r="Z76">
        <v>1</v>
      </c>
      <c r="AA76">
        <v>2</v>
      </c>
    </row>
    <row r="77" spans="1:27" x14ac:dyDescent="0.3">
      <c r="A77" s="2">
        <v>45134</v>
      </c>
      <c r="B77" t="s">
        <v>3</v>
      </c>
      <c r="C77" t="s">
        <v>7</v>
      </c>
      <c r="D77">
        <v>10</v>
      </c>
      <c r="E77">
        <v>553.91</v>
      </c>
      <c r="F77" t="s">
        <v>15</v>
      </c>
      <c r="G77" t="s">
        <v>16</v>
      </c>
      <c r="H77">
        <v>0.1</v>
      </c>
      <c r="I77" t="s">
        <v>18</v>
      </c>
      <c r="J77">
        <v>4985.1899999999996</v>
      </c>
      <c r="K77" t="s">
        <v>24</v>
      </c>
      <c r="L77" t="s">
        <v>32</v>
      </c>
      <c r="M77">
        <v>0</v>
      </c>
      <c r="N77" t="s">
        <v>150</v>
      </c>
      <c r="O77" t="s">
        <v>1650</v>
      </c>
      <c r="P77">
        <v>31.3</v>
      </c>
      <c r="Q77">
        <f t="shared" si="1"/>
        <v>498.51899999999995</v>
      </c>
      <c r="R77">
        <v>4953.8899999999994</v>
      </c>
      <c r="S77" s="2">
        <v>45134</v>
      </c>
      <c r="T77" s="2">
        <v>45138</v>
      </c>
      <c r="U77" t="s">
        <v>36</v>
      </c>
      <c r="V77">
        <v>27</v>
      </c>
      <c r="W77">
        <v>7</v>
      </c>
      <c r="X77" t="s">
        <v>46</v>
      </c>
      <c r="Y77">
        <v>2023</v>
      </c>
      <c r="Z77">
        <v>3</v>
      </c>
      <c r="AA77">
        <v>30</v>
      </c>
    </row>
    <row r="78" spans="1:27" x14ac:dyDescent="0.3">
      <c r="A78" s="2">
        <v>45588</v>
      </c>
      <c r="B78" t="s">
        <v>1</v>
      </c>
      <c r="C78" t="s">
        <v>6</v>
      </c>
      <c r="D78">
        <v>14</v>
      </c>
      <c r="E78">
        <v>445.52</v>
      </c>
      <c r="F78" t="s">
        <v>12</v>
      </c>
      <c r="G78" t="s">
        <v>17</v>
      </c>
      <c r="H78">
        <v>0.1</v>
      </c>
      <c r="I78" t="s">
        <v>23</v>
      </c>
      <c r="J78">
        <v>5613.5519999999997</v>
      </c>
      <c r="K78" t="s">
        <v>24</v>
      </c>
      <c r="L78" t="s">
        <v>30</v>
      </c>
      <c r="M78">
        <v>0</v>
      </c>
      <c r="N78" t="s">
        <v>151</v>
      </c>
      <c r="O78" t="s">
        <v>1651</v>
      </c>
      <c r="P78">
        <v>14.41</v>
      </c>
      <c r="Q78">
        <f t="shared" si="1"/>
        <v>400.96799999999996</v>
      </c>
      <c r="R78">
        <v>5599.1419999999998</v>
      </c>
      <c r="S78" s="2">
        <v>45588</v>
      </c>
      <c r="T78" s="2">
        <v>45590</v>
      </c>
      <c r="U78" t="s">
        <v>34</v>
      </c>
      <c r="V78">
        <v>23</v>
      </c>
      <c r="W78">
        <v>10</v>
      </c>
      <c r="X78" t="s">
        <v>43</v>
      </c>
      <c r="Y78">
        <v>2024</v>
      </c>
      <c r="Z78">
        <v>4</v>
      </c>
      <c r="AA78">
        <v>43</v>
      </c>
    </row>
    <row r="79" spans="1:27" x14ac:dyDescent="0.3">
      <c r="A79" s="2">
        <v>45195</v>
      </c>
      <c r="B79" t="s">
        <v>1</v>
      </c>
      <c r="C79" t="s">
        <v>8</v>
      </c>
      <c r="D79">
        <v>5</v>
      </c>
      <c r="E79">
        <v>551.58000000000004</v>
      </c>
      <c r="F79" t="s">
        <v>12</v>
      </c>
      <c r="G79" t="s">
        <v>17</v>
      </c>
      <c r="H79">
        <v>0.15</v>
      </c>
      <c r="I79" t="s">
        <v>19</v>
      </c>
      <c r="J79">
        <v>2344.2150000000001</v>
      </c>
      <c r="K79" t="s">
        <v>24</v>
      </c>
      <c r="L79" t="s">
        <v>31</v>
      </c>
      <c r="M79">
        <v>1</v>
      </c>
      <c r="N79" t="s">
        <v>152</v>
      </c>
      <c r="O79" t="s">
        <v>1652</v>
      </c>
      <c r="P79">
        <v>7.87</v>
      </c>
      <c r="Q79">
        <f t="shared" si="1"/>
        <v>468.84300000000002</v>
      </c>
      <c r="R79">
        <v>2336.3450000000003</v>
      </c>
      <c r="S79" s="2">
        <v>45195</v>
      </c>
      <c r="T79" s="2">
        <v>45200</v>
      </c>
      <c r="U79" t="s">
        <v>34</v>
      </c>
      <c r="V79">
        <v>26</v>
      </c>
      <c r="W79">
        <v>9</v>
      </c>
      <c r="X79" t="s">
        <v>49</v>
      </c>
      <c r="Y79">
        <v>2023</v>
      </c>
      <c r="Z79">
        <v>3</v>
      </c>
      <c r="AA79">
        <v>39</v>
      </c>
    </row>
    <row r="80" spans="1:27" x14ac:dyDescent="0.3">
      <c r="A80" s="2">
        <v>45276</v>
      </c>
      <c r="B80" t="s">
        <v>0</v>
      </c>
      <c r="C80" t="s">
        <v>6</v>
      </c>
      <c r="D80">
        <v>13</v>
      </c>
      <c r="E80">
        <v>241.4</v>
      </c>
      <c r="F80" t="s">
        <v>15</v>
      </c>
      <c r="G80" t="s">
        <v>17</v>
      </c>
      <c r="H80">
        <v>0</v>
      </c>
      <c r="I80" t="s">
        <v>21</v>
      </c>
      <c r="J80">
        <v>3138.2</v>
      </c>
      <c r="K80" t="s">
        <v>25</v>
      </c>
      <c r="L80" t="s">
        <v>30</v>
      </c>
      <c r="M80">
        <v>0</v>
      </c>
      <c r="N80" t="s">
        <v>153</v>
      </c>
      <c r="O80" t="s">
        <v>1653</v>
      </c>
      <c r="P80">
        <v>49.05</v>
      </c>
      <c r="Q80">
        <f t="shared" si="1"/>
        <v>241.39999999999998</v>
      </c>
      <c r="R80">
        <v>3089.1499999999996</v>
      </c>
      <c r="S80" s="2">
        <v>45276</v>
      </c>
      <c r="T80" s="2">
        <v>45280</v>
      </c>
      <c r="U80" t="s">
        <v>33</v>
      </c>
      <c r="V80">
        <v>16</v>
      </c>
      <c r="W80">
        <v>12</v>
      </c>
      <c r="X80" t="s">
        <v>39</v>
      </c>
      <c r="Y80">
        <v>2023</v>
      </c>
      <c r="Z80">
        <v>4</v>
      </c>
      <c r="AA80">
        <v>50</v>
      </c>
    </row>
    <row r="81" spans="1:27" x14ac:dyDescent="0.3">
      <c r="A81" s="2">
        <v>45293</v>
      </c>
      <c r="B81" t="s">
        <v>3</v>
      </c>
      <c r="C81" t="s">
        <v>11</v>
      </c>
      <c r="D81">
        <v>19</v>
      </c>
      <c r="E81">
        <v>351.93</v>
      </c>
      <c r="F81" t="s">
        <v>13</v>
      </c>
      <c r="G81" t="s">
        <v>16</v>
      </c>
      <c r="H81">
        <v>0</v>
      </c>
      <c r="I81" t="s">
        <v>19</v>
      </c>
      <c r="J81">
        <v>6686.67</v>
      </c>
      <c r="K81" t="s">
        <v>26</v>
      </c>
      <c r="L81" t="s">
        <v>32</v>
      </c>
      <c r="M81">
        <v>0</v>
      </c>
      <c r="N81" t="s">
        <v>154</v>
      </c>
      <c r="O81" t="s">
        <v>1654</v>
      </c>
      <c r="P81">
        <v>39.979999999999997</v>
      </c>
      <c r="Q81">
        <f t="shared" si="1"/>
        <v>351.93</v>
      </c>
      <c r="R81">
        <v>6646.6900000000005</v>
      </c>
      <c r="S81" s="2">
        <v>45293</v>
      </c>
      <c r="T81" s="2">
        <v>45296</v>
      </c>
      <c r="U81" t="s">
        <v>36</v>
      </c>
      <c r="V81">
        <v>2</v>
      </c>
      <c r="W81">
        <v>1</v>
      </c>
      <c r="X81" t="s">
        <v>42</v>
      </c>
      <c r="Y81">
        <v>2024</v>
      </c>
      <c r="Z81">
        <v>1</v>
      </c>
      <c r="AA81">
        <v>1</v>
      </c>
    </row>
    <row r="82" spans="1:27" x14ac:dyDescent="0.3">
      <c r="A82" s="2">
        <v>45338</v>
      </c>
      <c r="B82" t="s">
        <v>2</v>
      </c>
      <c r="C82" t="s">
        <v>6</v>
      </c>
      <c r="D82">
        <v>4</v>
      </c>
      <c r="E82">
        <v>83.75</v>
      </c>
      <c r="F82" t="s">
        <v>13</v>
      </c>
      <c r="G82" t="s">
        <v>17</v>
      </c>
      <c r="H82">
        <v>0.05</v>
      </c>
      <c r="I82" t="s">
        <v>19</v>
      </c>
      <c r="J82">
        <v>318.25</v>
      </c>
      <c r="K82" t="s">
        <v>27</v>
      </c>
      <c r="L82" t="s">
        <v>30</v>
      </c>
      <c r="M82">
        <v>1</v>
      </c>
      <c r="N82" t="s">
        <v>155</v>
      </c>
      <c r="O82" t="s">
        <v>1655</v>
      </c>
      <c r="P82">
        <v>38.82</v>
      </c>
      <c r="Q82">
        <f t="shared" si="1"/>
        <v>79.5625</v>
      </c>
      <c r="R82">
        <v>279.43</v>
      </c>
      <c r="S82" s="2">
        <v>45338</v>
      </c>
      <c r="T82" s="2">
        <v>45347</v>
      </c>
      <c r="U82" t="s">
        <v>35</v>
      </c>
      <c r="V82">
        <v>16</v>
      </c>
      <c r="W82">
        <v>2</v>
      </c>
      <c r="X82" t="s">
        <v>38</v>
      </c>
      <c r="Y82">
        <v>2024</v>
      </c>
      <c r="Z82">
        <v>1</v>
      </c>
      <c r="AA82">
        <v>7</v>
      </c>
    </row>
    <row r="83" spans="1:27" x14ac:dyDescent="0.3">
      <c r="A83" s="2">
        <v>45415</v>
      </c>
      <c r="B83" t="s">
        <v>0</v>
      </c>
      <c r="C83" t="s">
        <v>9</v>
      </c>
      <c r="D83">
        <v>5</v>
      </c>
      <c r="E83">
        <v>416.95</v>
      </c>
      <c r="F83" t="s">
        <v>13</v>
      </c>
      <c r="G83" t="s">
        <v>16</v>
      </c>
      <c r="H83">
        <v>0.15</v>
      </c>
      <c r="I83" t="s">
        <v>20</v>
      </c>
      <c r="J83">
        <v>1772.0374999999999</v>
      </c>
      <c r="K83" t="s">
        <v>24</v>
      </c>
      <c r="L83" t="s">
        <v>32</v>
      </c>
      <c r="M83">
        <v>1</v>
      </c>
      <c r="N83" t="s">
        <v>156</v>
      </c>
      <c r="O83" t="s">
        <v>1656</v>
      </c>
      <c r="P83">
        <v>24.03</v>
      </c>
      <c r="Q83">
        <f t="shared" si="1"/>
        <v>354.40749999999997</v>
      </c>
      <c r="R83">
        <v>1748.0074999999999</v>
      </c>
      <c r="S83" s="2">
        <v>45415</v>
      </c>
      <c r="T83" s="2">
        <v>45424</v>
      </c>
      <c r="U83" t="s">
        <v>33</v>
      </c>
      <c r="V83">
        <v>3</v>
      </c>
      <c r="W83">
        <v>5</v>
      </c>
      <c r="X83" t="s">
        <v>40</v>
      </c>
      <c r="Y83">
        <v>2024</v>
      </c>
      <c r="Z83">
        <v>2</v>
      </c>
      <c r="AA83">
        <v>18</v>
      </c>
    </row>
    <row r="84" spans="1:27" x14ac:dyDescent="0.3">
      <c r="A84" s="2">
        <v>45073</v>
      </c>
      <c r="B84" t="s">
        <v>4</v>
      </c>
      <c r="C84" t="s">
        <v>9</v>
      </c>
      <c r="D84">
        <v>18</v>
      </c>
      <c r="E84">
        <v>142.43</v>
      </c>
      <c r="F84" t="s">
        <v>14</v>
      </c>
      <c r="G84" t="s">
        <v>17</v>
      </c>
      <c r="H84">
        <v>0.05</v>
      </c>
      <c r="I84" t="s">
        <v>23</v>
      </c>
      <c r="J84">
        <v>2435.5529999999999</v>
      </c>
      <c r="K84" t="s">
        <v>26</v>
      </c>
      <c r="L84" t="s">
        <v>30</v>
      </c>
      <c r="M84">
        <v>1</v>
      </c>
      <c r="N84" t="s">
        <v>157</v>
      </c>
      <c r="O84" t="s">
        <v>1657</v>
      </c>
      <c r="P84">
        <v>12.38</v>
      </c>
      <c r="Q84">
        <f t="shared" si="1"/>
        <v>135.30849999999998</v>
      </c>
      <c r="R84">
        <v>2423.1729999999998</v>
      </c>
      <c r="S84" s="2">
        <v>45073</v>
      </c>
      <c r="T84" s="2">
        <v>45079</v>
      </c>
      <c r="U84" t="s">
        <v>37</v>
      </c>
      <c r="V84">
        <v>27</v>
      </c>
      <c r="W84">
        <v>5</v>
      </c>
      <c r="X84" t="s">
        <v>40</v>
      </c>
      <c r="Y84">
        <v>2023</v>
      </c>
      <c r="Z84">
        <v>2</v>
      </c>
      <c r="AA84">
        <v>21</v>
      </c>
    </row>
    <row r="85" spans="1:27" x14ac:dyDescent="0.3">
      <c r="A85" s="2">
        <v>44931</v>
      </c>
      <c r="B85" t="s">
        <v>0</v>
      </c>
      <c r="C85" t="s">
        <v>7</v>
      </c>
      <c r="D85">
        <v>12</v>
      </c>
      <c r="E85">
        <v>582.52</v>
      </c>
      <c r="F85" t="s">
        <v>13</v>
      </c>
      <c r="G85" t="s">
        <v>16</v>
      </c>
      <c r="H85">
        <v>0</v>
      </c>
      <c r="I85" t="s">
        <v>23</v>
      </c>
      <c r="J85">
        <v>6990.24</v>
      </c>
      <c r="K85" t="s">
        <v>26</v>
      </c>
      <c r="L85" t="s">
        <v>29</v>
      </c>
      <c r="M85">
        <v>0</v>
      </c>
      <c r="N85" t="s">
        <v>158</v>
      </c>
      <c r="O85" t="s">
        <v>1658</v>
      </c>
      <c r="P85">
        <v>41.16</v>
      </c>
      <c r="Q85">
        <f t="shared" si="1"/>
        <v>582.52</v>
      </c>
      <c r="R85">
        <v>6949.08</v>
      </c>
      <c r="S85" s="2">
        <v>44931</v>
      </c>
      <c r="T85" s="2">
        <v>44937</v>
      </c>
      <c r="U85" t="s">
        <v>33</v>
      </c>
      <c r="V85">
        <v>5</v>
      </c>
      <c r="W85">
        <v>1</v>
      </c>
      <c r="X85" t="s">
        <v>42</v>
      </c>
      <c r="Y85">
        <v>2023</v>
      </c>
      <c r="Z85">
        <v>1</v>
      </c>
      <c r="AA85">
        <v>1</v>
      </c>
    </row>
    <row r="86" spans="1:27" x14ac:dyDescent="0.3">
      <c r="A86" s="2">
        <v>45798</v>
      </c>
      <c r="B86" t="s">
        <v>0</v>
      </c>
      <c r="C86" t="s">
        <v>8</v>
      </c>
      <c r="D86">
        <v>20</v>
      </c>
      <c r="E86">
        <v>129.56</v>
      </c>
      <c r="F86" t="s">
        <v>13</v>
      </c>
      <c r="G86" t="s">
        <v>17</v>
      </c>
      <c r="H86">
        <v>0.15</v>
      </c>
      <c r="I86" t="s">
        <v>22</v>
      </c>
      <c r="J86">
        <v>2202.52</v>
      </c>
      <c r="K86" t="s">
        <v>24</v>
      </c>
      <c r="L86" t="s">
        <v>31</v>
      </c>
      <c r="M86">
        <v>0</v>
      </c>
      <c r="N86" t="s">
        <v>159</v>
      </c>
      <c r="O86" t="s">
        <v>1659</v>
      </c>
      <c r="P86">
        <v>40.21</v>
      </c>
      <c r="Q86">
        <f t="shared" si="1"/>
        <v>110.126</v>
      </c>
      <c r="R86">
        <v>2162.31</v>
      </c>
      <c r="S86" s="2">
        <v>45798</v>
      </c>
      <c r="T86" s="2">
        <v>45800</v>
      </c>
      <c r="U86" t="s">
        <v>33</v>
      </c>
      <c r="V86">
        <v>21</v>
      </c>
      <c r="W86">
        <v>5</v>
      </c>
      <c r="X86" t="s">
        <v>40</v>
      </c>
      <c r="Y86">
        <v>2025</v>
      </c>
      <c r="Z86">
        <v>2</v>
      </c>
      <c r="AA86">
        <v>21</v>
      </c>
    </row>
    <row r="87" spans="1:27" x14ac:dyDescent="0.3">
      <c r="A87" s="2">
        <v>45128</v>
      </c>
      <c r="B87" t="s">
        <v>3</v>
      </c>
      <c r="C87" t="s">
        <v>10</v>
      </c>
      <c r="D87">
        <v>17</v>
      </c>
      <c r="E87">
        <v>431.82</v>
      </c>
      <c r="F87" t="s">
        <v>12</v>
      </c>
      <c r="G87" t="s">
        <v>17</v>
      </c>
      <c r="H87">
        <v>0</v>
      </c>
      <c r="I87" t="s">
        <v>18</v>
      </c>
      <c r="J87">
        <v>7340.94</v>
      </c>
      <c r="K87" t="s">
        <v>25</v>
      </c>
      <c r="L87" t="s">
        <v>29</v>
      </c>
      <c r="M87">
        <v>1</v>
      </c>
      <c r="N87" t="s">
        <v>160</v>
      </c>
      <c r="O87" t="s">
        <v>1660</v>
      </c>
      <c r="P87">
        <v>37.75</v>
      </c>
      <c r="Q87">
        <f t="shared" si="1"/>
        <v>431.82</v>
      </c>
      <c r="R87">
        <v>7303.19</v>
      </c>
      <c r="S87" s="2">
        <v>45128</v>
      </c>
      <c r="T87" s="2">
        <v>45132</v>
      </c>
      <c r="U87" t="s">
        <v>36</v>
      </c>
      <c r="V87">
        <v>21</v>
      </c>
      <c r="W87">
        <v>7</v>
      </c>
      <c r="X87" t="s">
        <v>46</v>
      </c>
      <c r="Y87">
        <v>2023</v>
      </c>
      <c r="Z87">
        <v>3</v>
      </c>
      <c r="AA87">
        <v>29</v>
      </c>
    </row>
    <row r="88" spans="1:27" x14ac:dyDescent="0.3">
      <c r="A88" s="2">
        <v>45802</v>
      </c>
      <c r="B88" t="s">
        <v>0</v>
      </c>
      <c r="C88" t="s">
        <v>5</v>
      </c>
      <c r="D88">
        <v>15</v>
      </c>
      <c r="E88">
        <v>15.85</v>
      </c>
      <c r="F88" t="s">
        <v>14</v>
      </c>
      <c r="G88" t="s">
        <v>17</v>
      </c>
      <c r="H88">
        <v>0</v>
      </c>
      <c r="I88" t="s">
        <v>23</v>
      </c>
      <c r="J88">
        <v>237.75</v>
      </c>
      <c r="K88" t="s">
        <v>27</v>
      </c>
      <c r="L88" t="s">
        <v>31</v>
      </c>
      <c r="M88">
        <v>0</v>
      </c>
      <c r="N88" t="s">
        <v>161</v>
      </c>
      <c r="O88" t="s">
        <v>1661</v>
      </c>
      <c r="P88">
        <v>23.49</v>
      </c>
      <c r="Q88">
        <f t="shared" si="1"/>
        <v>15.85</v>
      </c>
      <c r="R88">
        <v>214.26</v>
      </c>
      <c r="S88" s="2">
        <v>45802</v>
      </c>
      <c r="T88" s="2">
        <v>45811</v>
      </c>
      <c r="U88" t="s">
        <v>33</v>
      </c>
      <c r="V88">
        <v>25</v>
      </c>
      <c r="W88">
        <v>5</v>
      </c>
      <c r="X88" t="s">
        <v>40</v>
      </c>
      <c r="Y88">
        <v>2025</v>
      </c>
      <c r="Z88">
        <v>2</v>
      </c>
      <c r="AA88">
        <v>21</v>
      </c>
    </row>
    <row r="89" spans="1:27" x14ac:dyDescent="0.3">
      <c r="A89" s="2">
        <v>45612</v>
      </c>
      <c r="B89" t="s">
        <v>1</v>
      </c>
      <c r="C89" t="s">
        <v>10</v>
      </c>
      <c r="D89">
        <v>20</v>
      </c>
      <c r="E89">
        <v>548.34</v>
      </c>
      <c r="F89" t="s">
        <v>12</v>
      </c>
      <c r="G89" t="s">
        <v>17</v>
      </c>
      <c r="H89">
        <v>0.1</v>
      </c>
      <c r="I89" t="s">
        <v>23</v>
      </c>
      <c r="J89">
        <v>9870.1200000000008</v>
      </c>
      <c r="K89" t="s">
        <v>25</v>
      </c>
      <c r="L89" t="s">
        <v>31</v>
      </c>
      <c r="M89">
        <v>0</v>
      </c>
      <c r="N89" t="s">
        <v>162</v>
      </c>
      <c r="O89" t="s">
        <v>1662</v>
      </c>
      <c r="P89">
        <v>33.47</v>
      </c>
      <c r="Q89">
        <f t="shared" si="1"/>
        <v>493.50600000000003</v>
      </c>
      <c r="R89">
        <v>9836.6500000000015</v>
      </c>
      <c r="S89" s="2">
        <v>45612</v>
      </c>
      <c r="T89" s="2">
        <v>45618</v>
      </c>
      <c r="U89" t="s">
        <v>34</v>
      </c>
      <c r="V89">
        <v>16</v>
      </c>
      <c r="W89">
        <v>11</v>
      </c>
      <c r="X89" t="s">
        <v>47</v>
      </c>
      <c r="Y89">
        <v>2024</v>
      </c>
      <c r="Z89">
        <v>4</v>
      </c>
      <c r="AA89">
        <v>46</v>
      </c>
    </row>
    <row r="90" spans="1:27" x14ac:dyDescent="0.3">
      <c r="A90" s="2">
        <v>45249</v>
      </c>
      <c r="B90" t="s">
        <v>2</v>
      </c>
      <c r="C90" t="s">
        <v>5</v>
      </c>
      <c r="D90">
        <v>16</v>
      </c>
      <c r="E90">
        <v>525.83000000000004</v>
      </c>
      <c r="F90" t="s">
        <v>14</v>
      </c>
      <c r="G90" t="s">
        <v>16</v>
      </c>
      <c r="H90">
        <v>0.05</v>
      </c>
      <c r="I90" t="s">
        <v>20</v>
      </c>
      <c r="J90">
        <v>7992.616</v>
      </c>
      <c r="K90" t="s">
        <v>24</v>
      </c>
      <c r="L90" t="s">
        <v>32</v>
      </c>
      <c r="M90">
        <v>0</v>
      </c>
      <c r="N90" t="s">
        <v>163</v>
      </c>
      <c r="O90" t="s">
        <v>1663</v>
      </c>
      <c r="P90">
        <v>36.47</v>
      </c>
      <c r="Q90">
        <f t="shared" si="1"/>
        <v>499.5385</v>
      </c>
      <c r="R90">
        <v>7956.1459999999997</v>
      </c>
      <c r="S90" s="2">
        <v>45249</v>
      </c>
      <c r="T90" s="2">
        <v>45255</v>
      </c>
      <c r="U90" t="s">
        <v>35</v>
      </c>
      <c r="V90">
        <v>19</v>
      </c>
      <c r="W90">
        <v>11</v>
      </c>
      <c r="X90" t="s">
        <v>47</v>
      </c>
      <c r="Y90">
        <v>2023</v>
      </c>
      <c r="Z90">
        <v>4</v>
      </c>
      <c r="AA90">
        <v>46</v>
      </c>
    </row>
    <row r="91" spans="1:27" x14ac:dyDescent="0.3">
      <c r="A91" s="2">
        <v>45669</v>
      </c>
      <c r="B91" t="s">
        <v>3</v>
      </c>
      <c r="C91" t="s">
        <v>5</v>
      </c>
      <c r="D91">
        <v>15</v>
      </c>
      <c r="E91">
        <v>411.38</v>
      </c>
      <c r="F91" t="s">
        <v>13</v>
      </c>
      <c r="G91" t="s">
        <v>16</v>
      </c>
      <c r="H91">
        <v>0.05</v>
      </c>
      <c r="I91" t="s">
        <v>23</v>
      </c>
      <c r="J91">
        <v>5862.165</v>
      </c>
      <c r="K91" t="s">
        <v>24</v>
      </c>
      <c r="L91" t="s">
        <v>30</v>
      </c>
      <c r="M91">
        <v>0</v>
      </c>
      <c r="N91" t="s">
        <v>164</v>
      </c>
      <c r="O91" t="s">
        <v>1664</v>
      </c>
      <c r="P91">
        <v>48.51</v>
      </c>
      <c r="Q91">
        <f t="shared" si="1"/>
        <v>390.81099999999998</v>
      </c>
      <c r="R91">
        <v>5813.6549999999997</v>
      </c>
      <c r="S91" s="2">
        <v>45669</v>
      </c>
      <c r="T91" s="2">
        <v>45678</v>
      </c>
      <c r="U91" t="s">
        <v>36</v>
      </c>
      <c r="V91">
        <v>12</v>
      </c>
      <c r="W91">
        <v>1</v>
      </c>
      <c r="X91" t="s">
        <v>42</v>
      </c>
      <c r="Y91">
        <v>2025</v>
      </c>
      <c r="Z91">
        <v>1</v>
      </c>
      <c r="AA91">
        <v>2</v>
      </c>
    </row>
    <row r="92" spans="1:27" x14ac:dyDescent="0.3">
      <c r="A92" s="2">
        <v>45014</v>
      </c>
      <c r="B92" t="s">
        <v>2</v>
      </c>
      <c r="C92" t="s">
        <v>9</v>
      </c>
      <c r="D92">
        <v>19</v>
      </c>
      <c r="E92">
        <v>559.95000000000005</v>
      </c>
      <c r="F92" t="s">
        <v>13</v>
      </c>
      <c r="G92" t="s">
        <v>16</v>
      </c>
      <c r="H92">
        <v>0.1</v>
      </c>
      <c r="I92" t="s">
        <v>21</v>
      </c>
      <c r="J92">
        <v>9575.1450000000004</v>
      </c>
      <c r="K92" t="s">
        <v>26</v>
      </c>
      <c r="L92" t="s">
        <v>31</v>
      </c>
      <c r="M92">
        <v>0</v>
      </c>
      <c r="N92" t="s">
        <v>165</v>
      </c>
      <c r="O92" t="s">
        <v>1665</v>
      </c>
      <c r="P92">
        <v>18.3</v>
      </c>
      <c r="Q92">
        <f t="shared" si="1"/>
        <v>503.95500000000004</v>
      </c>
      <c r="R92">
        <v>9556.8450000000012</v>
      </c>
      <c r="S92" s="2">
        <v>45014</v>
      </c>
      <c r="T92" s="2">
        <v>45019</v>
      </c>
      <c r="U92" t="s">
        <v>35</v>
      </c>
      <c r="V92">
        <v>29</v>
      </c>
      <c r="W92">
        <v>3</v>
      </c>
      <c r="X92" t="s">
        <v>44</v>
      </c>
      <c r="Y92">
        <v>2023</v>
      </c>
      <c r="Z92">
        <v>1</v>
      </c>
      <c r="AA92">
        <v>13</v>
      </c>
    </row>
    <row r="93" spans="1:27" x14ac:dyDescent="0.3">
      <c r="A93" s="2">
        <v>45717</v>
      </c>
      <c r="B93" t="s">
        <v>2</v>
      </c>
      <c r="C93" t="s">
        <v>7</v>
      </c>
      <c r="D93">
        <v>8</v>
      </c>
      <c r="E93">
        <v>179.9</v>
      </c>
      <c r="F93" t="s">
        <v>14</v>
      </c>
      <c r="G93" t="s">
        <v>17</v>
      </c>
      <c r="H93">
        <v>0.05</v>
      </c>
      <c r="I93" t="s">
        <v>21</v>
      </c>
      <c r="J93">
        <v>1367.24</v>
      </c>
      <c r="K93" t="s">
        <v>24</v>
      </c>
      <c r="L93" t="s">
        <v>30</v>
      </c>
      <c r="M93">
        <v>0</v>
      </c>
      <c r="N93" t="s">
        <v>166</v>
      </c>
      <c r="O93" t="s">
        <v>1666</v>
      </c>
      <c r="P93">
        <v>14.8</v>
      </c>
      <c r="Q93">
        <f t="shared" si="1"/>
        <v>170.905</v>
      </c>
      <c r="R93">
        <v>1352.44</v>
      </c>
      <c r="S93" s="2">
        <v>45717</v>
      </c>
      <c r="T93" s="2">
        <v>45721</v>
      </c>
      <c r="U93" t="s">
        <v>35</v>
      </c>
      <c r="V93">
        <v>1</v>
      </c>
      <c r="W93">
        <v>3</v>
      </c>
      <c r="X93" t="s">
        <v>44</v>
      </c>
      <c r="Y93">
        <v>2025</v>
      </c>
      <c r="Z93">
        <v>1</v>
      </c>
      <c r="AA93">
        <v>9</v>
      </c>
    </row>
    <row r="94" spans="1:27" x14ac:dyDescent="0.3">
      <c r="A94" s="2">
        <v>45217</v>
      </c>
      <c r="B94" t="s">
        <v>2</v>
      </c>
      <c r="C94" t="s">
        <v>8</v>
      </c>
      <c r="D94">
        <v>12</v>
      </c>
      <c r="E94">
        <v>494.15</v>
      </c>
      <c r="F94" t="s">
        <v>12</v>
      </c>
      <c r="G94" t="s">
        <v>16</v>
      </c>
      <c r="H94">
        <v>0.15</v>
      </c>
      <c r="I94" t="s">
        <v>22</v>
      </c>
      <c r="J94">
        <v>5040.329999999999</v>
      </c>
      <c r="K94" t="s">
        <v>24</v>
      </c>
      <c r="L94" t="s">
        <v>30</v>
      </c>
      <c r="M94">
        <v>1</v>
      </c>
      <c r="N94" t="s">
        <v>167</v>
      </c>
      <c r="O94" t="s">
        <v>1667</v>
      </c>
      <c r="P94">
        <v>18.05</v>
      </c>
      <c r="Q94">
        <f t="shared" si="1"/>
        <v>420.02749999999992</v>
      </c>
      <c r="R94">
        <v>5022.2799999999988</v>
      </c>
      <c r="S94" s="2">
        <v>45217</v>
      </c>
      <c r="T94" s="2">
        <v>45219</v>
      </c>
      <c r="U94" t="s">
        <v>35</v>
      </c>
      <c r="V94">
        <v>18</v>
      </c>
      <c r="W94">
        <v>10</v>
      </c>
      <c r="X94" t="s">
        <v>43</v>
      </c>
      <c r="Y94">
        <v>2023</v>
      </c>
      <c r="Z94">
        <v>4</v>
      </c>
      <c r="AA94">
        <v>42</v>
      </c>
    </row>
    <row r="95" spans="1:27" x14ac:dyDescent="0.3">
      <c r="A95" s="2">
        <v>45760</v>
      </c>
      <c r="B95" t="s">
        <v>0</v>
      </c>
      <c r="C95" t="s">
        <v>7</v>
      </c>
      <c r="D95">
        <v>10</v>
      </c>
      <c r="E95">
        <v>462.99</v>
      </c>
      <c r="F95" t="s">
        <v>14</v>
      </c>
      <c r="G95" t="s">
        <v>16</v>
      </c>
      <c r="H95">
        <v>0</v>
      </c>
      <c r="I95" t="s">
        <v>23</v>
      </c>
      <c r="J95">
        <v>4629.8999999999996</v>
      </c>
      <c r="K95" t="s">
        <v>26</v>
      </c>
      <c r="L95" t="s">
        <v>31</v>
      </c>
      <c r="M95">
        <v>0</v>
      </c>
      <c r="N95" t="s">
        <v>168</v>
      </c>
      <c r="O95" t="s">
        <v>1668</v>
      </c>
      <c r="P95">
        <v>5.01</v>
      </c>
      <c r="Q95">
        <f t="shared" si="1"/>
        <v>462.98999999999995</v>
      </c>
      <c r="R95">
        <v>4624.8899999999994</v>
      </c>
      <c r="S95" s="2">
        <v>45760</v>
      </c>
      <c r="T95" s="2">
        <v>45762</v>
      </c>
      <c r="U95" t="s">
        <v>33</v>
      </c>
      <c r="V95">
        <v>13</v>
      </c>
      <c r="W95">
        <v>4</v>
      </c>
      <c r="X95" t="s">
        <v>45</v>
      </c>
      <c r="Y95">
        <v>2025</v>
      </c>
      <c r="Z95">
        <v>2</v>
      </c>
      <c r="AA95">
        <v>15</v>
      </c>
    </row>
    <row r="96" spans="1:27" x14ac:dyDescent="0.3">
      <c r="A96" s="2">
        <v>45790</v>
      </c>
      <c r="B96" t="s">
        <v>3</v>
      </c>
      <c r="C96" t="s">
        <v>5</v>
      </c>
      <c r="D96">
        <v>7</v>
      </c>
      <c r="E96">
        <v>460.24</v>
      </c>
      <c r="F96" t="s">
        <v>13</v>
      </c>
      <c r="G96" t="s">
        <v>17</v>
      </c>
      <c r="H96">
        <v>0.05</v>
      </c>
      <c r="I96" t="s">
        <v>19</v>
      </c>
      <c r="J96">
        <v>3060.596</v>
      </c>
      <c r="K96" t="s">
        <v>28</v>
      </c>
      <c r="L96" t="s">
        <v>30</v>
      </c>
      <c r="M96">
        <v>1</v>
      </c>
      <c r="N96" t="s">
        <v>169</v>
      </c>
      <c r="O96" t="s">
        <v>1669</v>
      </c>
      <c r="P96">
        <v>11.54</v>
      </c>
      <c r="Q96">
        <f t="shared" si="1"/>
        <v>437.22800000000001</v>
      </c>
      <c r="R96">
        <v>3049.056</v>
      </c>
      <c r="S96" s="2">
        <v>45790</v>
      </c>
      <c r="T96" s="2">
        <v>45800</v>
      </c>
      <c r="U96" t="s">
        <v>36</v>
      </c>
      <c r="V96">
        <v>13</v>
      </c>
      <c r="W96">
        <v>5</v>
      </c>
      <c r="X96" t="s">
        <v>40</v>
      </c>
      <c r="Y96">
        <v>2025</v>
      </c>
      <c r="Z96">
        <v>2</v>
      </c>
      <c r="AA96">
        <v>20</v>
      </c>
    </row>
    <row r="97" spans="1:27" x14ac:dyDescent="0.3">
      <c r="A97" s="2">
        <v>45403</v>
      </c>
      <c r="B97" t="s">
        <v>4</v>
      </c>
      <c r="C97" t="s">
        <v>11</v>
      </c>
      <c r="D97">
        <v>17</v>
      </c>
      <c r="E97">
        <v>309.52</v>
      </c>
      <c r="F97" t="s">
        <v>12</v>
      </c>
      <c r="G97" t="s">
        <v>16</v>
      </c>
      <c r="H97">
        <v>0.05</v>
      </c>
      <c r="I97" t="s">
        <v>18</v>
      </c>
      <c r="J97">
        <v>4998.7479999999996</v>
      </c>
      <c r="K97" t="s">
        <v>24</v>
      </c>
      <c r="L97" t="s">
        <v>29</v>
      </c>
      <c r="M97">
        <v>0</v>
      </c>
      <c r="N97" t="s">
        <v>170</v>
      </c>
      <c r="O97" t="s">
        <v>1670</v>
      </c>
      <c r="P97">
        <v>6.11</v>
      </c>
      <c r="Q97">
        <f t="shared" si="1"/>
        <v>294.04399999999998</v>
      </c>
      <c r="R97">
        <v>4992.6379999999999</v>
      </c>
      <c r="S97" s="2">
        <v>45403</v>
      </c>
      <c r="T97" s="2">
        <v>45409</v>
      </c>
      <c r="U97" t="s">
        <v>37</v>
      </c>
      <c r="V97">
        <v>21</v>
      </c>
      <c r="W97">
        <v>4</v>
      </c>
      <c r="X97" t="s">
        <v>45</v>
      </c>
      <c r="Y97">
        <v>2024</v>
      </c>
      <c r="Z97">
        <v>2</v>
      </c>
      <c r="AA97">
        <v>16</v>
      </c>
    </row>
    <row r="98" spans="1:27" x14ac:dyDescent="0.3">
      <c r="A98" s="2">
        <v>45688</v>
      </c>
      <c r="B98" t="s">
        <v>3</v>
      </c>
      <c r="C98" t="s">
        <v>9</v>
      </c>
      <c r="D98">
        <v>1</v>
      </c>
      <c r="E98">
        <v>323.83</v>
      </c>
      <c r="F98" t="s">
        <v>12</v>
      </c>
      <c r="G98" t="s">
        <v>16</v>
      </c>
      <c r="H98">
        <v>0.05</v>
      </c>
      <c r="I98" t="s">
        <v>18</v>
      </c>
      <c r="J98">
        <v>307.63850000000002</v>
      </c>
      <c r="K98" t="s">
        <v>26</v>
      </c>
      <c r="L98" t="s">
        <v>31</v>
      </c>
      <c r="M98">
        <v>0</v>
      </c>
      <c r="N98" t="s">
        <v>171</v>
      </c>
      <c r="O98" t="s">
        <v>1671</v>
      </c>
      <c r="P98">
        <v>27.48</v>
      </c>
      <c r="Q98">
        <f t="shared" si="1"/>
        <v>307.63850000000002</v>
      </c>
      <c r="R98">
        <v>280.1585</v>
      </c>
      <c r="S98" s="2">
        <v>45688</v>
      </c>
      <c r="T98" s="2">
        <v>45696</v>
      </c>
      <c r="U98" t="s">
        <v>36</v>
      </c>
      <c r="V98">
        <v>31</v>
      </c>
      <c r="W98">
        <v>1</v>
      </c>
      <c r="X98" t="s">
        <v>42</v>
      </c>
      <c r="Y98">
        <v>2025</v>
      </c>
      <c r="Z98">
        <v>1</v>
      </c>
      <c r="AA98">
        <v>5</v>
      </c>
    </row>
    <row r="99" spans="1:27" x14ac:dyDescent="0.3">
      <c r="A99" s="2">
        <v>45730</v>
      </c>
      <c r="B99" t="s">
        <v>3</v>
      </c>
      <c r="C99" t="s">
        <v>8</v>
      </c>
      <c r="D99">
        <v>10</v>
      </c>
      <c r="E99">
        <v>503.07</v>
      </c>
      <c r="F99" t="s">
        <v>14</v>
      </c>
      <c r="G99" t="s">
        <v>17</v>
      </c>
      <c r="H99">
        <v>0</v>
      </c>
      <c r="I99" t="s">
        <v>23</v>
      </c>
      <c r="J99">
        <v>5030.7</v>
      </c>
      <c r="K99" t="s">
        <v>26</v>
      </c>
      <c r="L99" t="s">
        <v>29</v>
      </c>
      <c r="M99">
        <v>0</v>
      </c>
      <c r="N99" t="s">
        <v>172</v>
      </c>
      <c r="O99" t="s">
        <v>1672</v>
      </c>
      <c r="P99">
        <v>44.61</v>
      </c>
      <c r="Q99">
        <f t="shared" si="1"/>
        <v>503.07</v>
      </c>
      <c r="R99">
        <v>4986.09</v>
      </c>
      <c r="S99" s="2">
        <v>45730</v>
      </c>
      <c r="T99" s="2">
        <v>45735</v>
      </c>
      <c r="U99" t="s">
        <v>36</v>
      </c>
      <c r="V99">
        <v>14</v>
      </c>
      <c r="W99">
        <v>3</v>
      </c>
      <c r="X99" t="s">
        <v>44</v>
      </c>
      <c r="Y99">
        <v>2025</v>
      </c>
      <c r="Z99">
        <v>1</v>
      </c>
      <c r="AA99">
        <v>11</v>
      </c>
    </row>
    <row r="100" spans="1:27" x14ac:dyDescent="0.3">
      <c r="A100" s="2">
        <v>45438</v>
      </c>
      <c r="B100" t="s">
        <v>4</v>
      </c>
      <c r="C100" t="s">
        <v>5</v>
      </c>
      <c r="D100">
        <v>20</v>
      </c>
      <c r="E100">
        <v>491.68</v>
      </c>
      <c r="F100" t="s">
        <v>15</v>
      </c>
      <c r="G100" t="s">
        <v>16</v>
      </c>
      <c r="H100">
        <v>0.15</v>
      </c>
      <c r="I100" t="s">
        <v>19</v>
      </c>
      <c r="J100">
        <v>8358.56</v>
      </c>
      <c r="K100" t="s">
        <v>24</v>
      </c>
      <c r="L100" t="s">
        <v>30</v>
      </c>
      <c r="M100">
        <v>1</v>
      </c>
      <c r="N100" t="s">
        <v>173</v>
      </c>
      <c r="O100" t="s">
        <v>1673</v>
      </c>
      <c r="P100">
        <v>43.46</v>
      </c>
      <c r="Q100">
        <f t="shared" si="1"/>
        <v>417.928</v>
      </c>
      <c r="R100">
        <v>8315.1</v>
      </c>
      <c r="S100" s="2">
        <v>45438</v>
      </c>
      <c r="T100" s="2">
        <v>45441</v>
      </c>
      <c r="U100" t="s">
        <v>37</v>
      </c>
      <c r="V100">
        <v>26</v>
      </c>
      <c r="W100">
        <v>5</v>
      </c>
      <c r="X100" t="s">
        <v>40</v>
      </c>
      <c r="Y100">
        <v>2024</v>
      </c>
      <c r="Z100">
        <v>2</v>
      </c>
      <c r="AA100">
        <v>21</v>
      </c>
    </row>
    <row r="101" spans="1:27" x14ac:dyDescent="0.3">
      <c r="A101" s="2">
        <v>45129</v>
      </c>
      <c r="B101" t="s">
        <v>2</v>
      </c>
      <c r="C101" t="s">
        <v>6</v>
      </c>
      <c r="D101">
        <v>17</v>
      </c>
      <c r="E101">
        <v>468.45</v>
      </c>
      <c r="F101" t="s">
        <v>13</v>
      </c>
      <c r="G101" t="s">
        <v>17</v>
      </c>
      <c r="H101">
        <v>0.05</v>
      </c>
      <c r="I101" t="s">
        <v>21</v>
      </c>
      <c r="J101">
        <v>7565.4674999999997</v>
      </c>
      <c r="K101" t="s">
        <v>26</v>
      </c>
      <c r="L101" t="s">
        <v>29</v>
      </c>
      <c r="M101">
        <v>0</v>
      </c>
      <c r="N101" t="s">
        <v>174</v>
      </c>
      <c r="O101" t="s">
        <v>1674</v>
      </c>
      <c r="P101">
        <v>17.88</v>
      </c>
      <c r="Q101">
        <f t="shared" si="1"/>
        <v>445.02749999999997</v>
      </c>
      <c r="R101">
        <v>7547.5874999999996</v>
      </c>
      <c r="S101" s="2">
        <v>45129</v>
      </c>
      <c r="T101" s="2">
        <v>45133</v>
      </c>
      <c r="U101" t="s">
        <v>35</v>
      </c>
      <c r="V101">
        <v>22</v>
      </c>
      <c r="W101">
        <v>7</v>
      </c>
      <c r="X101" t="s">
        <v>46</v>
      </c>
      <c r="Y101">
        <v>2023</v>
      </c>
      <c r="Z101">
        <v>3</v>
      </c>
      <c r="AA101">
        <v>29</v>
      </c>
    </row>
    <row r="102" spans="1:27" x14ac:dyDescent="0.3">
      <c r="A102" s="2">
        <v>45372</v>
      </c>
      <c r="B102" t="s">
        <v>2</v>
      </c>
      <c r="C102" t="s">
        <v>5</v>
      </c>
      <c r="D102">
        <v>11</v>
      </c>
      <c r="E102">
        <v>401.76</v>
      </c>
      <c r="F102" t="s">
        <v>15</v>
      </c>
      <c r="G102" t="s">
        <v>17</v>
      </c>
      <c r="H102">
        <v>0.15</v>
      </c>
      <c r="I102" t="s">
        <v>20</v>
      </c>
      <c r="J102">
        <v>3756.4560000000001</v>
      </c>
      <c r="K102" t="s">
        <v>25</v>
      </c>
      <c r="L102" t="s">
        <v>30</v>
      </c>
      <c r="M102">
        <v>0</v>
      </c>
      <c r="N102" t="s">
        <v>175</v>
      </c>
      <c r="O102" t="s">
        <v>1675</v>
      </c>
      <c r="P102">
        <v>48.03</v>
      </c>
      <c r="Q102">
        <f t="shared" si="1"/>
        <v>341.49600000000004</v>
      </c>
      <c r="R102">
        <v>3708.4259999999999</v>
      </c>
      <c r="S102" s="2">
        <v>45372</v>
      </c>
      <c r="T102" s="2">
        <v>45381</v>
      </c>
      <c r="U102" t="s">
        <v>35</v>
      </c>
      <c r="V102">
        <v>21</v>
      </c>
      <c r="W102">
        <v>3</v>
      </c>
      <c r="X102" t="s">
        <v>44</v>
      </c>
      <c r="Y102">
        <v>2024</v>
      </c>
      <c r="Z102">
        <v>1</v>
      </c>
      <c r="AA102">
        <v>12</v>
      </c>
    </row>
    <row r="103" spans="1:27" x14ac:dyDescent="0.3">
      <c r="A103" s="2">
        <v>45021</v>
      </c>
      <c r="B103" t="s">
        <v>4</v>
      </c>
      <c r="C103" t="s">
        <v>11</v>
      </c>
      <c r="D103">
        <v>3</v>
      </c>
      <c r="E103">
        <v>221</v>
      </c>
      <c r="F103" t="s">
        <v>12</v>
      </c>
      <c r="G103" t="s">
        <v>16</v>
      </c>
      <c r="H103">
        <v>0</v>
      </c>
      <c r="I103" t="s">
        <v>20</v>
      </c>
      <c r="J103">
        <v>663</v>
      </c>
      <c r="K103" t="s">
        <v>28</v>
      </c>
      <c r="L103" t="s">
        <v>29</v>
      </c>
      <c r="M103">
        <v>0</v>
      </c>
      <c r="N103" t="s">
        <v>176</v>
      </c>
      <c r="O103" t="s">
        <v>1676</v>
      </c>
      <c r="P103">
        <v>32.31</v>
      </c>
      <c r="Q103">
        <f t="shared" si="1"/>
        <v>221</v>
      </c>
      <c r="R103">
        <v>630.69000000000005</v>
      </c>
      <c r="S103" s="2">
        <v>45021</v>
      </c>
      <c r="T103" s="2">
        <v>45024</v>
      </c>
      <c r="U103" t="s">
        <v>37</v>
      </c>
      <c r="V103">
        <v>5</v>
      </c>
      <c r="W103">
        <v>4</v>
      </c>
      <c r="X103" t="s">
        <v>45</v>
      </c>
      <c r="Y103">
        <v>2023</v>
      </c>
      <c r="Z103">
        <v>2</v>
      </c>
      <c r="AA103">
        <v>14</v>
      </c>
    </row>
    <row r="104" spans="1:27" x14ac:dyDescent="0.3">
      <c r="A104" s="2">
        <v>45530</v>
      </c>
      <c r="B104" t="s">
        <v>0</v>
      </c>
      <c r="C104" t="s">
        <v>9</v>
      </c>
      <c r="D104">
        <v>6</v>
      </c>
      <c r="E104">
        <v>188.45</v>
      </c>
      <c r="F104" t="s">
        <v>14</v>
      </c>
      <c r="G104" t="s">
        <v>16</v>
      </c>
      <c r="H104">
        <v>0.05</v>
      </c>
      <c r="I104" t="s">
        <v>19</v>
      </c>
      <c r="J104">
        <v>1074.165</v>
      </c>
      <c r="K104" t="s">
        <v>25</v>
      </c>
      <c r="L104" t="s">
        <v>32</v>
      </c>
      <c r="M104">
        <v>0</v>
      </c>
      <c r="N104" t="s">
        <v>177</v>
      </c>
      <c r="O104" t="s">
        <v>1677</v>
      </c>
      <c r="P104">
        <v>6.77</v>
      </c>
      <c r="Q104">
        <f t="shared" si="1"/>
        <v>179.0275</v>
      </c>
      <c r="R104">
        <v>1067.395</v>
      </c>
      <c r="S104" s="2">
        <v>45530</v>
      </c>
      <c r="T104" s="2">
        <v>45536</v>
      </c>
      <c r="U104" t="s">
        <v>33</v>
      </c>
      <c r="V104">
        <v>26</v>
      </c>
      <c r="W104">
        <v>8</v>
      </c>
      <c r="X104" t="s">
        <v>48</v>
      </c>
      <c r="Y104">
        <v>2024</v>
      </c>
      <c r="Z104">
        <v>3</v>
      </c>
      <c r="AA104">
        <v>35</v>
      </c>
    </row>
    <row r="105" spans="1:27" x14ac:dyDescent="0.3">
      <c r="A105" s="2">
        <v>45480</v>
      </c>
      <c r="B105" t="s">
        <v>2</v>
      </c>
      <c r="C105" t="s">
        <v>7</v>
      </c>
      <c r="D105">
        <v>3</v>
      </c>
      <c r="E105">
        <v>566.20000000000005</v>
      </c>
      <c r="F105" t="s">
        <v>15</v>
      </c>
      <c r="G105" t="s">
        <v>17</v>
      </c>
      <c r="H105">
        <v>0</v>
      </c>
      <c r="I105" t="s">
        <v>23</v>
      </c>
      <c r="J105">
        <v>1698.6</v>
      </c>
      <c r="K105" t="s">
        <v>25</v>
      </c>
      <c r="L105" t="s">
        <v>29</v>
      </c>
      <c r="M105">
        <v>1</v>
      </c>
      <c r="N105" t="s">
        <v>178</v>
      </c>
      <c r="O105" t="s">
        <v>1678</v>
      </c>
      <c r="P105">
        <v>28.97</v>
      </c>
      <c r="Q105">
        <f t="shared" si="1"/>
        <v>566.19999999999993</v>
      </c>
      <c r="R105">
        <v>1669.6299999999999</v>
      </c>
      <c r="S105" s="2">
        <v>45480</v>
      </c>
      <c r="T105" s="2">
        <v>45490</v>
      </c>
      <c r="U105" t="s">
        <v>35</v>
      </c>
      <c r="V105">
        <v>7</v>
      </c>
      <c r="W105">
        <v>7</v>
      </c>
      <c r="X105" t="s">
        <v>46</v>
      </c>
      <c r="Y105">
        <v>2024</v>
      </c>
      <c r="Z105">
        <v>3</v>
      </c>
      <c r="AA105">
        <v>27</v>
      </c>
    </row>
    <row r="106" spans="1:27" x14ac:dyDescent="0.3">
      <c r="A106" s="2">
        <v>45198</v>
      </c>
      <c r="B106" t="s">
        <v>0</v>
      </c>
      <c r="C106" t="s">
        <v>9</v>
      </c>
      <c r="D106">
        <v>14</v>
      </c>
      <c r="E106">
        <v>167.09</v>
      </c>
      <c r="F106" t="s">
        <v>15</v>
      </c>
      <c r="G106" t="s">
        <v>17</v>
      </c>
      <c r="H106">
        <v>0.05</v>
      </c>
      <c r="I106" t="s">
        <v>19</v>
      </c>
      <c r="J106">
        <v>2222.297</v>
      </c>
      <c r="K106" t="s">
        <v>25</v>
      </c>
      <c r="L106" t="s">
        <v>30</v>
      </c>
      <c r="M106">
        <v>1</v>
      </c>
      <c r="N106" t="s">
        <v>179</v>
      </c>
      <c r="O106" t="s">
        <v>1679</v>
      </c>
      <c r="P106">
        <v>47.05</v>
      </c>
      <c r="Q106">
        <f t="shared" si="1"/>
        <v>158.7355</v>
      </c>
      <c r="R106">
        <v>2175.2469999999998</v>
      </c>
      <c r="S106" s="2">
        <v>45198</v>
      </c>
      <c r="T106" s="2">
        <v>45207</v>
      </c>
      <c r="U106" t="s">
        <v>33</v>
      </c>
      <c r="V106">
        <v>29</v>
      </c>
      <c r="W106">
        <v>9</v>
      </c>
      <c r="X106" t="s">
        <v>49</v>
      </c>
      <c r="Y106">
        <v>2023</v>
      </c>
      <c r="Z106">
        <v>3</v>
      </c>
      <c r="AA106">
        <v>39</v>
      </c>
    </row>
    <row r="107" spans="1:27" x14ac:dyDescent="0.3">
      <c r="A107" s="2">
        <v>45203</v>
      </c>
      <c r="B107" t="s">
        <v>4</v>
      </c>
      <c r="C107" t="s">
        <v>9</v>
      </c>
      <c r="D107">
        <v>16</v>
      </c>
      <c r="E107">
        <v>36.159999999999997</v>
      </c>
      <c r="F107" t="s">
        <v>14</v>
      </c>
      <c r="G107" t="s">
        <v>16</v>
      </c>
      <c r="H107">
        <v>0.1</v>
      </c>
      <c r="I107" t="s">
        <v>21</v>
      </c>
      <c r="J107">
        <v>520.70399999999995</v>
      </c>
      <c r="K107" t="s">
        <v>27</v>
      </c>
      <c r="L107" t="s">
        <v>29</v>
      </c>
      <c r="M107">
        <v>0</v>
      </c>
      <c r="N107" t="s">
        <v>180</v>
      </c>
      <c r="O107" t="s">
        <v>1680</v>
      </c>
      <c r="P107">
        <v>26.64</v>
      </c>
      <c r="Q107">
        <f t="shared" si="1"/>
        <v>32.543999999999997</v>
      </c>
      <c r="R107">
        <v>494.06399999999996</v>
      </c>
      <c r="S107" s="2">
        <v>45203</v>
      </c>
      <c r="T107" s="2">
        <v>45210</v>
      </c>
      <c r="U107" t="s">
        <v>37</v>
      </c>
      <c r="V107">
        <v>4</v>
      </c>
      <c r="W107">
        <v>10</v>
      </c>
      <c r="X107" t="s">
        <v>43</v>
      </c>
      <c r="Y107">
        <v>2023</v>
      </c>
      <c r="Z107">
        <v>4</v>
      </c>
      <c r="AA107">
        <v>40</v>
      </c>
    </row>
    <row r="108" spans="1:27" x14ac:dyDescent="0.3">
      <c r="A108" s="2">
        <v>45817</v>
      </c>
      <c r="B108" t="s">
        <v>3</v>
      </c>
      <c r="C108" t="s">
        <v>11</v>
      </c>
      <c r="D108">
        <v>2</v>
      </c>
      <c r="E108">
        <v>73.94</v>
      </c>
      <c r="F108" t="s">
        <v>12</v>
      </c>
      <c r="G108" t="s">
        <v>16</v>
      </c>
      <c r="H108">
        <v>0.05</v>
      </c>
      <c r="I108" t="s">
        <v>21</v>
      </c>
      <c r="J108">
        <v>140.48599999999999</v>
      </c>
      <c r="K108" t="s">
        <v>27</v>
      </c>
      <c r="L108" t="s">
        <v>30</v>
      </c>
      <c r="M108">
        <v>0</v>
      </c>
      <c r="N108" t="s">
        <v>181</v>
      </c>
      <c r="O108" t="s">
        <v>1681</v>
      </c>
      <c r="P108">
        <v>28.05</v>
      </c>
      <c r="Q108">
        <f t="shared" si="1"/>
        <v>70.242999999999995</v>
      </c>
      <c r="R108">
        <v>112.43599999999999</v>
      </c>
      <c r="S108" s="2">
        <v>45817</v>
      </c>
      <c r="T108" s="2">
        <v>45824</v>
      </c>
      <c r="U108" t="s">
        <v>36</v>
      </c>
      <c r="V108">
        <v>9</v>
      </c>
      <c r="W108">
        <v>6</v>
      </c>
      <c r="X108" t="s">
        <v>41</v>
      </c>
      <c r="Y108">
        <v>2025</v>
      </c>
      <c r="Z108">
        <v>2</v>
      </c>
      <c r="AA108">
        <v>24</v>
      </c>
    </row>
    <row r="109" spans="1:27" x14ac:dyDescent="0.3">
      <c r="A109" s="2">
        <v>45820</v>
      </c>
      <c r="B109" t="s">
        <v>0</v>
      </c>
      <c r="C109" t="s">
        <v>11</v>
      </c>
      <c r="D109">
        <v>16</v>
      </c>
      <c r="E109">
        <v>459.49</v>
      </c>
      <c r="F109" t="s">
        <v>13</v>
      </c>
      <c r="G109" t="s">
        <v>16</v>
      </c>
      <c r="H109">
        <v>0.1</v>
      </c>
      <c r="I109" t="s">
        <v>18</v>
      </c>
      <c r="J109">
        <v>6616.6559999999999</v>
      </c>
      <c r="K109" t="s">
        <v>24</v>
      </c>
      <c r="L109" t="s">
        <v>30</v>
      </c>
      <c r="M109">
        <v>0</v>
      </c>
      <c r="N109" t="s">
        <v>182</v>
      </c>
      <c r="O109" t="s">
        <v>1682</v>
      </c>
      <c r="P109">
        <v>26.99</v>
      </c>
      <c r="Q109">
        <f t="shared" si="1"/>
        <v>413.541</v>
      </c>
      <c r="R109">
        <v>6589.6660000000002</v>
      </c>
      <c r="S109" s="2">
        <v>45820</v>
      </c>
      <c r="T109" s="2">
        <v>45822</v>
      </c>
      <c r="U109" t="s">
        <v>33</v>
      </c>
      <c r="V109">
        <v>12</v>
      </c>
      <c r="W109">
        <v>6</v>
      </c>
      <c r="X109" t="s">
        <v>41</v>
      </c>
      <c r="Y109">
        <v>2025</v>
      </c>
      <c r="Z109">
        <v>2</v>
      </c>
      <c r="AA109">
        <v>24</v>
      </c>
    </row>
    <row r="110" spans="1:27" x14ac:dyDescent="0.3">
      <c r="A110" s="2">
        <v>45472</v>
      </c>
      <c r="B110" t="s">
        <v>0</v>
      </c>
      <c r="C110" t="s">
        <v>8</v>
      </c>
      <c r="D110">
        <v>3</v>
      </c>
      <c r="E110">
        <v>168.05</v>
      </c>
      <c r="F110" t="s">
        <v>13</v>
      </c>
      <c r="G110" t="s">
        <v>17</v>
      </c>
      <c r="H110">
        <v>0</v>
      </c>
      <c r="I110" t="s">
        <v>21</v>
      </c>
      <c r="J110">
        <v>504.15</v>
      </c>
      <c r="K110" t="s">
        <v>28</v>
      </c>
      <c r="L110" t="s">
        <v>32</v>
      </c>
      <c r="M110">
        <v>1</v>
      </c>
      <c r="N110" t="s">
        <v>183</v>
      </c>
      <c r="O110" t="s">
        <v>1683</v>
      </c>
      <c r="P110">
        <v>21.08</v>
      </c>
      <c r="Q110">
        <f t="shared" si="1"/>
        <v>168.04999999999998</v>
      </c>
      <c r="R110">
        <v>483.07</v>
      </c>
      <c r="S110" s="2">
        <v>45472</v>
      </c>
      <c r="T110" s="2">
        <v>45479</v>
      </c>
      <c r="U110" t="s">
        <v>33</v>
      </c>
      <c r="V110">
        <v>29</v>
      </c>
      <c r="W110">
        <v>6</v>
      </c>
      <c r="X110" t="s">
        <v>41</v>
      </c>
      <c r="Y110">
        <v>2024</v>
      </c>
      <c r="Z110">
        <v>2</v>
      </c>
      <c r="AA110">
        <v>26</v>
      </c>
    </row>
    <row r="111" spans="1:27" x14ac:dyDescent="0.3">
      <c r="A111" s="2">
        <v>45374</v>
      </c>
      <c r="B111" t="s">
        <v>2</v>
      </c>
      <c r="C111" t="s">
        <v>11</v>
      </c>
      <c r="D111">
        <v>14</v>
      </c>
      <c r="E111">
        <v>37.54</v>
      </c>
      <c r="F111" t="s">
        <v>12</v>
      </c>
      <c r="G111" t="s">
        <v>17</v>
      </c>
      <c r="H111">
        <v>0.15</v>
      </c>
      <c r="I111" t="s">
        <v>19</v>
      </c>
      <c r="J111">
        <v>446.72599999999989</v>
      </c>
      <c r="K111" t="s">
        <v>26</v>
      </c>
      <c r="L111" t="s">
        <v>32</v>
      </c>
      <c r="M111">
        <v>1</v>
      </c>
      <c r="N111" t="s">
        <v>184</v>
      </c>
      <c r="O111" t="s">
        <v>1684</v>
      </c>
      <c r="P111">
        <v>49.6</v>
      </c>
      <c r="Q111">
        <f t="shared" si="1"/>
        <v>31.908999999999992</v>
      </c>
      <c r="R111">
        <v>397.12599999999986</v>
      </c>
      <c r="S111" s="2">
        <v>45374</v>
      </c>
      <c r="T111" s="2">
        <v>45384</v>
      </c>
      <c r="U111" t="s">
        <v>35</v>
      </c>
      <c r="V111">
        <v>23</v>
      </c>
      <c r="W111">
        <v>3</v>
      </c>
      <c r="X111" t="s">
        <v>44</v>
      </c>
      <c r="Y111">
        <v>2024</v>
      </c>
      <c r="Z111">
        <v>1</v>
      </c>
      <c r="AA111">
        <v>12</v>
      </c>
    </row>
    <row r="112" spans="1:27" x14ac:dyDescent="0.3">
      <c r="A112" s="2">
        <v>45487</v>
      </c>
      <c r="B112" t="s">
        <v>1</v>
      </c>
      <c r="C112" t="s">
        <v>10</v>
      </c>
      <c r="D112">
        <v>4</v>
      </c>
      <c r="E112">
        <v>151.16</v>
      </c>
      <c r="F112" t="s">
        <v>12</v>
      </c>
      <c r="G112" t="s">
        <v>16</v>
      </c>
      <c r="H112">
        <v>0</v>
      </c>
      <c r="I112" t="s">
        <v>19</v>
      </c>
      <c r="J112">
        <v>604.64</v>
      </c>
      <c r="K112" t="s">
        <v>25</v>
      </c>
      <c r="L112" t="s">
        <v>30</v>
      </c>
      <c r="M112">
        <v>1</v>
      </c>
      <c r="N112" t="s">
        <v>185</v>
      </c>
      <c r="O112" t="s">
        <v>1685</v>
      </c>
      <c r="P112">
        <v>41.4</v>
      </c>
      <c r="Q112">
        <f t="shared" si="1"/>
        <v>151.16</v>
      </c>
      <c r="R112">
        <v>563.24</v>
      </c>
      <c r="S112" s="2">
        <v>45487</v>
      </c>
      <c r="T112" s="2">
        <v>45494</v>
      </c>
      <c r="U112" t="s">
        <v>34</v>
      </c>
      <c r="V112">
        <v>14</v>
      </c>
      <c r="W112">
        <v>7</v>
      </c>
      <c r="X112" t="s">
        <v>46</v>
      </c>
      <c r="Y112">
        <v>2024</v>
      </c>
      <c r="Z112">
        <v>3</v>
      </c>
      <c r="AA112">
        <v>28</v>
      </c>
    </row>
    <row r="113" spans="1:27" x14ac:dyDescent="0.3">
      <c r="A113" s="2">
        <v>45366</v>
      </c>
      <c r="B113" t="s">
        <v>1</v>
      </c>
      <c r="C113" t="s">
        <v>10</v>
      </c>
      <c r="D113">
        <v>17</v>
      </c>
      <c r="E113">
        <v>78.58</v>
      </c>
      <c r="F113" t="s">
        <v>13</v>
      </c>
      <c r="G113" t="s">
        <v>16</v>
      </c>
      <c r="H113">
        <v>0.1</v>
      </c>
      <c r="I113" t="s">
        <v>23</v>
      </c>
      <c r="J113">
        <v>1202.2739999999999</v>
      </c>
      <c r="K113" t="s">
        <v>25</v>
      </c>
      <c r="L113" t="s">
        <v>31</v>
      </c>
      <c r="M113">
        <v>0</v>
      </c>
      <c r="N113" t="s">
        <v>186</v>
      </c>
      <c r="O113" t="s">
        <v>1686</v>
      </c>
      <c r="P113">
        <v>8.02</v>
      </c>
      <c r="Q113">
        <f t="shared" si="1"/>
        <v>70.721999999999994</v>
      </c>
      <c r="R113">
        <v>1194.2539999999999</v>
      </c>
      <c r="S113" s="2">
        <v>45366</v>
      </c>
      <c r="T113" s="2">
        <v>45376</v>
      </c>
      <c r="U113" t="s">
        <v>34</v>
      </c>
      <c r="V113">
        <v>15</v>
      </c>
      <c r="W113">
        <v>3</v>
      </c>
      <c r="X113" t="s">
        <v>44</v>
      </c>
      <c r="Y113">
        <v>2024</v>
      </c>
      <c r="Z113">
        <v>1</v>
      </c>
      <c r="AA113">
        <v>11</v>
      </c>
    </row>
    <row r="114" spans="1:27" x14ac:dyDescent="0.3">
      <c r="A114" s="2">
        <v>45766</v>
      </c>
      <c r="B114" t="s">
        <v>3</v>
      </c>
      <c r="C114" t="s">
        <v>8</v>
      </c>
      <c r="D114">
        <v>15</v>
      </c>
      <c r="E114">
        <v>37.33</v>
      </c>
      <c r="F114" t="s">
        <v>12</v>
      </c>
      <c r="G114" t="s">
        <v>17</v>
      </c>
      <c r="H114">
        <v>0.05</v>
      </c>
      <c r="I114" t="s">
        <v>21</v>
      </c>
      <c r="J114">
        <v>531.95249999999987</v>
      </c>
      <c r="K114" t="s">
        <v>28</v>
      </c>
      <c r="L114" t="s">
        <v>32</v>
      </c>
      <c r="M114">
        <v>1</v>
      </c>
      <c r="N114" t="s">
        <v>187</v>
      </c>
      <c r="O114" t="s">
        <v>1687</v>
      </c>
      <c r="P114">
        <v>43.69</v>
      </c>
      <c r="Q114">
        <f t="shared" si="1"/>
        <v>35.463499999999989</v>
      </c>
      <c r="R114">
        <v>488.26249999999987</v>
      </c>
      <c r="S114" s="2">
        <v>45766</v>
      </c>
      <c r="T114" s="2">
        <v>45771</v>
      </c>
      <c r="U114" t="s">
        <v>36</v>
      </c>
      <c r="V114">
        <v>19</v>
      </c>
      <c r="W114">
        <v>4</v>
      </c>
      <c r="X114" t="s">
        <v>45</v>
      </c>
      <c r="Y114">
        <v>2025</v>
      </c>
      <c r="Z114">
        <v>2</v>
      </c>
      <c r="AA114">
        <v>16</v>
      </c>
    </row>
    <row r="115" spans="1:27" x14ac:dyDescent="0.3">
      <c r="A115" s="2">
        <v>45337</v>
      </c>
      <c r="B115" t="s">
        <v>4</v>
      </c>
      <c r="C115" t="s">
        <v>10</v>
      </c>
      <c r="D115">
        <v>18</v>
      </c>
      <c r="E115">
        <v>537.02</v>
      </c>
      <c r="F115" t="s">
        <v>13</v>
      </c>
      <c r="G115" t="s">
        <v>16</v>
      </c>
      <c r="H115">
        <v>0.15</v>
      </c>
      <c r="I115" t="s">
        <v>21</v>
      </c>
      <c r="J115">
        <v>8216.4060000000009</v>
      </c>
      <c r="K115" t="s">
        <v>27</v>
      </c>
      <c r="L115" t="s">
        <v>30</v>
      </c>
      <c r="M115">
        <v>0</v>
      </c>
      <c r="N115" t="s">
        <v>188</v>
      </c>
      <c r="O115" t="s">
        <v>1688</v>
      </c>
      <c r="P115">
        <v>23.94</v>
      </c>
      <c r="Q115">
        <f t="shared" si="1"/>
        <v>456.46700000000004</v>
      </c>
      <c r="R115">
        <v>8192.4660000000003</v>
      </c>
      <c r="S115" s="2">
        <v>45337</v>
      </c>
      <c r="T115" s="2">
        <v>45342</v>
      </c>
      <c r="U115" t="s">
        <v>37</v>
      </c>
      <c r="V115">
        <v>15</v>
      </c>
      <c r="W115">
        <v>2</v>
      </c>
      <c r="X115" t="s">
        <v>38</v>
      </c>
      <c r="Y115">
        <v>2024</v>
      </c>
      <c r="Z115">
        <v>1</v>
      </c>
      <c r="AA115">
        <v>7</v>
      </c>
    </row>
    <row r="116" spans="1:27" x14ac:dyDescent="0.3">
      <c r="A116" s="2">
        <v>45316</v>
      </c>
      <c r="B116" t="s">
        <v>0</v>
      </c>
      <c r="C116" t="s">
        <v>7</v>
      </c>
      <c r="D116">
        <v>5</v>
      </c>
      <c r="E116">
        <v>215.6</v>
      </c>
      <c r="F116" t="s">
        <v>14</v>
      </c>
      <c r="G116" t="s">
        <v>16</v>
      </c>
      <c r="H116">
        <v>0</v>
      </c>
      <c r="I116" t="s">
        <v>20</v>
      </c>
      <c r="J116">
        <v>1078</v>
      </c>
      <c r="K116" t="s">
        <v>24</v>
      </c>
      <c r="L116" t="s">
        <v>31</v>
      </c>
      <c r="M116">
        <v>0</v>
      </c>
      <c r="N116" t="s">
        <v>189</v>
      </c>
      <c r="O116" t="s">
        <v>1689</v>
      </c>
      <c r="P116">
        <v>28.36</v>
      </c>
      <c r="Q116">
        <f t="shared" si="1"/>
        <v>215.6</v>
      </c>
      <c r="R116">
        <v>1049.6400000000001</v>
      </c>
      <c r="S116" s="2">
        <v>45316</v>
      </c>
      <c r="T116" s="2">
        <v>45326</v>
      </c>
      <c r="U116" t="s">
        <v>33</v>
      </c>
      <c r="V116">
        <v>25</v>
      </c>
      <c r="W116">
        <v>1</v>
      </c>
      <c r="X116" t="s">
        <v>42</v>
      </c>
      <c r="Y116">
        <v>2024</v>
      </c>
      <c r="Z116">
        <v>1</v>
      </c>
      <c r="AA116">
        <v>4</v>
      </c>
    </row>
    <row r="117" spans="1:27" x14ac:dyDescent="0.3">
      <c r="A117" s="2">
        <v>45762</v>
      </c>
      <c r="B117" t="s">
        <v>3</v>
      </c>
      <c r="C117" t="s">
        <v>5</v>
      </c>
      <c r="D117">
        <v>18</v>
      </c>
      <c r="E117">
        <v>209.5</v>
      </c>
      <c r="F117" t="s">
        <v>15</v>
      </c>
      <c r="G117" t="s">
        <v>16</v>
      </c>
      <c r="H117">
        <v>0</v>
      </c>
      <c r="I117" t="s">
        <v>21</v>
      </c>
      <c r="J117">
        <v>3771</v>
      </c>
      <c r="K117" t="s">
        <v>26</v>
      </c>
      <c r="L117" t="s">
        <v>29</v>
      </c>
      <c r="M117">
        <v>0</v>
      </c>
      <c r="N117" t="s">
        <v>190</v>
      </c>
      <c r="O117" t="s">
        <v>1690</v>
      </c>
      <c r="P117">
        <v>38.229999999999997</v>
      </c>
      <c r="Q117">
        <f t="shared" si="1"/>
        <v>209.5</v>
      </c>
      <c r="R117">
        <v>3732.77</v>
      </c>
      <c r="S117" s="2">
        <v>45762</v>
      </c>
      <c r="T117" s="2">
        <v>45770</v>
      </c>
      <c r="U117" t="s">
        <v>36</v>
      </c>
      <c r="V117">
        <v>15</v>
      </c>
      <c r="W117">
        <v>4</v>
      </c>
      <c r="X117" t="s">
        <v>45</v>
      </c>
      <c r="Y117">
        <v>2025</v>
      </c>
      <c r="Z117">
        <v>2</v>
      </c>
      <c r="AA117">
        <v>16</v>
      </c>
    </row>
    <row r="118" spans="1:27" x14ac:dyDescent="0.3">
      <c r="A118" s="2">
        <v>45762</v>
      </c>
      <c r="B118" t="s">
        <v>3</v>
      </c>
      <c r="C118" t="s">
        <v>8</v>
      </c>
      <c r="D118">
        <v>8</v>
      </c>
      <c r="E118">
        <v>348.98</v>
      </c>
      <c r="F118" t="s">
        <v>13</v>
      </c>
      <c r="G118" t="s">
        <v>17</v>
      </c>
      <c r="H118">
        <v>0.1</v>
      </c>
      <c r="I118" t="s">
        <v>20</v>
      </c>
      <c r="J118">
        <v>2512.6559999999999</v>
      </c>
      <c r="K118" t="s">
        <v>24</v>
      </c>
      <c r="L118" t="s">
        <v>29</v>
      </c>
      <c r="M118">
        <v>0</v>
      </c>
      <c r="N118" t="s">
        <v>191</v>
      </c>
      <c r="O118" t="s">
        <v>1691</v>
      </c>
      <c r="P118">
        <v>19.170000000000002</v>
      </c>
      <c r="Q118">
        <f t="shared" si="1"/>
        <v>314.08199999999999</v>
      </c>
      <c r="R118">
        <v>2493.4859999999999</v>
      </c>
      <c r="S118" s="2">
        <v>45762</v>
      </c>
      <c r="T118" s="2">
        <v>45767</v>
      </c>
      <c r="U118" t="s">
        <v>36</v>
      </c>
      <c r="V118">
        <v>15</v>
      </c>
      <c r="W118">
        <v>4</v>
      </c>
      <c r="X118" t="s">
        <v>45</v>
      </c>
      <c r="Y118">
        <v>2025</v>
      </c>
      <c r="Z118">
        <v>2</v>
      </c>
      <c r="AA118">
        <v>16</v>
      </c>
    </row>
    <row r="119" spans="1:27" x14ac:dyDescent="0.3">
      <c r="A119" s="2">
        <v>45515</v>
      </c>
      <c r="B119" t="s">
        <v>4</v>
      </c>
      <c r="C119" t="s">
        <v>11</v>
      </c>
      <c r="D119">
        <v>2</v>
      </c>
      <c r="E119">
        <v>289.14</v>
      </c>
      <c r="F119" t="s">
        <v>14</v>
      </c>
      <c r="G119" t="s">
        <v>17</v>
      </c>
      <c r="H119">
        <v>0.05</v>
      </c>
      <c r="I119" t="s">
        <v>22</v>
      </c>
      <c r="J119">
        <v>549.36599999999999</v>
      </c>
      <c r="K119" t="s">
        <v>24</v>
      </c>
      <c r="L119" t="s">
        <v>30</v>
      </c>
      <c r="M119">
        <v>0</v>
      </c>
      <c r="N119" t="s">
        <v>192</v>
      </c>
      <c r="O119" t="s">
        <v>1692</v>
      </c>
      <c r="P119">
        <v>5.13</v>
      </c>
      <c r="Q119">
        <f t="shared" si="1"/>
        <v>274.68299999999999</v>
      </c>
      <c r="R119">
        <v>544.23599999999999</v>
      </c>
      <c r="S119" s="2">
        <v>45515</v>
      </c>
      <c r="T119" s="2">
        <v>45517</v>
      </c>
      <c r="U119" t="s">
        <v>37</v>
      </c>
      <c r="V119">
        <v>11</v>
      </c>
      <c r="W119">
        <v>8</v>
      </c>
      <c r="X119" t="s">
        <v>48</v>
      </c>
      <c r="Y119">
        <v>2024</v>
      </c>
      <c r="Z119">
        <v>3</v>
      </c>
      <c r="AA119">
        <v>32</v>
      </c>
    </row>
    <row r="120" spans="1:27" x14ac:dyDescent="0.3">
      <c r="A120" s="2">
        <v>45261</v>
      </c>
      <c r="B120" t="s">
        <v>1</v>
      </c>
      <c r="C120" t="s">
        <v>7</v>
      </c>
      <c r="D120">
        <v>5</v>
      </c>
      <c r="E120">
        <v>396.93</v>
      </c>
      <c r="F120" t="s">
        <v>12</v>
      </c>
      <c r="G120" t="s">
        <v>16</v>
      </c>
      <c r="H120">
        <v>0</v>
      </c>
      <c r="I120" t="s">
        <v>22</v>
      </c>
      <c r="J120">
        <v>1984.65</v>
      </c>
      <c r="K120" t="s">
        <v>26</v>
      </c>
      <c r="L120" t="s">
        <v>29</v>
      </c>
      <c r="M120">
        <v>0</v>
      </c>
      <c r="N120" t="s">
        <v>193</v>
      </c>
      <c r="O120" t="s">
        <v>1693</v>
      </c>
      <c r="P120">
        <v>48.63</v>
      </c>
      <c r="Q120">
        <f t="shared" si="1"/>
        <v>396.93</v>
      </c>
      <c r="R120">
        <v>1936.02</v>
      </c>
      <c r="S120" s="2">
        <v>45261</v>
      </c>
      <c r="T120" s="2">
        <v>45268</v>
      </c>
      <c r="U120" t="s">
        <v>34</v>
      </c>
      <c r="V120">
        <v>1</v>
      </c>
      <c r="W120">
        <v>12</v>
      </c>
      <c r="X120" t="s">
        <v>39</v>
      </c>
      <c r="Y120">
        <v>2023</v>
      </c>
      <c r="Z120">
        <v>4</v>
      </c>
      <c r="AA120">
        <v>48</v>
      </c>
    </row>
    <row r="121" spans="1:27" x14ac:dyDescent="0.3">
      <c r="A121" s="2">
        <v>45144</v>
      </c>
      <c r="B121" t="s">
        <v>3</v>
      </c>
      <c r="C121" t="s">
        <v>5</v>
      </c>
      <c r="D121">
        <v>10</v>
      </c>
      <c r="E121">
        <v>508.57</v>
      </c>
      <c r="F121" t="s">
        <v>15</v>
      </c>
      <c r="G121" t="s">
        <v>17</v>
      </c>
      <c r="H121">
        <v>0.05</v>
      </c>
      <c r="I121" t="s">
        <v>23</v>
      </c>
      <c r="J121">
        <v>4831.415</v>
      </c>
      <c r="K121" t="s">
        <v>24</v>
      </c>
      <c r="L121" t="s">
        <v>30</v>
      </c>
      <c r="M121">
        <v>0</v>
      </c>
      <c r="N121" t="s">
        <v>194</v>
      </c>
      <c r="O121" t="s">
        <v>1694</v>
      </c>
      <c r="P121">
        <v>9.35</v>
      </c>
      <c r="Q121">
        <f t="shared" si="1"/>
        <v>483.14150000000001</v>
      </c>
      <c r="R121">
        <v>4822.0649999999996</v>
      </c>
      <c r="S121" s="2">
        <v>45144</v>
      </c>
      <c r="T121" s="2">
        <v>45149</v>
      </c>
      <c r="U121" t="s">
        <v>36</v>
      </c>
      <c r="V121">
        <v>6</v>
      </c>
      <c r="W121">
        <v>8</v>
      </c>
      <c r="X121" t="s">
        <v>48</v>
      </c>
      <c r="Y121">
        <v>2023</v>
      </c>
      <c r="Z121">
        <v>3</v>
      </c>
      <c r="AA121">
        <v>31</v>
      </c>
    </row>
    <row r="122" spans="1:27" x14ac:dyDescent="0.3">
      <c r="A122" s="2">
        <v>45315</v>
      </c>
      <c r="B122" t="s">
        <v>3</v>
      </c>
      <c r="C122" t="s">
        <v>5</v>
      </c>
      <c r="D122">
        <v>11</v>
      </c>
      <c r="E122">
        <v>259.61</v>
      </c>
      <c r="F122" t="s">
        <v>14</v>
      </c>
      <c r="G122" t="s">
        <v>16</v>
      </c>
      <c r="H122">
        <v>0.1</v>
      </c>
      <c r="I122" t="s">
        <v>21</v>
      </c>
      <c r="J122">
        <v>2570.1390000000001</v>
      </c>
      <c r="K122" t="s">
        <v>28</v>
      </c>
      <c r="L122" t="s">
        <v>29</v>
      </c>
      <c r="M122">
        <v>0</v>
      </c>
      <c r="N122" t="s">
        <v>195</v>
      </c>
      <c r="O122" t="s">
        <v>1695</v>
      </c>
      <c r="P122">
        <v>13.73</v>
      </c>
      <c r="Q122">
        <f t="shared" si="1"/>
        <v>233.649</v>
      </c>
      <c r="R122">
        <v>2556.4090000000001</v>
      </c>
      <c r="S122" s="2">
        <v>45315</v>
      </c>
      <c r="T122" s="2">
        <v>45322</v>
      </c>
      <c r="U122" t="s">
        <v>36</v>
      </c>
      <c r="V122">
        <v>24</v>
      </c>
      <c r="W122">
        <v>1</v>
      </c>
      <c r="X122" t="s">
        <v>42</v>
      </c>
      <c r="Y122">
        <v>2024</v>
      </c>
      <c r="Z122">
        <v>1</v>
      </c>
      <c r="AA122">
        <v>4</v>
      </c>
    </row>
    <row r="123" spans="1:27" x14ac:dyDescent="0.3">
      <c r="A123" s="2">
        <v>45358</v>
      </c>
      <c r="B123" t="s">
        <v>3</v>
      </c>
      <c r="C123" t="s">
        <v>8</v>
      </c>
      <c r="D123">
        <v>9</v>
      </c>
      <c r="E123">
        <v>313.29000000000002</v>
      </c>
      <c r="F123" t="s">
        <v>15</v>
      </c>
      <c r="G123" t="s">
        <v>17</v>
      </c>
      <c r="H123">
        <v>0</v>
      </c>
      <c r="I123" t="s">
        <v>21</v>
      </c>
      <c r="J123">
        <v>2819.61</v>
      </c>
      <c r="K123" t="s">
        <v>24</v>
      </c>
      <c r="L123" t="s">
        <v>29</v>
      </c>
      <c r="M123">
        <v>0</v>
      </c>
      <c r="N123" t="s">
        <v>196</v>
      </c>
      <c r="O123" t="s">
        <v>1696</v>
      </c>
      <c r="P123">
        <v>14.04</v>
      </c>
      <c r="Q123">
        <f t="shared" si="1"/>
        <v>313.29000000000002</v>
      </c>
      <c r="R123">
        <v>2805.57</v>
      </c>
      <c r="S123" s="2">
        <v>45358</v>
      </c>
      <c r="T123" s="2">
        <v>45364</v>
      </c>
      <c r="U123" t="s">
        <v>36</v>
      </c>
      <c r="V123">
        <v>7</v>
      </c>
      <c r="W123">
        <v>3</v>
      </c>
      <c r="X123" t="s">
        <v>44</v>
      </c>
      <c r="Y123">
        <v>2024</v>
      </c>
      <c r="Z123">
        <v>1</v>
      </c>
      <c r="AA123">
        <v>10</v>
      </c>
    </row>
    <row r="124" spans="1:27" x14ac:dyDescent="0.3">
      <c r="A124" s="2">
        <v>45313</v>
      </c>
      <c r="B124" t="s">
        <v>1</v>
      </c>
      <c r="C124" t="s">
        <v>10</v>
      </c>
      <c r="D124">
        <v>5</v>
      </c>
      <c r="E124">
        <v>106.57</v>
      </c>
      <c r="F124" t="s">
        <v>14</v>
      </c>
      <c r="G124" t="s">
        <v>16</v>
      </c>
      <c r="H124">
        <v>0.1</v>
      </c>
      <c r="I124" t="s">
        <v>21</v>
      </c>
      <c r="J124">
        <v>479.56499999999988</v>
      </c>
      <c r="K124" t="s">
        <v>27</v>
      </c>
      <c r="L124" t="s">
        <v>30</v>
      </c>
      <c r="M124">
        <v>1</v>
      </c>
      <c r="N124" t="s">
        <v>197</v>
      </c>
      <c r="O124" t="s">
        <v>1697</v>
      </c>
      <c r="P124">
        <v>25.24</v>
      </c>
      <c r="Q124">
        <f t="shared" si="1"/>
        <v>95.912999999999982</v>
      </c>
      <c r="R124">
        <v>454.32499999999987</v>
      </c>
      <c r="S124" s="2">
        <v>45313</v>
      </c>
      <c r="T124" s="2">
        <v>45319</v>
      </c>
      <c r="U124" t="s">
        <v>34</v>
      </c>
      <c r="V124">
        <v>22</v>
      </c>
      <c r="W124">
        <v>1</v>
      </c>
      <c r="X124" t="s">
        <v>42</v>
      </c>
      <c r="Y124">
        <v>2024</v>
      </c>
      <c r="Z124">
        <v>1</v>
      </c>
      <c r="AA124">
        <v>4</v>
      </c>
    </row>
    <row r="125" spans="1:27" x14ac:dyDescent="0.3">
      <c r="A125" s="2">
        <v>44980</v>
      </c>
      <c r="B125" t="s">
        <v>0</v>
      </c>
      <c r="C125" t="s">
        <v>11</v>
      </c>
      <c r="D125">
        <v>1</v>
      </c>
      <c r="E125">
        <v>109</v>
      </c>
      <c r="F125" t="s">
        <v>12</v>
      </c>
      <c r="G125" t="s">
        <v>17</v>
      </c>
      <c r="H125">
        <v>0.15</v>
      </c>
      <c r="I125" t="s">
        <v>20</v>
      </c>
      <c r="J125">
        <v>92.649999999999991</v>
      </c>
      <c r="K125" t="s">
        <v>28</v>
      </c>
      <c r="L125" t="s">
        <v>31</v>
      </c>
      <c r="M125">
        <v>1</v>
      </c>
      <c r="N125" t="s">
        <v>198</v>
      </c>
      <c r="O125" t="s">
        <v>1698</v>
      </c>
      <c r="P125">
        <v>8.0299999999999994</v>
      </c>
      <c r="Q125">
        <f t="shared" si="1"/>
        <v>92.649999999999991</v>
      </c>
      <c r="R125">
        <v>84.61999999999999</v>
      </c>
      <c r="S125" s="2">
        <v>44980</v>
      </c>
      <c r="T125" s="2">
        <v>44984</v>
      </c>
      <c r="U125" t="s">
        <v>33</v>
      </c>
      <c r="V125">
        <v>23</v>
      </c>
      <c r="W125">
        <v>2</v>
      </c>
      <c r="X125" t="s">
        <v>38</v>
      </c>
      <c r="Y125">
        <v>2023</v>
      </c>
      <c r="Z125">
        <v>1</v>
      </c>
      <c r="AA125">
        <v>8</v>
      </c>
    </row>
    <row r="126" spans="1:27" x14ac:dyDescent="0.3">
      <c r="A126" s="2">
        <v>45091</v>
      </c>
      <c r="B126" t="s">
        <v>2</v>
      </c>
      <c r="C126" t="s">
        <v>10</v>
      </c>
      <c r="D126">
        <v>8</v>
      </c>
      <c r="E126">
        <v>323.8</v>
      </c>
      <c r="F126" t="s">
        <v>12</v>
      </c>
      <c r="G126" t="s">
        <v>17</v>
      </c>
      <c r="H126">
        <v>0</v>
      </c>
      <c r="I126" t="s">
        <v>22</v>
      </c>
      <c r="J126">
        <v>2590.4</v>
      </c>
      <c r="K126" t="s">
        <v>28</v>
      </c>
      <c r="L126" t="s">
        <v>30</v>
      </c>
      <c r="M126">
        <v>1</v>
      </c>
      <c r="N126" t="s">
        <v>199</v>
      </c>
      <c r="O126" t="s">
        <v>1699</v>
      </c>
      <c r="P126">
        <v>35.229999999999997</v>
      </c>
      <c r="Q126">
        <f t="shared" si="1"/>
        <v>323.8</v>
      </c>
      <c r="R126">
        <v>2555.17</v>
      </c>
      <c r="S126" s="2">
        <v>45091</v>
      </c>
      <c r="T126" s="2">
        <v>45099</v>
      </c>
      <c r="U126" t="s">
        <v>35</v>
      </c>
      <c r="V126">
        <v>14</v>
      </c>
      <c r="W126">
        <v>6</v>
      </c>
      <c r="X126" t="s">
        <v>41</v>
      </c>
      <c r="Y126">
        <v>2023</v>
      </c>
      <c r="Z126">
        <v>2</v>
      </c>
      <c r="AA126">
        <v>24</v>
      </c>
    </row>
    <row r="127" spans="1:27" x14ac:dyDescent="0.3">
      <c r="A127" s="2">
        <v>45790</v>
      </c>
      <c r="B127" t="s">
        <v>2</v>
      </c>
      <c r="C127" t="s">
        <v>5</v>
      </c>
      <c r="D127">
        <v>16</v>
      </c>
      <c r="E127">
        <v>384.32</v>
      </c>
      <c r="F127" t="s">
        <v>13</v>
      </c>
      <c r="G127" t="s">
        <v>17</v>
      </c>
      <c r="H127">
        <v>0.05</v>
      </c>
      <c r="I127" t="s">
        <v>20</v>
      </c>
      <c r="J127">
        <v>5841.6639999999998</v>
      </c>
      <c r="K127" t="s">
        <v>28</v>
      </c>
      <c r="L127" t="s">
        <v>29</v>
      </c>
      <c r="M127">
        <v>0</v>
      </c>
      <c r="N127" t="s">
        <v>200</v>
      </c>
      <c r="O127" t="s">
        <v>1700</v>
      </c>
      <c r="P127">
        <v>21.5</v>
      </c>
      <c r="Q127">
        <f t="shared" si="1"/>
        <v>365.10399999999998</v>
      </c>
      <c r="R127">
        <v>5820.1639999999998</v>
      </c>
      <c r="S127" s="2">
        <v>45790</v>
      </c>
      <c r="T127" s="2">
        <v>45792</v>
      </c>
      <c r="U127" t="s">
        <v>35</v>
      </c>
      <c r="V127">
        <v>13</v>
      </c>
      <c r="W127">
        <v>5</v>
      </c>
      <c r="X127" t="s">
        <v>40</v>
      </c>
      <c r="Y127">
        <v>2025</v>
      </c>
      <c r="Z127">
        <v>2</v>
      </c>
      <c r="AA127">
        <v>20</v>
      </c>
    </row>
    <row r="128" spans="1:27" x14ac:dyDescent="0.3">
      <c r="A128" s="2">
        <v>45503</v>
      </c>
      <c r="B128" t="s">
        <v>3</v>
      </c>
      <c r="C128" t="s">
        <v>11</v>
      </c>
      <c r="D128">
        <v>16</v>
      </c>
      <c r="E128">
        <v>163.86</v>
      </c>
      <c r="F128" t="s">
        <v>14</v>
      </c>
      <c r="G128" t="s">
        <v>17</v>
      </c>
      <c r="H128">
        <v>0.15</v>
      </c>
      <c r="I128" t="s">
        <v>22</v>
      </c>
      <c r="J128">
        <v>2228.4960000000001</v>
      </c>
      <c r="K128" t="s">
        <v>25</v>
      </c>
      <c r="L128" t="s">
        <v>29</v>
      </c>
      <c r="M128">
        <v>0</v>
      </c>
      <c r="N128" t="s">
        <v>201</v>
      </c>
      <c r="O128" t="s">
        <v>1701</v>
      </c>
      <c r="P128">
        <v>37.950000000000003</v>
      </c>
      <c r="Q128">
        <f t="shared" si="1"/>
        <v>139.28100000000001</v>
      </c>
      <c r="R128">
        <v>2190.5460000000003</v>
      </c>
      <c r="S128" s="2">
        <v>45503</v>
      </c>
      <c r="T128" s="2">
        <v>45510</v>
      </c>
      <c r="U128" t="s">
        <v>36</v>
      </c>
      <c r="V128">
        <v>30</v>
      </c>
      <c r="W128">
        <v>7</v>
      </c>
      <c r="X128" t="s">
        <v>46</v>
      </c>
      <c r="Y128">
        <v>2024</v>
      </c>
      <c r="Z128">
        <v>3</v>
      </c>
      <c r="AA128">
        <v>31</v>
      </c>
    </row>
    <row r="129" spans="1:27" x14ac:dyDescent="0.3">
      <c r="A129" s="2">
        <v>45491</v>
      </c>
      <c r="B129" t="s">
        <v>0</v>
      </c>
      <c r="C129" t="s">
        <v>10</v>
      </c>
      <c r="D129">
        <v>5</v>
      </c>
      <c r="E129">
        <v>23.41</v>
      </c>
      <c r="F129" t="s">
        <v>12</v>
      </c>
      <c r="G129" t="s">
        <v>16</v>
      </c>
      <c r="H129">
        <v>0</v>
      </c>
      <c r="I129" t="s">
        <v>20</v>
      </c>
      <c r="J129">
        <v>117.05</v>
      </c>
      <c r="K129" t="s">
        <v>26</v>
      </c>
      <c r="L129" t="s">
        <v>31</v>
      </c>
      <c r="M129">
        <v>0</v>
      </c>
      <c r="N129" t="s">
        <v>202</v>
      </c>
      <c r="O129" t="s">
        <v>1702</v>
      </c>
      <c r="P129">
        <v>26.44</v>
      </c>
      <c r="Q129">
        <f t="shared" si="1"/>
        <v>23.41</v>
      </c>
      <c r="R129">
        <v>90.61</v>
      </c>
      <c r="S129" s="2">
        <v>45491</v>
      </c>
      <c r="T129" s="2">
        <v>45500</v>
      </c>
      <c r="U129" t="s">
        <v>33</v>
      </c>
      <c r="V129">
        <v>18</v>
      </c>
      <c r="W129">
        <v>7</v>
      </c>
      <c r="X129" t="s">
        <v>46</v>
      </c>
      <c r="Y129">
        <v>2024</v>
      </c>
      <c r="Z129">
        <v>3</v>
      </c>
      <c r="AA129">
        <v>29</v>
      </c>
    </row>
    <row r="130" spans="1:27" x14ac:dyDescent="0.3">
      <c r="A130" s="2">
        <v>45530</v>
      </c>
      <c r="B130" t="s">
        <v>0</v>
      </c>
      <c r="C130" t="s">
        <v>11</v>
      </c>
      <c r="D130">
        <v>20</v>
      </c>
      <c r="E130">
        <v>488.9</v>
      </c>
      <c r="F130" t="s">
        <v>14</v>
      </c>
      <c r="G130" t="s">
        <v>16</v>
      </c>
      <c r="H130">
        <v>0.15</v>
      </c>
      <c r="I130" t="s">
        <v>18</v>
      </c>
      <c r="J130">
        <v>8311.2999999999993</v>
      </c>
      <c r="K130" t="s">
        <v>25</v>
      </c>
      <c r="L130" t="s">
        <v>29</v>
      </c>
      <c r="M130">
        <v>0</v>
      </c>
      <c r="N130" t="s">
        <v>203</v>
      </c>
      <c r="O130" t="s">
        <v>1703</v>
      </c>
      <c r="P130">
        <v>21.77</v>
      </c>
      <c r="Q130">
        <f t="shared" si="1"/>
        <v>415.56499999999994</v>
      </c>
      <c r="R130">
        <v>8289.5299999999988</v>
      </c>
      <c r="S130" s="2">
        <v>45530</v>
      </c>
      <c r="T130" s="2">
        <v>45536</v>
      </c>
      <c r="U130" t="s">
        <v>33</v>
      </c>
      <c r="V130">
        <v>26</v>
      </c>
      <c r="W130">
        <v>8</v>
      </c>
      <c r="X130" t="s">
        <v>48</v>
      </c>
      <c r="Y130">
        <v>2024</v>
      </c>
      <c r="Z130">
        <v>3</v>
      </c>
      <c r="AA130">
        <v>35</v>
      </c>
    </row>
    <row r="131" spans="1:27" x14ac:dyDescent="0.3">
      <c r="A131" s="2">
        <v>45816</v>
      </c>
      <c r="B131" t="s">
        <v>4</v>
      </c>
      <c r="C131" t="s">
        <v>10</v>
      </c>
      <c r="D131">
        <v>7</v>
      </c>
      <c r="E131">
        <v>452.56</v>
      </c>
      <c r="F131" t="s">
        <v>13</v>
      </c>
      <c r="G131" t="s">
        <v>16</v>
      </c>
      <c r="H131">
        <v>0.05</v>
      </c>
      <c r="I131" t="s">
        <v>20</v>
      </c>
      <c r="J131">
        <v>3009.5239999999999</v>
      </c>
      <c r="K131" t="s">
        <v>25</v>
      </c>
      <c r="L131" t="s">
        <v>29</v>
      </c>
      <c r="M131">
        <v>0</v>
      </c>
      <c r="N131" t="s">
        <v>204</v>
      </c>
      <c r="O131" t="s">
        <v>1704</v>
      </c>
      <c r="P131">
        <v>46.97</v>
      </c>
      <c r="Q131">
        <f t="shared" ref="Q131:Q194" si="2">J131/D131</f>
        <v>429.93199999999996</v>
      </c>
      <c r="R131">
        <v>2962.5540000000001</v>
      </c>
      <c r="S131" s="2">
        <v>45816</v>
      </c>
      <c r="T131" s="2">
        <v>45823</v>
      </c>
      <c r="U131" t="s">
        <v>37</v>
      </c>
      <c r="V131">
        <v>8</v>
      </c>
      <c r="W131">
        <v>6</v>
      </c>
      <c r="X131" t="s">
        <v>41</v>
      </c>
      <c r="Y131">
        <v>2025</v>
      </c>
      <c r="Z131">
        <v>2</v>
      </c>
      <c r="AA131">
        <v>23</v>
      </c>
    </row>
    <row r="132" spans="1:27" x14ac:dyDescent="0.3">
      <c r="A132" s="2">
        <v>45793</v>
      </c>
      <c r="B132" t="s">
        <v>2</v>
      </c>
      <c r="C132" t="s">
        <v>7</v>
      </c>
      <c r="D132">
        <v>11</v>
      </c>
      <c r="E132">
        <v>465.24</v>
      </c>
      <c r="F132" t="s">
        <v>13</v>
      </c>
      <c r="G132" t="s">
        <v>16</v>
      </c>
      <c r="H132">
        <v>0</v>
      </c>
      <c r="I132" t="s">
        <v>21</v>
      </c>
      <c r="J132">
        <v>5117.6400000000003</v>
      </c>
      <c r="K132" t="s">
        <v>27</v>
      </c>
      <c r="L132" t="s">
        <v>32</v>
      </c>
      <c r="M132">
        <v>1</v>
      </c>
      <c r="N132" t="s">
        <v>205</v>
      </c>
      <c r="O132" t="s">
        <v>1705</v>
      </c>
      <c r="P132">
        <v>17.59</v>
      </c>
      <c r="Q132">
        <f t="shared" si="2"/>
        <v>465.24</v>
      </c>
      <c r="R132">
        <v>5100.05</v>
      </c>
      <c r="S132" s="2">
        <v>45793</v>
      </c>
      <c r="T132" s="2">
        <v>45800</v>
      </c>
      <c r="U132" t="s">
        <v>35</v>
      </c>
      <c r="V132">
        <v>16</v>
      </c>
      <c r="W132">
        <v>5</v>
      </c>
      <c r="X132" t="s">
        <v>40</v>
      </c>
      <c r="Y132">
        <v>2025</v>
      </c>
      <c r="Z132">
        <v>2</v>
      </c>
      <c r="AA132">
        <v>20</v>
      </c>
    </row>
    <row r="133" spans="1:27" x14ac:dyDescent="0.3">
      <c r="A133" s="2">
        <v>45491</v>
      </c>
      <c r="B133" t="s">
        <v>0</v>
      </c>
      <c r="C133" t="s">
        <v>6</v>
      </c>
      <c r="D133">
        <v>14</v>
      </c>
      <c r="E133">
        <v>442.65</v>
      </c>
      <c r="F133" t="s">
        <v>12</v>
      </c>
      <c r="G133" t="s">
        <v>17</v>
      </c>
      <c r="H133">
        <v>0</v>
      </c>
      <c r="I133" t="s">
        <v>18</v>
      </c>
      <c r="J133">
        <v>6197.0999999999995</v>
      </c>
      <c r="K133" t="s">
        <v>25</v>
      </c>
      <c r="L133" t="s">
        <v>30</v>
      </c>
      <c r="M133">
        <v>0</v>
      </c>
      <c r="N133" t="s">
        <v>206</v>
      </c>
      <c r="O133" t="s">
        <v>1706</v>
      </c>
      <c r="P133">
        <v>28.76</v>
      </c>
      <c r="Q133">
        <f t="shared" si="2"/>
        <v>442.65</v>
      </c>
      <c r="R133">
        <v>6168.3399999999992</v>
      </c>
      <c r="S133" s="2">
        <v>45491</v>
      </c>
      <c r="T133" s="2">
        <v>45497</v>
      </c>
      <c r="U133" t="s">
        <v>33</v>
      </c>
      <c r="V133">
        <v>18</v>
      </c>
      <c r="W133">
        <v>7</v>
      </c>
      <c r="X133" t="s">
        <v>46</v>
      </c>
      <c r="Y133">
        <v>2024</v>
      </c>
      <c r="Z133">
        <v>3</v>
      </c>
      <c r="AA133">
        <v>29</v>
      </c>
    </row>
    <row r="134" spans="1:27" x14ac:dyDescent="0.3">
      <c r="A134" s="2">
        <v>45186</v>
      </c>
      <c r="B134" t="s">
        <v>4</v>
      </c>
      <c r="C134" t="s">
        <v>5</v>
      </c>
      <c r="D134">
        <v>12</v>
      </c>
      <c r="E134">
        <v>469.44</v>
      </c>
      <c r="F134" t="s">
        <v>12</v>
      </c>
      <c r="G134" t="s">
        <v>16</v>
      </c>
      <c r="H134">
        <v>0</v>
      </c>
      <c r="I134" t="s">
        <v>23</v>
      </c>
      <c r="J134">
        <v>5633.28</v>
      </c>
      <c r="K134" t="s">
        <v>24</v>
      </c>
      <c r="L134" t="s">
        <v>29</v>
      </c>
      <c r="M134">
        <v>0</v>
      </c>
      <c r="N134" t="s">
        <v>207</v>
      </c>
      <c r="O134" t="s">
        <v>1707</v>
      </c>
      <c r="P134">
        <v>33.299999999999997</v>
      </c>
      <c r="Q134">
        <f t="shared" si="2"/>
        <v>469.44</v>
      </c>
      <c r="R134">
        <v>5599.98</v>
      </c>
      <c r="S134" s="2">
        <v>45186</v>
      </c>
      <c r="T134" s="2">
        <v>45195</v>
      </c>
      <c r="U134" t="s">
        <v>37</v>
      </c>
      <c r="V134">
        <v>17</v>
      </c>
      <c r="W134">
        <v>9</v>
      </c>
      <c r="X134" t="s">
        <v>49</v>
      </c>
      <c r="Y134">
        <v>2023</v>
      </c>
      <c r="Z134">
        <v>3</v>
      </c>
      <c r="AA134">
        <v>37</v>
      </c>
    </row>
    <row r="135" spans="1:27" x14ac:dyDescent="0.3">
      <c r="A135" s="2">
        <v>44998</v>
      </c>
      <c r="B135" t="s">
        <v>0</v>
      </c>
      <c r="C135" t="s">
        <v>9</v>
      </c>
      <c r="D135">
        <v>14</v>
      </c>
      <c r="E135">
        <v>248.77</v>
      </c>
      <c r="F135" t="s">
        <v>14</v>
      </c>
      <c r="G135" t="s">
        <v>16</v>
      </c>
      <c r="H135">
        <v>0.05</v>
      </c>
      <c r="I135" t="s">
        <v>23</v>
      </c>
      <c r="J135">
        <v>3308.6410000000001</v>
      </c>
      <c r="K135" t="s">
        <v>27</v>
      </c>
      <c r="L135" t="s">
        <v>29</v>
      </c>
      <c r="M135">
        <v>1</v>
      </c>
      <c r="N135" t="s">
        <v>208</v>
      </c>
      <c r="O135" t="s">
        <v>1708</v>
      </c>
      <c r="P135">
        <v>21.76</v>
      </c>
      <c r="Q135">
        <f t="shared" si="2"/>
        <v>236.33150000000001</v>
      </c>
      <c r="R135">
        <v>3286.8809999999999</v>
      </c>
      <c r="S135" s="2">
        <v>44998</v>
      </c>
      <c r="T135" s="2">
        <v>45004</v>
      </c>
      <c r="U135" t="s">
        <v>33</v>
      </c>
      <c r="V135">
        <v>13</v>
      </c>
      <c r="W135">
        <v>3</v>
      </c>
      <c r="X135" t="s">
        <v>44</v>
      </c>
      <c r="Y135">
        <v>2023</v>
      </c>
      <c r="Z135">
        <v>1</v>
      </c>
      <c r="AA135">
        <v>11</v>
      </c>
    </row>
    <row r="136" spans="1:27" x14ac:dyDescent="0.3">
      <c r="A136" s="2">
        <v>45014</v>
      </c>
      <c r="B136" t="s">
        <v>1</v>
      </c>
      <c r="C136" t="s">
        <v>8</v>
      </c>
      <c r="D136">
        <v>4</v>
      </c>
      <c r="E136">
        <v>565.29</v>
      </c>
      <c r="F136" t="s">
        <v>15</v>
      </c>
      <c r="G136" t="s">
        <v>16</v>
      </c>
      <c r="H136">
        <v>0.05</v>
      </c>
      <c r="I136" t="s">
        <v>19</v>
      </c>
      <c r="J136">
        <v>2148.1019999999999</v>
      </c>
      <c r="K136" t="s">
        <v>28</v>
      </c>
      <c r="L136" t="s">
        <v>32</v>
      </c>
      <c r="M136">
        <v>0</v>
      </c>
      <c r="N136" t="s">
        <v>209</v>
      </c>
      <c r="O136" t="s">
        <v>1709</v>
      </c>
      <c r="P136">
        <v>27.04</v>
      </c>
      <c r="Q136">
        <f t="shared" si="2"/>
        <v>537.02549999999997</v>
      </c>
      <c r="R136">
        <v>2121.0619999999999</v>
      </c>
      <c r="S136" s="2">
        <v>45014</v>
      </c>
      <c r="T136" s="2">
        <v>45019</v>
      </c>
      <c r="U136" t="s">
        <v>34</v>
      </c>
      <c r="V136">
        <v>29</v>
      </c>
      <c r="W136">
        <v>3</v>
      </c>
      <c r="X136" t="s">
        <v>44</v>
      </c>
      <c r="Y136">
        <v>2023</v>
      </c>
      <c r="Z136">
        <v>1</v>
      </c>
      <c r="AA136">
        <v>13</v>
      </c>
    </row>
    <row r="137" spans="1:27" x14ac:dyDescent="0.3">
      <c r="A137" s="2">
        <v>45121</v>
      </c>
      <c r="B137" t="s">
        <v>3</v>
      </c>
      <c r="C137" t="s">
        <v>7</v>
      </c>
      <c r="D137">
        <v>12</v>
      </c>
      <c r="E137">
        <v>244.8</v>
      </c>
      <c r="F137" t="s">
        <v>12</v>
      </c>
      <c r="G137" t="s">
        <v>16</v>
      </c>
      <c r="H137">
        <v>0.05</v>
      </c>
      <c r="I137" t="s">
        <v>20</v>
      </c>
      <c r="J137">
        <v>2790.72</v>
      </c>
      <c r="K137" t="s">
        <v>24</v>
      </c>
      <c r="L137" t="s">
        <v>29</v>
      </c>
      <c r="M137">
        <v>0</v>
      </c>
      <c r="N137" t="s">
        <v>210</v>
      </c>
      <c r="O137" t="s">
        <v>1710</v>
      </c>
      <c r="P137">
        <v>44.75</v>
      </c>
      <c r="Q137">
        <f t="shared" si="2"/>
        <v>232.55999999999997</v>
      </c>
      <c r="R137">
        <v>2745.97</v>
      </c>
      <c r="S137" s="2">
        <v>45121</v>
      </c>
      <c r="T137" s="2">
        <v>45130</v>
      </c>
      <c r="U137" t="s">
        <v>36</v>
      </c>
      <c r="V137">
        <v>14</v>
      </c>
      <c r="W137">
        <v>7</v>
      </c>
      <c r="X137" t="s">
        <v>46</v>
      </c>
      <c r="Y137">
        <v>2023</v>
      </c>
      <c r="Z137">
        <v>3</v>
      </c>
      <c r="AA137">
        <v>28</v>
      </c>
    </row>
    <row r="138" spans="1:27" x14ac:dyDescent="0.3">
      <c r="A138" s="2">
        <v>45373</v>
      </c>
      <c r="B138" t="s">
        <v>4</v>
      </c>
      <c r="C138" t="s">
        <v>5</v>
      </c>
      <c r="D138">
        <v>13</v>
      </c>
      <c r="E138">
        <v>290.93</v>
      </c>
      <c r="F138" t="s">
        <v>14</v>
      </c>
      <c r="G138" t="s">
        <v>17</v>
      </c>
      <c r="H138">
        <v>0.05</v>
      </c>
      <c r="I138" t="s">
        <v>22</v>
      </c>
      <c r="J138">
        <v>3592.9854999999998</v>
      </c>
      <c r="K138" t="s">
        <v>26</v>
      </c>
      <c r="L138" t="s">
        <v>29</v>
      </c>
      <c r="M138">
        <v>0</v>
      </c>
      <c r="N138" t="s">
        <v>211</v>
      </c>
      <c r="O138" t="s">
        <v>1711</v>
      </c>
      <c r="P138">
        <v>26.09</v>
      </c>
      <c r="Q138">
        <f t="shared" si="2"/>
        <v>276.38349999999997</v>
      </c>
      <c r="R138">
        <v>3566.8954999999996</v>
      </c>
      <c r="S138" s="2">
        <v>45373</v>
      </c>
      <c r="T138" s="2">
        <v>45382</v>
      </c>
      <c r="U138" t="s">
        <v>37</v>
      </c>
      <c r="V138">
        <v>22</v>
      </c>
      <c r="W138">
        <v>3</v>
      </c>
      <c r="X138" t="s">
        <v>44</v>
      </c>
      <c r="Y138">
        <v>2024</v>
      </c>
      <c r="Z138">
        <v>1</v>
      </c>
      <c r="AA138">
        <v>12</v>
      </c>
    </row>
    <row r="139" spans="1:27" x14ac:dyDescent="0.3">
      <c r="A139" s="2">
        <v>45426</v>
      </c>
      <c r="B139" t="s">
        <v>3</v>
      </c>
      <c r="C139" t="s">
        <v>5</v>
      </c>
      <c r="D139">
        <v>11</v>
      </c>
      <c r="E139">
        <v>229.49</v>
      </c>
      <c r="F139" t="s">
        <v>14</v>
      </c>
      <c r="G139" t="s">
        <v>17</v>
      </c>
      <c r="H139">
        <v>0.1</v>
      </c>
      <c r="I139" t="s">
        <v>23</v>
      </c>
      <c r="J139">
        <v>2271.951</v>
      </c>
      <c r="K139" t="s">
        <v>28</v>
      </c>
      <c r="L139" t="s">
        <v>32</v>
      </c>
      <c r="M139">
        <v>0</v>
      </c>
      <c r="N139" t="s">
        <v>212</v>
      </c>
      <c r="O139" t="s">
        <v>1712</v>
      </c>
      <c r="P139">
        <v>35.39</v>
      </c>
      <c r="Q139">
        <f t="shared" si="2"/>
        <v>206.541</v>
      </c>
      <c r="R139">
        <v>2236.5610000000001</v>
      </c>
      <c r="S139" s="2">
        <v>45426</v>
      </c>
      <c r="T139" s="2">
        <v>45429</v>
      </c>
      <c r="U139" t="s">
        <v>36</v>
      </c>
      <c r="V139">
        <v>14</v>
      </c>
      <c r="W139">
        <v>5</v>
      </c>
      <c r="X139" t="s">
        <v>40</v>
      </c>
      <c r="Y139">
        <v>2024</v>
      </c>
      <c r="Z139">
        <v>2</v>
      </c>
      <c r="AA139">
        <v>20</v>
      </c>
    </row>
    <row r="140" spans="1:27" x14ac:dyDescent="0.3">
      <c r="A140" s="2">
        <v>45076</v>
      </c>
      <c r="B140" t="s">
        <v>3</v>
      </c>
      <c r="C140" t="s">
        <v>9</v>
      </c>
      <c r="D140">
        <v>2</v>
      </c>
      <c r="E140">
        <v>427.36</v>
      </c>
      <c r="F140" t="s">
        <v>13</v>
      </c>
      <c r="G140" t="s">
        <v>16</v>
      </c>
      <c r="H140">
        <v>0.05</v>
      </c>
      <c r="I140" t="s">
        <v>22</v>
      </c>
      <c r="J140">
        <v>811.98400000000004</v>
      </c>
      <c r="K140" t="s">
        <v>24</v>
      </c>
      <c r="L140" t="s">
        <v>30</v>
      </c>
      <c r="M140">
        <v>0</v>
      </c>
      <c r="N140" t="s">
        <v>213</v>
      </c>
      <c r="O140" t="s">
        <v>1713</v>
      </c>
      <c r="P140">
        <v>19.420000000000002</v>
      </c>
      <c r="Q140">
        <f t="shared" si="2"/>
        <v>405.99200000000002</v>
      </c>
      <c r="R140">
        <v>792.56400000000008</v>
      </c>
      <c r="S140" s="2">
        <v>45076</v>
      </c>
      <c r="T140" s="2">
        <v>45079</v>
      </c>
      <c r="U140" t="s">
        <v>36</v>
      </c>
      <c r="V140">
        <v>30</v>
      </c>
      <c r="W140">
        <v>5</v>
      </c>
      <c r="X140" t="s">
        <v>40</v>
      </c>
      <c r="Y140">
        <v>2023</v>
      </c>
      <c r="Z140">
        <v>2</v>
      </c>
      <c r="AA140">
        <v>22</v>
      </c>
    </row>
    <row r="141" spans="1:27" x14ac:dyDescent="0.3">
      <c r="A141" s="2">
        <v>45004</v>
      </c>
      <c r="B141" t="s">
        <v>2</v>
      </c>
      <c r="C141" t="s">
        <v>6</v>
      </c>
      <c r="D141">
        <v>2</v>
      </c>
      <c r="E141">
        <v>443.51</v>
      </c>
      <c r="F141" t="s">
        <v>14</v>
      </c>
      <c r="G141" t="s">
        <v>16</v>
      </c>
      <c r="H141">
        <v>0.05</v>
      </c>
      <c r="I141" t="s">
        <v>19</v>
      </c>
      <c r="J141">
        <v>842.66899999999998</v>
      </c>
      <c r="K141" t="s">
        <v>28</v>
      </c>
      <c r="L141" t="s">
        <v>32</v>
      </c>
      <c r="M141">
        <v>0</v>
      </c>
      <c r="N141" t="s">
        <v>214</v>
      </c>
      <c r="O141" t="s">
        <v>1714</v>
      </c>
      <c r="P141">
        <v>13.65</v>
      </c>
      <c r="Q141">
        <f t="shared" si="2"/>
        <v>421.33449999999999</v>
      </c>
      <c r="R141">
        <v>829.01900000000001</v>
      </c>
      <c r="S141" s="2">
        <v>45004</v>
      </c>
      <c r="T141" s="2">
        <v>45007</v>
      </c>
      <c r="U141" t="s">
        <v>35</v>
      </c>
      <c r="V141">
        <v>19</v>
      </c>
      <c r="W141">
        <v>3</v>
      </c>
      <c r="X141" t="s">
        <v>44</v>
      </c>
      <c r="Y141">
        <v>2023</v>
      </c>
      <c r="Z141">
        <v>1</v>
      </c>
      <c r="AA141">
        <v>11</v>
      </c>
    </row>
    <row r="142" spans="1:27" x14ac:dyDescent="0.3">
      <c r="A142" s="2">
        <v>45147</v>
      </c>
      <c r="B142" t="s">
        <v>3</v>
      </c>
      <c r="C142" t="s">
        <v>7</v>
      </c>
      <c r="D142">
        <v>13</v>
      </c>
      <c r="E142">
        <v>280.63</v>
      </c>
      <c r="F142" t="s">
        <v>12</v>
      </c>
      <c r="G142" t="s">
        <v>16</v>
      </c>
      <c r="H142">
        <v>0.15</v>
      </c>
      <c r="I142" t="s">
        <v>19</v>
      </c>
      <c r="J142">
        <v>3100.9614999999999</v>
      </c>
      <c r="K142" t="s">
        <v>26</v>
      </c>
      <c r="L142" t="s">
        <v>30</v>
      </c>
      <c r="M142">
        <v>0</v>
      </c>
      <c r="N142" t="s">
        <v>215</v>
      </c>
      <c r="O142" t="s">
        <v>1715</v>
      </c>
      <c r="P142">
        <v>10.14</v>
      </c>
      <c r="Q142">
        <f t="shared" si="2"/>
        <v>238.53549999999998</v>
      </c>
      <c r="R142">
        <v>3090.8215</v>
      </c>
      <c r="S142" s="2">
        <v>45147</v>
      </c>
      <c r="T142" s="2">
        <v>45152</v>
      </c>
      <c r="U142" t="s">
        <v>36</v>
      </c>
      <c r="V142">
        <v>9</v>
      </c>
      <c r="W142">
        <v>8</v>
      </c>
      <c r="X142" t="s">
        <v>48</v>
      </c>
      <c r="Y142">
        <v>2023</v>
      </c>
      <c r="Z142">
        <v>3</v>
      </c>
      <c r="AA142">
        <v>32</v>
      </c>
    </row>
    <row r="143" spans="1:27" x14ac:dyDescent="0.3">
      <c r="A143" s="2">
        <v>45578</v>
      </c>
      <c r="B143" t="s">
        <v>2</v>
      </c>
      <c r="C143" t="s">
        <v>8</v>
      </c>
      <c r="D143">
        <v>13</v>
      </c>
      <c r="E143">
        <v>416.66</v>
      </c>
      <c r="F143" t="s">
        <v>12</v>
      </c>
      <c r="G143" t="s">
        <v>16</v>
      </c>
      <c r="H143">
        <v>0.15</v>
      </c>
      <c r="I143" t="s">
        <v>23</v>
      </c>
      <c r="J143">
        <v>4604.0929999999998</v>
      </c>
      <c r="K143" t="s">
        <v>26</v>
      </c>
      <c r="L143" t="s">
        <v>31</v>
      </c>
      <c r="M143">
        <v>0</v>
      </c>
      <c r="N143" t="s">
        <v>216</v>
      </c>
      <c r="O143" t="s">
        <v>1716</v>
      </c>
      <c r="P143">
        <v>21.74</v>
      </c>
      <c r="Q143">
        <f t="shared" si="2"/>
        <v>354.161</v>
      </c>
      <c r="R143">
        <v>4582.3530000000001</v>
      </c>
      <c r="S143" s="2">
        <v>45578</v>
      </c>
      <c r="T143" s="2">
        <v>45585</v>
      </c>
      <c r="U143" t="s">
        <v>35</v>
      </c>
      <c r="V143">
        <v>13</v>
      </c>
      <c r="W143">
        <v>10</v>
      </c>
      <c r="X143" t="s">
        <v>43</v>
      </c>
      <c r="Y143">
        <v>2024</v>
      </c>
      <c r="Z143">
        <v>4</v>
      </c>
      <c r="AA143">
        <v>41</v>
      </c>
    </row>
    <row r="144" spans="1:27" x14ac:dyDescent="0.3">
      <c r="A144" s="2">
        <v>45705</v>
      </c>
      <c r="B144" t="s">
        <v>0</v>
      </c>
      <c r="C144" t="s">
        <v>8</v>
      </c>
      <c r="D144">
        <v>11</v>
      </c>
      <c r="E144">
        <v>589.48</v>
      </c>
      <c r="F144" t="s">
        <v>12</v>
      </c>
      <c r="G144" t="s">
        <v>17</v>
      </c>
      <c r="H144">
        <v>0</v>
      </c>
      <c r="I144" t="s">
        <v>19</v>
      </c>
      <c r="J144">
        <v>6484.2800000000007</v>
      </c>
      <c r="K144" t="s">
        <v>24</v>
      </c>
      <c r="L144" t="s">
        <v>31</v>
      </c>
      <c r="M144">
        <v>0</v>
      </c>
      <c r="N144" t="s">
        <v>217</v>
      </c>
      <c r="O144" t="s">
        <v>1717</v>
      </c>
      <c r="P144">
        <v>49.93</v>
      </c>
      <c r="Q144">
        <f t="shared" si="2"/>
        <v>589.48</v>
      </c>
      <c r="R144">
        <v>6434.35</v>
      </c>
      <c r="S144" s="2">
        <v>45705</v>
      </c>
      <c r="T144" s="2">
        <v>45713</v>
      </c>
      <c r="U144" t="s">
        <v>33</v>
      </c>
      <c r="V144">
        <v>17</v>
      </c>
      <c r="W144">
        <v>2</v>
      </c>
      <c r="X144" t="s">
        <v>38</v>
      </c>
      <c r="Y144">
        <v>2025</v>
      </c>
      <c r="Z144">
        <v>1</v>
      </c>
      <c r="AA144">
        <v>8</v>
      </c>
    </row>
    <row r="145" spans="1:27" x14ac:dyDescent="0.3">
      <c r="A145" s="2">
        <v>45819</v>
      </c>
      <c r="B145" t="s">
        <v>2</v>
      </c>
      <c r="C145" t="s">
        <v>6</v>
      </c>
      <c r="D145">
        <v>18</v>
      </c>
      <c r="E145">
        <v>152.84</v>
      </c>
      <c r="F145" t="s">
        <v>14</v>
      </c>
      <c r="G145" t="s">
        <v>17</v>
      </c>
      <c r="H145">
        <v>0.15</v>
      </c>
      <c r="I145" t="s">
        <v>22</v>
      </c>
      <c r="J145">
        <v>2338.4520000000002</v>
      </c>
      <c r="K145" t="s">
        <v>27</v>
      </c>
      <c r="L145" t="s">
        <v>29</v>
      </c>
      <c r="M145">
        <v>1</v>
      </c>
      <c r="N145" t="s">
        <v>218</v>
      </c>
      <c r="O145" t="s">
        <v>1718</v>
      </c>
      <c r="P145">
        <v>20.3</v>
      </c>
      <c r="Q145">
        <f t="shared" si="2"/>
        <v>129.91400000000002</v>
      </c>
      <c r="R145">
        <v>2318.152</v>
      </c>
      <c r="S145" s="2">
        <v>45819</v>
      </c>
      <c r="T145" s="2">
        <v>45828</v>
      </c>
      <c r="U145" t="s">
        <v>35</v>
      </c>
      <c r="V145">
        <v>11</v>
      </c>
      <c r="W145">
        <v>6</v>
      </c>
      <c r="X145" t="s">
        <v>41</v>
      </c>
      <c r="Y145">
        <v>2025</v>
      </c>
      <c r="Z145">
        <v>2</v>
      </c>
      <c r="AA145">
        <v>24</v>
      </c>
    </row>
    <row r="146" spans="1:27" x14ac:dyDescent="0.3">
      <c r="A146" s="2">
        <v>45411</v>
      </c>
      <c r="B146" t="s">
        <v>3</v>
      </c>
      <c r="C146" t="s">
        <v>10</v>
      </c>
      <c r="D146">
        <v>4</v>
      </c>
      <c r="E146">
        <v>163.66</v>
      </c>
      <c r="F146" t="s">
        <v>12</v>
      </c>
      <c r="G146" t="s">
        <v>17</v>
      </c>
      <c r="H146">
        <v>0</v>
      </c>
      <c r="I146" t="s">
        <v>23</v>
      </c>
      <c r="J146">
        <v>654.64</v>
      </c>
      <c r="K146" t="s">
        <v>25</v>
      </c>
      <c r="L146" t="s">
        <v>31</v>
      </c>
      <c r="M146">
        <v>1</v>
      </c>
      <c r="N146" t="s">
        <v>219</v>
      </c>
      <c r="O146" t="s">
        <v>1719</v>
      </c>
      <c r="P146">
        <v>31.8</v>
      </c>
      <c r="Q146">
        <f t="shared" si="2"/>
        <v>163.66</v>
      </c>
      <c r="R146">
        <v>622.84</v>
      </c>
      <c r="S146" s="2">
        <v>45411</v>
      </c>
      <c r="T146" s="2">
        <v>45413</v>
      </c>
      <c r="U146" t="s">
        <v>36</v>
      </c>
      <c r="V146">
        <v>29</v>
      </c>
      <c r="W146">
        <v>4</v>
      </c>
      <c r="X146" t="s">
        <v>45</v>
      </c>
      <c r="Y146">
        <v>2024</v>
      </c>
      <c r="Z146">
        <v>2</v>
      </c>
      <c r="AA146">
        <v>18</v>
      </c>
    </row>
    <row r="147" spans="1:27" x14ac:dyDescent="0.3">
      <c r="A147" s="2">
        <v>45003</v>
      </c>
      <c r="B147" t="s">
        <v>4</v>
      </c>
      <c r="C147" t="s">
        <v>5</v>
      </c>
      <c r="D147">
        <v>19</v>
      </c>
      <c r="E147">
        <v>484.25</v>
      </c>
      <c r="F147" t="s">
        <v>14</v>
      </c>
      <c r="G147" t="s">
        <v>16</v>
      </c>
      <c r="H147">
        <v>0.15</v>
      </c>
      <c r="I147" t="s">
        <v>23</v>
      </c>
      <c r="J147">
        <v>7820.6374999999998</v>
      </c>
      <c r="K147" t="s">
        <v>27</v>
      </c>
      <c r="L147" t="s">
        <v>29</v>
      </c>
      <c r="M147">
        <v>1</v>
      </c>
      <c r="N147" t="s">
        <v>220</v>
      </c>
      <c r="O147" t="s">
        <v>1720</v>
      </c>
      <c r="P147">
        <v>29.51</v>
      </c>
      <c r="Q147">
        <f t="shared" si="2"/>
        <v>411.61250000000001</v>
      </c>
      <c r="R147">
        <v>7791.1274999999996</v>
      </c>
      <c r="S147" s="2">
        <v>45003</v>
      </c>
      <c r="T147" s="2">
        <v>45005</v>
      </c>
      <c r="U147" t="s">
        <v>37</v>
      </c>
      <c r="V147">
        <v>18</v>
      </c>
      <c r="W147">
        <v>3</v>
      </c>
      <c r="X147" t="s">
        <v>44</v>
      </c>
      <c r="Y147">
        <v>2023</v>
      </c>
      <c r="Z147">
        <v>1</v>
      </c>
      <c r="AA147">
        <v>11</v>
      </c>
    </row>
    <row r="148" spans="1:27" x14ac:dyDescent="0.3">
      <c r="A148" s="2">
        <v>45647</v>
      </c>
      <c r="B148" t="s">
        <v>2</v>
      </c>
      <c r="C148" t="s">
        <v>8</v>
      </c>
      <c r="D148">
        <v>9</v>
      </c>
      <c r="E148">
        <v>380.4</v>
      </c>
      <c r="F148" t="s">
        <v>12</v>
      </c>
      <c r="G148" t="s">
        <v>17</v>
      </c>
      <c r="H148">
        <v>0.1</v>
      </c>
      <c r="I148" t="s">
        <v>21</v>
      </c>
      <c r="J148">
        <v>3081.24</v>
      </c>
      <c r="K148" t="s">
        <v>26</v>
      </c>
      <c r="L148" t="s">
        <v>32</v>
      </c>
      <c r="M148">
        <v>0</v>
      </c>
      <c r="N148" t="s">
        <v>221</v>
      </c>
      <c r="O148" t="s">
        <v>1721</v>
      </c>
      <c r="P148">
        <v>31</v>
      </c>
      <c r="Q148">
        <f t="shared" si="2"/>
        <v>342.35999999999996</v>
      </c>
      <c r="R148">
        <v>3050.24</v>
      </c>
      <c r="S148" s="2">
        <v>45647</v>
      </c>
      <c r="T148" s="2">
        <v>45653</v>
      </c>
      <c r="U148" t="s">
        <v>35</v>
      </c>
      <c r="V148">
        <v>21</v>
      </c>
      <c r="W148">
        <v>12</v>
      </c>
      <c r="X148" t="s">
        <v>39</v>
      </c>
      <c r="Y148">
        <v>2024</v>
      </c>
      <c r="Z148">
        <v>4</v>
      </c>
      <c r="AA148">
        <v>51</v>
      </c>
    </row>
    <row r="149" spans="1:27" x14ac:dyDescent="0.3">
      <c r="A149" s="2">
        <v>45039</v>
      </c>
      <c r="B149" t="s">
        <v>4</v>
      </c>
      <c r="C149" t="s">
        <v>8</v>
      </c>
      <c r="D149">
        <v>17</v>
      </c>
      <c r="E149">
        <v>332.38</v>
      </c>
      <c r="F149" t="s">
        <v>13</v>
      </c>
      <c r="G149" t="s">
        <v>17</v>
      </c>
      <c r="H149">
        <v>0.1</v>
      </c>
      <c r="I149" t="s">
        <v>20</v>
      </c>
      <c r="J149">
        <v>5085.4139999999998</v>
      </c>
      <c r="K149" t="s">
        <v>26</v>
      </c>
      <c r="L149" t="s">
        <v>30</v>
      </c>
      <c r="M149">
        <v>1</v>
      </c>
      <c r="N149" t="s">
        <v>222</v>
      </c>
      <c r="O149" t="s">
        <v>1722</v>
      </c>
      <c r="P149">
        <v>33.81</v>
      </c>
      <c r="Q149">
        <f t="shared" si="2"/>
        <v>299.142</v>
      </c>
      <c r="R149">
        <v>5051.6039999999994</v>
      </c>
      <c r="S149" s="2">
        <v>45039</v>
      </c>
      <c r="T149" s="2">
        <v>45048</v>
      </c>
      <c r="U149" t="s">
        <v>37</v>
      </c>
      <c r="V149">
        <v>23</v>
      </c>
      <c r="W149">
        <v>4</v>
      </c>
      <c r="X149" t="s">
        <v>45</v>
      </c>
      <c r="Y149">
        <v>2023</v>
      </c>
      <c r="Z149">
        <v>2</v>
      </c>
      <c r="AA149">
        <v>16</v>
      </c>
    </row>
    <row r="150" spans="1:27" x14ac:dyDescent="0.3">
      <c r="A150" s="2">
        <v>45788</v>
      </c>
      <c r="B150" t="s">
        <v>3</v>
      </c>
      <c r="C150" t="s">
        <v>8</v>
      </c>
      <c r="D150">
        <v>15</v>
      </c>
      <c r="E150">
        <v>210.94</v>
      </c>
      <c r="F150" t="s">
        <v>14</v>
      </c>
      <c r="G150" t="s">
        <v>16</v>
      </c>
      <c r="H150">
        <v>0.05</v>
      </c>
      <c r="I150" t="s">
        <v>20</v>
      </c>
      <c r="J150">
        <v>3005.895</v>
      </c>
      <c r="K150" t="s">
        <v>24</v>
      </c>
      <c r="L150" t="s">
        <v>30</v>
      </c>
      <c r="M150">
        <v>0</v>
      </c>
      <c r="N150" t="s">
        <v>223</v>
      </c>
      <c r="O150" t="s">
        <v>1723</v>
      </c>
      <c r="P150">
        <v>10.91</v>
      </c>
      <c r="Q150">
        <f t="shared" si="2"/>
        <v>200.393</v>
      </c>
      <c r="R150">
        <v>2994.9850000000001</v>
      </c>
      <c r="S150" s="2">
        <v>45788</v>
      </c>
      <c r="T150" s="2">
        <v>45798</v>
      </c>
      <c r="U150" t="s">
        <v>36</v>
      </c>
      <c r="V150">
        <v>11</v>
      </c>
      <c r="W150">
        <v>5</v>
      </c>
      <c r="X150" t="s">
        <v>40</v>
      </c>
      <c r="Y150">
        <v>2025</v>
      </c>
      <c r="Z150">
        <v>2</v>
      </c>
      <c r="AA150">
        <v>19</v>
      </c>
    </row>
    <row r="151" spans="1:27" x14ac:dyDescent="0.3">
      <c r="A151" s="2">
        <v>45354</v>
      </c>
      <c r="B151" t="s">
        <v>1</v>
      </c>
      <c r="C151" t="s">
        <v>6</v>
      </c>
      <c r="D151">
        <v>9</v>
      </c>
      <c r="E151">
        <v>382.8</v>
      </c>
      <c r="F151" t="s">
        <v>15</v>
      </c>
      <c r="G151" t="s">
        <v>16</v>
      </c>
      <c r="H151">
        <v>0</v>
      </c>
      <c r="I151" t="s">
        <v>18</v>
      </c>
      <c r="J151">
        <v>3445.2</v>
      </c>
      <c r="K151" t="s">
        <v>28</v>
      </c>
      <c r="L151" t="s">
        <v>32</v>
      </c>
      <c r="M151">
        <v>0</v>
      </c>
      <c r="N151" t="s">
        <v>224</v>
      </c>
      <c r="O151" t="s">
        <v>1724</v>
      </c>
      <c r="P151">
        <v>47.94</v>
      </c>
      <c r="Q151">
        <f t="shared" si="2"/>
        <v>382.79999999999995</v>
      </c>
      <c r="R151">
        <v>3397.2599999999998</v>
      </c>
      <c r="S151" s="2">
        <v>45354</v>
      </c>
      <c r="T151" s="2">
        <v>45356</v>
      </c>
      <c r="U151" t="s">
        <v>34</v>
      </c>
      <c r="V151">
        <v>3</v>
      </c>
      <c r="W151">
        <v>3</v>
      </c>
      <c r="X151" t="s">
        <v>44</v>
      </c>
      <c r="Y151">
        <v>2024</v>
      </c>
      <c r="Z151">
        <v>1</v>
      </c>
      <c r="AA151">
        <v>9</v>
      </c>
    </row>
    <row r="152" spans="1:27" x14ac:dyDescent="0.3">
      <c r="A152" s="2">
        <v>45677</v>
      </c>
      <c r="B152" t="s">
        <v>2</v>
      </c>
      <c r="C152" t="s">
        <v>9</v>
      </c>
      <c r="D152">
        <v>3</v>
      </c>
      <c r="E152">
        <v>386.29</v>
      </c>
      <c r="F152" t="s">
        <v>14</v>
      </c>
      <c r="G152" t="s">
        <v>17</v>
      </c>
      <c r="H152">
        <v>0.15</v>
      </c>
      <c r="I152" t="s">
        <v>21</v>
      </c>
      <c r="J152">
        <v>985.03950000000009</v>
      </c>
      <c r="K152" t="s">
        <v>26</v>
      </c>
      <c r="L152" t="s">
        <v>29</v>
      </c>
      <c r="M152">
        <v>0</v>
      </c>
      <c r="N152" t="s">
        <v>225</v>
      </c>
      <c r="O152" t="s">
        <v>1725</v>
      </c>
      <c r="P152">
        <v>32.450000000000003</v>
      </c>
      <c r="Q152">
        <f t="shared" si="2"/>
        <v>328.34650000000005</v>
      </c>
      <c r="R152">
        <v>952.58950000000004</v>
      </c>
      <c r="S152" s="2">
        <v>45677</v>
      </c>
      <c r="T152" s="2">
        <v>45687</v>
      </c>
      <c r="U152" t="s">
        <v>35</v>
      </c>
      <c r="V152">
        <v>20</v>
      </c>
      <c r="W152">
        <v>1</v>
      </c>
      <c r="X152" t="s">
        <v>42</v>
      </c>
      <c r="Y152">
        <v>2025</v>
      </c>
      <c r="Z152">
        <v>1</v>
      </c>
      <c r="AA152">
        <v>4</v>
      </c>
    </row>
    <row r="153" spans="1:27" x14ac:dyDescent="0.3">
      <c r="A153" s="2">
        <v>45738</v>
      </c>
      <c r="B153" t="s">
        <v>2</v>
      </c>
      <c r="C153" t="s">
        <v>10</v>
      </c>
      <c r="D153">
        <v>5</v>
      </c>
      <c r="E153">
        <v>225.99</v>
      </c>
      <c r="F153" t="s">
        <v>14</v>
      </c>
      <c r="G153" t="s">
        <v>17</v>
      </c>
      <c r="H153">
        <v>0</v>
      </c>
      <c r="I153" t="s">
        <v>18</v>
      </c>
      <c r="J153">
        <v>1129.95</v>
      </c>
      <c r="K153" t="s">
        <v>24</v>
      </c>
      <c r="L153" t="s">
        <v>30</v>
      </c>
      <c r="M153">
        <v>1</v>
      </c>
      <c r="N153" t="s">
        <v>226</v>
      </c>
      <c r="O153" t="s">
        <v>1726</v>
      </c>
      <c r="P153">
        <v>10.88</v>
      </c>
      <c r="Q153">
        <f t="shared" si="2"/>
        <v>225.99</v>
      </c>
      <c r="R153">
        <v>1119.07</v>
      </c>
      <c r="S153" s="2">
        <v>45738</v>
      </c>
      <c r="T153" s="2">
        <v>45746</v>
      </c>
      <c r="U153" t="s">
        <v>35</v>
      </c>
      <c r="V153">
        <v>22</v>
      </c>
      <c r="W153">
        <v>3</v>
      </c>
      <c r="X153" t="s">
        <v>44</v>
      </c>
      <c r="Y153">
        <v>2025</v>
      </c>
      <c r="Z153">
        <v>1</v>
      </c>
      <c r="AA153">
        <v>12</v>
      </c>
    </row>
    <row r="154" spans="1:27" x14ac:dyDescent="0.3">
      <c r="A154" s="2">
        <v>45744</v>
      </c>
      <c r="B154" t="s">
        <v>1</v>
      </c>
      <c r="C154" t="s">
        <v>11</v>
      </c>
      <c r="D154">
        <v>20</v>
      </c>
      <c r="E154">
        <v>312.56</v>
      </c>
      <c r="F154" t="s">
        <v>15</v>
      </c>
      <c r="G154" t="s">
        <v>17</v>
      </c>
      <c r="H154">
        <v>0.15</v>
      </c>
      <c r="I154" t="s">
        <v>20</v>
      </c>
      <c r="J154">
        <v>5313.52</v>
      </c>
      <c r="K154" t="s">
        <v>25</v>
      </c>
      <c r="L154" t="s">
        <v>31</v>
      </c>
      <c r="M154">
        <v>0</v>
      </c>
      <c r="N154" t="s">
        <v>227</v>
      </c>
      <c r="O154" t="s">
        <v>1727</v>
      </c>
      <c r="P154">
        <v>47.39</v>
      </c>
      <c r="Q154">
        <f t="shared" si="2"/>
        <v>265.67600000000004</v>
      </c>
      <c r="R154">
        <v>5266.13</v>
      </c>
      <c r="S154" s="2">
        <v>45744</v>
      </c>
      <c r="T154" s="2">
        <v>45746</v>
      </c>
      <c r="U154" t="s">
        <v>34</v>
      </c>
      <c r="V154">
        <v>28</v>
      </c>
      <c r="W154">
        <v>3</v>
      </c>
      <c r="X154" t="s">
        <v>44</v>
      </c>
      <c r="Y154">
        <v>2025</v>
      </c>
      <c r="Z154">
        <v>1</v>
      </c>
      <c r="AA154">
        <v>13</v>
      </c>
    </row>
    <row r="155" spans="1:27" x14ac:dyDescent="0.3">
      <c r="A155" s="2">
        <v>45705</v>
      </c>
      <c r="B155" t="s">
        <v>2</v>
      </c>
      <c r="C155" t="s">
        <v>6</v>
      </c>
      <c r="D155">
        <v>13</v>
      </c>
      <c r="E155">
        <v>433.77</v>
      </c>
      <c r="F155" t="s">
        <v>14</v>
      </c>
      <c r="G155" t="s">
        <v>16</v>
      </c>
      <c r="H155">
        <v>0.05</v>
      </c>
      <c r="I155" t="s">
        <v>20</v>
      </c>
      <c r="J155">
        <v>5357.0595000000003</v>
      </c>
      <c r="K155" t="s">
        <v>28</v>
      </c>
      <c r="L155" t="s">
        <v>29</v>
      </c>
      <c r="M155">
        <v>0</v>
      </c>
      <c r="N155" t="s">
        <v>228</v>
      </c>
      <c r="O155" t="s">
        <v>1728</v>
      </c>
      <c r="P155">
        <v>17.61</v>
      </c>
      <c r="Q155">
        <f t="shared" si="2"/>
        <v>412.08150000000001</v>
      </c>
      <c r="R155">
        <v>5339.4495000000006</v>
      </c>
      <c r="S155" s="2">
        <v>45705</v>
      </c>
      <c r="T155" s="2">
        <v>45709</v>
      </c>
      <c r="U155" t="s">
        <v>35</v>
      </c>
      <c r="V155">
        <v>17</v>
      </c>
      <c r="W155">
        <v>2</v>
      </c>
      <c r="X155" t="s">
        <v>38</v>
      </c>
      <c r="Y155">
        <v>2025</v>
      </c>
      <c r="Z155">
        <v>1</v>
      </c>
      <c r="AA155">
        <v>8</v>
      </c>
    </row>
    <row r="156" spans="1:27" x14ac:dyDescent="0.3">
      <c r="A156" s="2">
        <v>45604</v>
      </c>
      <c r="B156" t="s">
        <v>1</v>
      </c>
      <c r="C156" t="s">
        <v>10</v>
      </c>
      <c r="D156">
        <v>20</v>
      </c>
      <c r="E156">
        <v>159.33000000000001</v>
      </c>
      <c r="F156" t="s">
        <v>13</v>
      </c>
      <c r="G156" t="s">
        <v>16</v>
      </c>
      <c r="H156">
        <v>0</v>
      </c>
      <c r="I156" t="s">
        <v>18</v>
      </c>
      <c r="J156">
        <v>3186.6</v>
      </c>
      <c r="K156" t="s">
        <v>24</v>
      </c>
      <c r="L156" t="s">
        <v>29</v>
      </c>
      <c r="M156">
        <v>0</v>
      </c>
      <c r="N156" t="s">
        <v>229</v>
      </c>
      <c r="O156" t="s">
        <v>1729</v>
      </c>
      <c r="P156">
        <v>26.32</v>
      </c>
      <c r="Q156">
        <f t="shared" si="2"/>
        <v>159.32999999999998</v>
      </c>
      <c r="R156">
        <v>3160.2799999999997</v>
      </c>
      <c r="S156" s="2">
        <v>45604</v>
      </c>
      <c r="T156" s="2">
        <v>45607</v>
      </c>
      <c r="U156" t="s">
        <v>34</v>
      </c>
      <c r="V156">
        <v>8</v>
      </c>
      <c r="W156">
        <v>11</v>
      </c>
      <c r="X156" t="s">
        <v>47</v>
      </c>
      <c r="Y156">
        <v>2024</v>
      </c>
      <c r="Z156">
        <v>4</v>
      </c>
      <c r="AA156">
        <v>45</v>
      </c>
    </row>
    <row r="157" spans="1:27" x14ac:dyDescent="0.3">
      <c r="A157" s="2">
        <v>45368</v>
      </c>
      <c r="B157" t="s">
        <v>1</v>
      </c>
      <c r="C157" t="s">
        <v>6</v>
      </c>
      <c r="D157">
        <v>18</v>
      </c>
      <c r="E157">
        <v>32.229999999999997</v>
      </c>
      <c r="F157" t="s">
        <v>12</v>
      </c>
      <c r="G157" t="s">
        <v>17</v>
      </c>
      <c r="H157">
        <v>0.05</v>
      </c>
      <c r="I157" t="s">
        <v>23</v>
      </c>
      <c r="J157">
        <v>551.13299999999992</v>
      </c>
      <c r="K157" t="s">
        <v>26</v>
      </c>
      <c r="L157" t="s">
        <v>29</v>
      </c>
      <c r="M157">
        <v>0</v>
      </c>
      <c r="N157" t="s">
        <v>230</v>
      </c>
      <c r="O157" t="s">
        <v>1730</v>
      </c>
      <c r="P157">
        <v>6.04</v>
      </c>
      <c r="Q157">
        <f t="shared" si="2"/>
        <v>30.618499999999997</v>
      </c>
      <c r="R157">
        <v>545.09299999999996</v>
      </c>
      <c r="S157" s="2">
        <v>45368</v>
      </c>
      <c r="T157" s="2">
        <v>45372</v>
      </c>
      <c r="U157" t="s">
        <v>34</v>
      </c>
      <c r="V157">
        <v>17</v>
      </c>
      <c r="W157">
        <v>3</v>
      </c>
      <c r="X157" t="s">
        <v>44</v>
      </c>
      <c r="Y157">
        <v>2024</v>
      </c>
      <c r="Z157">
        <v>1</v>
      </c>
      <c r="AA157">
        <v>11</v>
      </c>
    </row>
    <row r="158" spans="1:27" x14ac:dyDescent="0.3">
      <c r="A158" s="2">
        <v>45167</v>
      </c>
      <c r="B158" t="s">
        <v>1</v>
      </c>
      <c r="C158" t="s">
        <v>9</v>
      </c>
      <c r="D158">
        <v>3</v>
      </c>
      <c r="E158">
        <v>527.77</v>
      </c>
      <c r="F158" t="s">
        <v>14</v>
      </c>
      <c r="G158" t="s">
        <v>17</v>
      </c>
      <c r="H158">
        <v>0.1</v>
      </c>
      <c r="I158" t="s">
        <v>23</v>
      </c>
      <c r="J158">
        <v>1424.979</v>
      </c>
      <c r="K158" t="s">
        <v>28</v>
      </c>
      <c r="L158" t="s">
        <v>29</v>
      </c>
      <c r="M158">
        <v>0</v>
      </c>
      <c r="N158" t="s">
        <v>231</v>
      </c>
      <c r="O158" t="s">
        <v>1731</v>
      </c>
      <c r="P158">
        <v>48.66</v>
      </c>
      <c r="Q158">
        <f t="shared" si="2"/>
        <v>474.99299999999999</v>
      </c>
      <c r="R158">
        <v>1376.319</v>
      </c>
      <c r="S158" s="2">
        <v>45167</v>
      </c>
      <c r="T158" s="2">
        <v>45170</v>
      </c>
      <c r="U158" t="s">
        <v>34</v>
      </c>
      <c r="V158">
        <v>29</v>
      </c>
      <c r="W158">
        <v>8</v>
      </c>
      <c r="X158" t="s">
        <v>48</v>
      </c>
      <c r="Y158">
        <v>2023</v>
      </c>
      <c r="Z158">
        <v>3</v>
      </c>
      <c r="AA158">
        <v>35</v>
      </c>
    </row>
    <row r="159" spans="1:27" x14ac:dyDescent="0.3">
      <c r="A159" s="2">
        <v>45099</v>
      </c>
      <c r="B159" t="s">
        <v>1</v>
      </c>
      <c r="C159" t="s">
        <v>8</v>
      </c>
      <c r="D159">
        <v>14</v>
      </c>
      <c r="E159">
        <v>291.08999999999997</v>
      </c>
      <c r="F159" t="s">
        <v>13</v>
      </c>
      <c r="G159" t="s">
        <v>17</v>
      </c>
      <c r="H159">
        <v>0</v>
      </c>
      <c r="I159" t="s">
        <v>21</v>
      </c>
      <c r="J159">
        <v>4075.26</v>
      </c>
      <c r="K159" t="s">
        <v>28</v>
      </c>
      <c r="L159" t="s">
        <v>32</v>
      </c>
      <c r="M159">
        <v>0</v>
      </c>
      <c r="N159" t="s">
        <v>232</v>
      </c>
      <c r="O159" t="s">
        <v>1732</v>
      </c>
      <c r="P159">
        <v>39.979999999999997</v>
      </c>
      <c r="Q159">
        <f t="shared" si="2"/>
        <v>291.09000000000003</v>
      </c>
      <c r="R159">
        <v>4035.28</v>
      </c>
      <c r="S159" s="2">
        <v>45099</v>
      </c>
      <c r="T159" s="2">
        <v>45107</v>
      </c>
      <c r="U159" t="s">
        <v>34</v>
      </c>
      <c r="V159">
        <v>22</v>
      </c>
      <c r="W159">
        <v>6</v>
      </c>
      <c r="X159" t="s">
        <v>41</v>
      </c>
      <c r="Y159">
        <v>2023</v>
      </c>
      <c r="Z159">
        <v>2</v>
      </c>
      <c r="AA159">
        <v>25</v>
      </c>
    </row>
    <row r="160" spans="1:27" x14ac:dyDescent="0.3">
      <c r="A160" s="2">
        <v>45346</v>
      </c>
      <c r="B160" t="s">
        <v>1</v>
      </c>
      <c r="C160" t="s">
        <v>6</v>
      </c>
      <c r="D160">
        <v>8</v>
      </c>
      <c r="E160">
        <v>350.12</v>
      </c>
      <c r="F160" t="s">
        <v>14</v>
      </c>
      <c r="G160" t="s">
        <v>17</v>
      </c>
      <c r="H160">
        <v>0</v>
      </c>
      <c r="I160" t="s">
        <v>19</v>
      </c>
      <c r="J160">
        <v>2800.96</v>
      </c>
      <c r="K160" t="s">
        <v>25</v>
      </c>
      <c r="L160" t="s">
        <v>29</v>
      </c>
      <c r="M160">
        <v>1</v>
      </c>
      <c r="N160" t="s">
        <v>233</v>
      </c>
      <c r="O160" t="s">
        <v>1733</v>
      </c>
      <c r="P160">
        <v>31.65</v>
      </c>
      <c r="Q160">
        <f t="shared" si="2"/>
        <v>350.12</v>
      </c>
      <c r="R160">
        <v>2769.31</v>
      </c>
      <c r="S160" s="2">
        <v>45346</v>
      </c>
      <c r="T160" s="2">
        <v>45352</v>
      </c>
      <c r="U160" t="s">
        <v>34</v>
      </c>
      <c r="V160">
        <v>24</v>
      </c>
      <c r="W160">
        <v>2</v>
      </c>
      <c r="X160" t="s">
        <v>38</v>
      </c>
      <c r="Y160">
        <v>2024</v>
      </c>
      <c r="Z160">
        <v>1</v>
      </c>
      <c r="AA160">
        <v>8</v>
      </c>
    </row>
    <row r="161" spans="1:27" x14ac:dyDescent="0.3">
      <c r="A161" s="2">
        <v>45392</v>
      </c>
      <c r="B161" t="s">
        <v>2</v>
      </c>
      <c r="C161" t="s">
        <v>6</v>
      </c>
      <c r="D161">
        <v>10</v>
      </c>
      <c r="E161">
        <v>195.26</v>
      </c>
      <c r="F161" t="s">
        <v>15</v>
      </c>
      <c r="G161" t="s">
        <v>17</v>
      </c>
      <c r="H161">
        <v>0.05</v>
      </c>
      <c r="I161" t="s">
        <v>19</v>
      </c>
      <c r="J161">
        <v>1854.97</v>
      </c>
      <c r="K161" t="s">
        <v>26</v>
      </c>
      <c r="L161" t="s">
        <v>31</v>
      </c>
      <c r="M161">
        <v>0</v>
      </c>
      <c r="N161" t="s">
        <v>234</v>
      </c>
      <c r="O161" t="s">
        <v>1734</v>
      </c>
      <c r="P161">
        <v>46.91</v>
      </c>
      <c r="Q161">
        <f t="shared" si="2"/>
        <v>185.49700000000001</v>
      </c>
      <c r="R161">
        <v>1808.06</v>
      </c>
      <c r="S161" s="2">
        <v>45392</v>
      </c>
      <c r="T161" s="2">
        <v>45397</v>
      </c>
      <c r="U161" t="s">
        <v>35</v>
      </c>
      <c r="V161">
        <v>10</v>
      </c>
      <c r="W161">
        <v>4</v>
      </c>
      <c r="X161" t="s">
        <v>45</v>
      </c>
      <c r="Y161">
        <v>2024</v>
      </c>
      <c r="Z161">
        <v>2</v>
      </c>
      <c r="AA161">
        <v>15</v>
      </c>
    </row>
    <row r="162" spans="1:27" x14ac:dyDescent="0.3">
      <c r="A162" s="2">
        <v>45060</v>
      </c>
      <c r="B162" t="s">
        <v>1</v>
      </c>
      <c r="C162" t="s">
        <v>9</v>
      </c>
      <c r="D162">
        <v>13</v>
      </c>
      <c r="E162">
        <v>291.10000000000002</v>
      </c>
      <c r="F162" t="s">
        <v>13</v>
      </c>
      <c r="G162" t="s">
        <v>16</v>
      </c>
      <c r="H162">
        <v>0</v>
      </c>
      <c r="I162" t="s">
        <v>19</v>
      </c>
      <c r="J162">
        <v>3784.3</v>
      </c>
      <c r="K162" t="s">
        <v>24</v>
      </c>
      <c r="L162" t="s">
        <v>29</v>
      </c>
      <c r="M162">
        <v>0</v>
      </c>
      <c r="N162" t="s">
        <v>235</v>
      </c>
      <c r="O162" t="s">
        <v>1735</v>
      </c>
      <c r="P162">
        <v>7.66</v>
      </c>
      <c r="Q162">
        <f t="shared" si="2"/>
        <v>291.10000000000002</v>
      </c>
      <c r="R162">
        <v>3776.6400000000003</v>
      </c>
      <c r="S162" s="2">
        <v>45060</v>
      </c>
      <c r="T162" s="2">
        <v>45065</v>
      </c>
      <c r="U162" t="s">
        <v>34</v>
      </c>
      <c r="V162">
        <v>14</v>
      </c>
      <c r="W162">
        <v>5</v>
      </c>
      <c r="X162" t="s">
        <v>40</v>
      </c>
      <c r="Y162">
        <v>2023</v>
      </c>
      <c r="Z162">
        <v>2</v>
      </c>
      <c r="AA162">
        <v>19</v>
      </c>
    </row>
    <row r="163" spans="1:27" x14ac:dyDescent="0.3">
      <c r="A163" s="2">
        <v>44996</v>
      </c>
      <c r="B163" t="s">
        <v>1</v>
      </c>
      <c r="C163" t="s">
        <v>9</v>
      </c>
      <c r="D163">
        <v>6</v>
      </c>
      <c r="E163">
        <v>93.92</v>
      </c>
      <c r="F163" t="s">
        <v>12</v>
      </c>
      <c r="G163" t="s">
        <v>16</v>
      </c>
      <c r="H163">
        <v>0.15</v>
      </c>
      <c r="I163" t="s">
        <v>18</v>
      </c>
      <c r="J163">
        <v>478.99200000000002</v>
      </c>
      <c r="K163" t="s">
        <v>26</v>
      </c>
      <c r="L163" t="s">
        <v>29</v>
      </c>
      <c r="M163">
        <v>0</v>
      </c>
      <c r="N163" t="s">
        <v>236</v>
      </c>
      <c r="O163" t="s">
        <v>1736</v>
      </c>
      <c r="P163">
        <v>11</v>
      </c>
      <c r="Q163">
        <f t="shared" si="2"/>
        <v>79.832000000000008</v>
      </c>
      <c r="R163">
        <v>467.99200000000002</v>
      </c>
      <c r="S163" s="2">
        <v>44996</v>
      </c>
      <c r="T163" s="2">
        <v>45003</v>
      </c>
      <c r="U163" t="s">
        <v>34</v>
      </c>
      <c r="V163">
        <v>11</v>
      </c>
      <c r="W163">
        <v>3</v>
      </c>
      <c r="X163" t="s">
        <v>44</v>
      </c>
      <c r="Y163">
        <v>2023</v>
      </c>
      <c r="Z163">
        <v>1</v>
      </c>
      <c r="AA163">
        <v>10</v>
      </c>
    </row>
    <row r="164" spans="1:27" x14ac:dyDescent="0.3">
      <c r="A164" s="2">
        <v>45528</v>
      </c>
      <c r="B164" t="s">
        <v>3</v>
      </c>
      <c r="C164" t="s">
        <v>11</v>
      </c>
      <c r="D164">
        <v>5</v>
      </c>
      <c r="E164">
        <v>15.92</v>
      </c>
      <c r="F164" t="s">
        <v>15</v>
      </c>
      <c r="G164" t="s">
        <v>17</v>
      </c>
      <c r="H164">
        <v>0</v>
      </c>
      <c r="I164" t="s">
        <v>18</v>
      </c>
      <c r="J164">
        <v>79.599999999999994</v>
      </c>
      <c r="K164" t="s">
        <v>26</v>
      </c>
      <c r="L164" t="s">
        <v>32</v>
      </c>
      <c r="M164">
        <v>1</v>
      </c>
      <c r="N164" t="s">
        <v>237</v>
      </c>
      <c r="O164" t="s">
        <v>1737</v>
      </c>
      <c r="P164">
        <v>8.66</v>
      </c>
      <c r="Q164">
        <f t="shared" si="2"/>
        <v>15.919999999999998</v>
      </c>
      <c r="R164">
        <v>70.94</v>
      </c>
      <c r="S164" s="2">
        <v>45528</v>
      </c>
      <c r="T164" s="2">
        <v>45530</v>
      </c>
      <c r="U164" t="s">
        <v>36</v>
      </c>
      <c r="V164">
        <v>24</v>
      </c>
      <c r="W164">
        <v>8</v>
      </c>
      <c r="X164" t="s">
        <v>48</v>
      </c>
      <c r="Y164">
        <v>2024</v>
      </c>
      <c r="Z164">
        <v>3</v>
      </c>
      <c r="AA164">
        <v>34</v>
      </c>
    </row>
    <row r="165" spans="1:27" x14ac:dyDescent="0.3">
      <c r="A165" s="2">
        <v>45345</v>
      </c>
      <c r="B165" t="s">
        <v>1</v>
      </c>
      <c r="C165" t="s">
        <v>9</v>
      </c>
      <c r="D165">
        <v>16</v>
      </c>
      <c r="E165">
        <v>120.22</v>
      </c>
      <c r="F165" t="s">
        <v>15</v>
      </c>
      <c r="G165" t="s">
        <v>17</v>
      </c>
      <c r="H165">
        <v>0.15</v>
      </c>
      <c r="I165" t="s">
        <v>23</v>
      </c>
      <c r="J165">
        <v>1634.992</v>
      </c>
      <c r="K165" t="s">
        <v>28</v>
      </c>
      <c r="L165" t="s">
        <v>30</v>
      </c>
      <c r="M165">
        <v>0</v>
      </c>
      <c r="N165" t="s">
        <v>238</v>
      </c>
      <c r="O165" t="s">
        <v>1738</v>
      </c>
      <c r="P165">
        <v>8.42</v>
      </c>
      <c r="Q165">
        <f t="shared" si="2"/>
        <v>102.187</v>
      </c>
      <c r="R165">
        <v>1626.5719999999999</v>
      </c>
      <c r="S165" s="2">
        <v>45345</v>
      </c>
      <c r="T165" s="2">
        <v>45352</v>
      </c>
      <c r="U165" t="s">
        <v>34</v>
      </c>
      <c r="V165">
        <v>23</v>
      </c>
      <c r="W165">
        <v>2</v>
      </c>
      <c r="X165" t="s">
        <v>38</v>
      </c>
      <c r="Y165">
        <v>2024</v>
      </c>
      <c r="Z165">
        <v>1</v>
      </c>
      <c r="AA165">
        <v>8</v>
      </c>
    </row>
    <row r="166" spans="1:27" x14ac:dyDescent="0.3">
      <c r="A166" s="2">
        <v>45321</v>
      </c>
      <c r="B166" t="s">
        <v>2</v>
      </c>
      <c r="C166" t="s">
        <v>9</v>
      </c>
      <c r="D166">
        <v>11</v>
      </c>
      <c r="E166">
        <v>118.8</v>
      </c>
      <c r="F166" t="s">
        <v>13</v>
      </c>
      <c r="G166" t="s">
        <v>17</v>
      </c>
      <c r="H166">
        <v>0.05</v>
      </c>
      <c r="I166" t="s">
        <v>18</v>
      </c>
      <c r="J166">
        <v>1241.46</v>
      </c>
      <c r="K166" t="s">
        <v>24</v>
      </c>
      <c r="L166" t="s">
        <v>30</v>
      </c>
      <c r="M166">
        <v>0</v>
      </c>
      <c r="N166" t="s">
        <v>239</v>
      </c>
      <c r="O166" t="s">
        <v>1739</v>
      </c>
      <c r="P166">
        <v>39.32</v>
      </c>
      <c r="Q166">
        <f t="shared" si="2"/>
        <v>112.86</v>
      </c>
      <c r="R166">
        <v>1202.1400000000001</v>
      </c>
      <c r="S166" s="2">
        <v>45321</v>
      </c>
      <c r="T166" s="2">
        <v>45328</v>
      </c>
      <c r="U166" t="s">
        <v>35</v>
      </c>
      <c r="V166">
        <v>30</v>
      </c>
      <c r="W166">
        <v>1</v>
      </c>
      <c r="X166" t="s">
        <v>42</v>
      </c>
      <c r="Y166">
        <v>2024</v>
      </c>
      <c r="Z166">
        <v>1</v>
      </c>
      <c r="AA166">
        <v>5</v>
      </c>
    </row>
    <row r="167" spans="1:27" x14ac:dyDescent="0.3">
      <c r="A167" s="2">
        <v>45314</v>
      </c>
      <c r="B167" t="s">
        <v>0</v>
      </c>
      <c r="C167" t="s">
        <v>10</v>
      </c>
      <c r="D167">
        <v>10</v>
      </c>
      <c r="E167">
        <v>92.45</v>
      </c>
      <c r="F167" t="s">
        <v>14</v>
      </c>
      <c r="G167" t="s">
        <v>16</v>
      </c>
      <c r="H167">
        <v>0.1</v>
      </c>
      <c r="I167" t="s">
        <v>20</v>
      </c>
      <c r="J167">
        <v>832.05000000000007</v>
      </c>
      <c r="K167" t="s">
        <v>28</v>
      </c>
      <c r="L167" t="s">
        <v>31</v>
      </c>
      <c r="M167">
        <v>1</v>
      </c>
      <c r="N167" t="s">
        <v>240</v>
      </c>
      <c r="O167" t="s">
        <v>1740</v>
      </c>
      <c r="P167">
        <v>42.61</v>
      </c>
      <c r="Q167">
        <f t="shared" si="2"/>
        <v>83.205000000000013</v>
      </c>
      <c r="R167">
        <v>789.44</v>
      </c>
      <c r="S167" s="2">
        <v>45314</v>
      </c>
      <c r="T167" s="2">
        <v>45320</v>
      </c>
      <c r="U167" t="s">
        <v>33</v>
      </c>
      <c r="V167">
        <v>23</v>
      </c>
      <c r="W167">
        <v>1</v>
      </c>
      <c r="X167" t="s">
        <v>42</v>
      </c>
      <c r="Y167">
        <v>2024</v>
      </c>
      <c r="Z167">
        <v>1</v>
      </c>
      <c r="AA167">
        <v>4</v>
      </c>
    </row>
    <row r="168" spans="1:27" x14ac:dyDescent="0.3">
      <c r="A168" s="2">
        <v>44931</v>
      </c>
      <c r="B168" t="s">
        <v>2</v>
      </c>
      <c r="C168" t="s">
        <v>5</v>
      </c>
      <c r="D168">
        <v>19</v>
      </c>
      <c r="E168">
        <v>463.51</v>
      </c>
      <c r="F168" t="s">
        <v>12</v>
      </c>
      <c r="G168" t="s">
        <v>17</v>
      </c>
      <c r="H168">
        <v>0</v>
      </c>
      <c r="I168" t="s">
        <v>23</v>
      </c>
      <c r="J168">
        <v>8806.69</v>
      </c>
      <c r="K168" t="s">
        <v>28</v>
      </c>
      <c r="L168" t="s">
        <v>29</v>
      </c>
      <c r="M168">
        <v>0</v>
      </c>
      <c r="N168" t="s">
        <v>241</v>
      </c>
      <c r="O168" t="s">
        <v>1741</v>
      </c>
      <c r="P168">
        <v>49.38</v>
      </c>
      <c r="Q168">
        <f t="shared" si="2"/>
        <v>463.51000000000005</v>
      </c>
      <c r="R168">
        <v>8757.3100000000013</v>
      </c>
      <c r="S168" s="2">
        <v>44931</v>
      </c>
      <c r="T168" s="2">
        <v>44934</v>
      </c>
      <c r="U168" t="s">
        <v>35</v>
      </c>
      <c r="V168">
        <v>5</v>
      </c>
      <c r="W168">
        <v>1</v>
      </c>
      <c r="X168" t="s">
        <v>42</v>
      </c>
      <c r="Y168">
        <v>2023</v>
      </c>
      <c r="Z168">
        <v>1</v>
      </c>
      <c r="AA168">
        <v>1</v>
      </c>
    </row>
    <row r="169" spans="1:27" x14ac:dyDescent="0.3">
      <c r="A169" s="2">
        <v>45281</v>
      </c>
      <c r="B169" t="s">
        <v>2</v>
      </c>
      <c r="C169" t="s">
        <v>7</v>
      </c>
      <c r="D169">
        <v>7</v>
      </c>
      <c r="E169">
        <v>284.7</v>
      </c>
      <c r="F169" t="s">
        <v>15</v>
      </c>
      <c r="G169" t="s">
        <v>16</v>
      </c>
      <c r="H169">
        <v>0.05</v>
      </c>
      <c r="I169" t="s">
        <v>23</v>
      </c>
      <c r="J169">
        <v>1893.2550000000001</v>
      </c>
      <c r="K169" t="s">
        <v>25</v>
      </c>
      <c r="L169" t="s">
        <v>32</v>
      </c>
      <c r="M169">
        <v>0</v>
      </c>
      <c r="N169" t="s">
        <v>242</v>
      </c>
      <c r="O169" t="s">
        <v>1742</v>
      </c>
      <c r="P169">
        <v>5.36</v>
      </c>
      <c r="Q169">
        <f t="shared" si="2"/>
        <v>270.46500000000003</v>
      </c>
      <c r="R169">
        <v>1887.8950000000002</v>
      </c>
      <c r="S169" s="2">
        <v>45281</v>
      </c>
      <c r="T169" s="2">
        <v>45290</v>
      </c>
      <c r="U169" t="s">
        <v>35</v>
      </c>
      <c r="V169">
        <v>21</v>
      </c>
      <c r="W169">
        <v>12</v>
      </c>
      <c r="X169" t="s">
        <v>39</v>
      </c>
      <c r="Y169">
        <v>2023</v>
      </c>
      <c r="Z169">
        <v>4</v>
      </c>
      <c r="AA169">
        <v>51</v>
      </c>
    </row>
    <row r="170" spans="1:27" x14ac:dyDescent="0.3">
      <c r="A170" s="2">
        <v>45071</v>
      </c>
      <c r="B170" t="s">
        <v>4</v>
      </c>
      <c r="C170" t="s">
        <v>5</v>
      </c>
      <c r="D170">
        <v>20</v>
      </c>
      <c r="E170">
        <v>343.25</v>
      </c>
      <c r="F170" t="s">
        <v>14</v>
      </c>
      <c r="G170" t="s">
        <v>16</v>
      </c>
      <c r="H170">
        <v>0.05</v>
      </c>
      <c r="I170" t="s">
        <v>19</v>
      </c>
      <c r="J170">
        <v>6521.75</v>
      </c>
      <c r="K170" t="s">
        <v>27</v>
      </c>
      <c r="L170" t="s">
        <v>29</v>
      </c>
      <c r="M170">
        <v>0</v>
      </c>
      <c r="N170" t="s">
        <v>243</v>
      </c>
      <c r="O170" t="s">
        <v>1743</v>
      </c>
      <c r="P170">
        <v>28.77</v>
      </c>
      <c r="Q170">
        <f t="shared" si="2"/>
        <v>326.08749999999998</v>
      </c>
      <c r="R170">
        <v>6492.98</v>
      </c>
      <c r="S170" s="2">
        <v>45071</v>
      </c>
      <c r="T170" s="2">
        <v>45079</v>
      </c>
      <c r="U170" t="s">
        <v>37</v>
      </c>
      <c r="V170">
        <v>25</v>
      </c>
      <c r="W170">
        <v>5</v>
      </c>
      <c r="X170" t="s">
        <v>40</v>
      </c>
      <c r="Y170">
        <v>2023</v>
      </c>
      <c r="Z170">
        <v>2</v>
      </c>
      <c r="AA170">
        <v>21</v>
      </c>
    </row>
    <row r="171" spans="1:27" x14ac:dyDescent="0.3">
      <c r="A171" s="2">
        <v>45838</v>
      </c>
      <c r="B171" t="s">
        <v>3</v>
      </c>
      <c r="C171" t="s">
        <v>8</v>
      </c>
      <c r="D171">
        <v>6</v>
      </c>
      <c r="E171">
        <v>95.24</v>
      </c>
      <c r="F171" t="s">
        <v>15</v>
      </c>
      <c r="G171" t="s">
        <v>16</v>
      </c>
      <c r="H171">
        <v>0.15</v>
      </c>
      <c r="I171" t="s">
        <v>22</v>
      </c>
      <c r="J171">
        <v>485.72399999999988</v>
      </c>
      <c r="K171" t="s">
        <v>25</v>
      </c>
      <c r="L171" t="s">
        <v>29</v>
      </c>
      <c r="M171">
        <v>0</v>
      </c>
      <c r="N171" t="s">
        <v>244</v>
      </c>
      <c r="O171" t="s">
        <v>1744</v>
      </c>
      <c r="P171">
        <v>18.72</v>
      </c>
      <c r="Q171">
        <f t="shared" si="2"/>
        <v>80.953999999999979</v>
      </c>
      <c r="R171">
        <v>467.00399999999991</v>
      </c>
      <c r="S171" s="2">
        <v>45838</v>
      </c>
      <c r="T171" s="2">
        <v>45846</v>
      </c>
      <c r="U171" t="s">
        <v>36</v>
      </c>
      <c r="V171">
        <v>30</v>
      </c>
      <c r="W171">
        <v>6</v>
      </c>
      <c r="X171" t="s">
        <v>41</v>
      </c>
      <c r="Y171">
        <v>2025</v>
      </c>
      <c r="Z171">
        <v>2</v>
      </c>
      <c r="AA171">
        <v>27</v>
      </c>
    </row>
    <row r="172" spans="1:27" x14ac:dyDescent="0.3">
      <c r="A172" s="2">
        <v>45700</v>
      </c>
      <c r="B172" t="s">
        <v>4</v>
      </c>
      <c r="C172" t="s">
        <v>7</v>
      </c>
      <c r="D172">
        <v>13</v>
      </c>
      <c r="E172">
        <v>104.8</v>
      </c>
      <c r="F172" t="s">
        <v>12</v>
      </c>
      <c r="G172" t="s">
        <v>17</v>
      </c>
      <c r="H172">
        <v>0.05</v>
      </c>
      <c r="I172" t="s">
        <v>22</v>
      </c>
      <c r="J172">
        <v>1294.28</v>
      </c>
      <c r="K172" t="s">
        <v>26</v>
      </c>
      <c r="L172" t="s">
        <v>31</v>
      </c>
      <c r="M172">
        <v>0</v>
      </c>
      <c r="N172" t="s">
        <v>245</v>
      </c>
      <c r="O172" t="s">
        <v>1745</v>
      </c>
      <c r="P172">
        <v>7.79</v>
      </c>
      <c r="Q172">
        <f t="shared" si="2"/>
        <v>99.56</v>
      </c>
      <c r="R172">
        <v>1286.49</v>
      </c>
      <c r="S172" s="2">
        <v>45700</v>
      </c>
      <c r="T172" s="2">
        <v>45707</v>
      </c>
      <c r="U172" t="s">
        <v>37</v>
      </c>
      <c r="V172">
        <v>12</v>
      </c>
      <c r="W172">
        <v>2</v>
      </c>
      <c r="X172" t="s">
        <v>38</v>
      </c>
      <c r="Y172">
        <v>2025</v>
      </c>
      <c r="Z172">
        <v>1</v>
      </c>
      <c r="AA172">
        <v>7</v>
      </c>
    </row>
    <row r="173" spans="1:27" x14ac:dyDescent="0.3">
      <c r="A173" s="2">
        <v>45294</v>
      </c>
      <c r="B173" t="s">
        <v>4</v>
      </c>
      <c r="C173" t="s">
        <v>10</v>
      </c>
      <c r="D173">
        <v>12</v>
      </c>
      <c r="E173">
        <v>164.31</v>
      </c>
      <c r="F173" t="s">
        <v>12</v>
      </c>
      <c r="G173" t="s">
        <v>16</v>
      </c>
      <c r="H173">
        <v>0.1</v>
      </c>
      <c r="I173" t="s">
        <v>18</v>
      </c>
      <c r="J173">
        <v>1774.548</v>
      </c>
      <c r="K173" t="s">
        <v>28</v>
      </c>
      <c r="L173" t="s">
        <v>32</v>
      </c>
      <c r="M173">
        <v>1</v>
      </c>
      <c r="N173" t="s">
        <v>246</v>
      </c>
      <c r="O173" t="s">
        <v>1746</v>
      </c>
      <c r="P173">
        <v>38.9</v>
      </c>
      <c r="Q173">
        <f t="shared" si="2"/>
        <v>147.87899999999999</v>
      </c>
      <c r="R173">
        <v>1735.6479999999999</v>
      </c>
      <c r="S173" s="2">
        <v>45294</v>
      </c>
      <c r="T173" s="2">
        <v>45298</v>
      </c>
      <c r="U173" t="s">
        <v>37</v>
      </c>
      <c r="V173">
        <v>3</v>
      </c>
      <c r="W173">
        <v>1</v>
      </c>
      <c r="X173" t="s">
        <v>42</v>
      </c>
      <c r="Y173">
        <v>2024</v>
      </c>
      <c r="Z173">
        <v>1</v>
      </c>
      <c r="AA173">
        <v>1</v>
      </c>
    </row>
    <row r="174" spans="1:27" x14ac:dyDescent="0.3">
      <c r="A174" s="2">
        <v>44960</v>
      </c>
      <c r="B174" t="s">
        <v>1</v>
      </c>
      <c r="C174" t="s">
        <v>10</v>
      </c>
      <c r="D174">
        <v>10</v>
      </c>
      <c r="E174">
        <v>325.18</v>
      </c>
      <c r="F174" t="s">
        <v>14</v>
      </c>
      <c r="G174" t="s">
        <v>16</v>
      </c>
      <c r="H174">
        <v>0.1</v>
      </c>
      <c r="I174" t="s">
        <v>19</v>
      </c>
      <c r="J174">
        <v>2926.62</v>
      </c>
      <c r="K174" t="s">
        <v>28</v>
      </c>
      <c r="L174" t="s">
        <v>31</v>
      </c>
      <c r="M174">
        <v>0</v>
      </c>
      <c r="N174" t="s">
        <v>247</v>
      </c>
      <c r="O174" t="s">
        <v>1747</v>
      </c>
      <c r="P174">
        <v>47.39</v>
      </c>
      <c r="Q174">
        <f t="shared" si="2"/>
        <v>292.66199999999998</v>
      </c>
      <c r="R174">
        <v>2879.23</v>
      </c>
      <c r="S174" s="2">
        <v>44960</v>
      </c>
      <c r="T174" s="2">
        <v>44970</v>
      </c>
      <c r="U174" t="s">
        <v>34</v>
      </c>
      <c r="V174">
        <v>3</v>
      </c>
      <c r="W174">
        <v>2</v>
      </c>
      <c r="X174" t="s">
        <v>38</v>
      </c>
      <c r="Y174">
        <v>2023</v>
      </c>
      <c r="Z174">
        <v>1</v>
      </c>
      <c r="AA174">
        <v>5</v>
      </c>
    </row>
    <row r="175" spans="1:27" x14ac:dyDescent="0.3">
      <c r="A175" s="2">
        <v>45352</v>
      </c>
      <c r="B175" t="s">
        <v>0</v>
      </c>
      <c r="C175" t="s">
        <v>9</v>
      </c>
      <c r="D175">
        <v>17</v>
      </c>
      <c r="E175">
        <v>542.82000000000005</v>
      </c>
      <c r="F175" t="s">
        <v>13</v>
      </c>
      <c r="G175" t="s">
        <v>16</v>
      </c>
      <c r="H175">
        <v>0</v>
      </c>
      <c r="I175" t="s">
        <v>19</v>
      </c>
      <c r="J175">
        <v>9227.94</v>
      </c>
      <c r="K175" t="s">
        <v>27</v>
      </c>
      <c r="L175" t="s">
        <v>31</v>
      </c>
      <c r="M175">
        <v>1</v>
      </c>
      <c r="N175" t="s">
        <v>248</v>
      </c>
      <c r="O175" t="s">
        <v>1748</v>
      </c>
      <c r="P175">
        <v>7.13</v>
      </c>
      <c r="Q175">
        <f t="shared" si="2"/>
        <v>542.82000000000005</v>
      </c>
      <c r="R175">
        <v>9220.8100000000013</v>
      </c>
      <c r="S175" s="2">
        <v>45352</v>
      </c>
      <c r="T175" s="2">
        <v>45359</v>
      </c>
      <c r="U175" t="s">
        <v>33</v>
      </c>
      <c r="V175">
        <v>1</v>
      </c>
      <c r="W175">
        <v>3</v>
      </c>
      <c r="X175" t="s">
        <v>44</v>
      </c>
      <c r="Y175">
        <v>2024</v>
      </c>
      <c r="Z175">
        <v>1</v>
      </c>
      <c r="AA175">
        <v>9</v>
      </c>
    </row>
    <row r="176" spans="1:27" x14ac:dyDescent="0.3">
      <c r="A176" s="2">
        <v>45070</v>
      </c>
      <c r="B176" t="s">
        <v>2</v>
      </c>
      <c r="C176" t="s">
        <v>10</v>
      </c>
      <c r="D176">
        <v>14</v>
      </c>
      <c r="E176">
        <v>207.48</v>
      </c>
      <c r="F176" t="s">
        <v>14</v>
      </c>
      <c r="G176" t="s">
        <v>16</v>
      </c>
      <c r="H176">
        <v>0.05</v>
      </c>
      <c r="I176" t="s">
        <v>18</v>
      </c>
      <c r="J176">
        <v>2759.483999999999</v>
      </c>
      <c r="K176" t="s">
        <v>24</v>
      </c>
      <c r="L176" t="s">
        <v>32</v>
      </c>
      <c r="M176">
        <v>0</v>
      </c>
      <c r="N176" t="s">
        <v>249</v>
      </c>
      <c r="O176" t="s">
        <v>1749</v>
      </c>
      <c r="P176">
        <v>5.7</v>
      </c>
      <c r="Q176">
        <f t="shared" si="2"/>
        <v>197.10599999999994</v>
      </c>
      <c r="R176">
        <v>2753.7839999999992</v>
      </c>
      <c r="S176" s="2">
        <v>45070</v>
      </c>
      <c r="T176" s="2">
        <v>45079</v>
      </c>
      <c r="U176" t="s">
        <v>35</v>
      </c>
      <c r="V176">
        <v>24</v>
      </c>
      <c r="W176">
        <v>5</v>
      </c>
      <c r="X176" t="s">
        <v>40</v>
      </c>
      <c r="Y176">
        <v>2023</v>
      </c>
      <c r="Z176">
        <v>2</v>
      </c>
      <c r="AA176">
        <v>21</v>
      </c>
    </row>
    <row r="177" spans="1:27" x14ac:dyDescent="0.3">
      <c r="A177" s="2">
        <v>45830</v>
      </c>
      <c r="B177" t="s">
        <v>2</v>
      </c>
      <c r="C177" t="s">
        <v>11</v>
      </c>
      <c r="D177">
        <v>17</v>
      </c>
      <c r="E177">
        <v>527.88</v>
      </c>
      <c r="F177" t="s">
        <v>15</v>
      </c>
      <c r="G177" t="s">
        <v>17</v>
      </c>
      <c r="H177">
        <v>0.05</v>
      </c>
      <c r="I177" t="s">
        <v>23</v>
      </c>
      <c r="J177">
        <v>8525.2619999999988</v>
      </c>
      <c r="K177" t="s">
        <v>28</v>
      </c>
      <c r="L177" t="s">
        <v>31</v>
      </c>
      <c r="M177">
        <v>0</v>
      </c>
      <c r="N177" t="s">
        <v>250</v>
      </c>
      <c r="O177" t="s">
        <v>1750</v>
      </c>
      <c r="P177">
        <v>21.32</v>
      </c>
      <c r="Q177">
        <f t="shared" si="2"/>
        <v>501.48599999999993</v>
      </c>
      <c r="R177">
        <v>8503.9419999999991</v>
      </c>
      <c r="S177" s="2">
        <v>45830</v>
      </c>
      <c r="T177" s="2">
        <v>45836</v>
      </c>
      <c r="U177" t="s">
        <v>35</v>
      </c>
      <c r="V177">
        <v>22</v>
      </c>
      <c r="W177">
        <v>6</v>
      </c>
      <c r="X177" t="s">
        <v>41</v>
      </c>
      <c r="Y177">
        <v>2025</v>
      </c>
      <c r="Z177">
        <v>2</v>
      </c>
      <c r="AA177">
        <v>25</v>
      </c>
    </row>
    <row r="178" spans="1:27" x14ac:dyDescent="0.3">
      <c r="A178" s="2">
        <v>45026</v>
      </c>
      <c r="B178" t="s">
        <v>2</v>
      </c>
      <c r="C178" t="s">
        <v>8</v>
      </c>
      <c r="D178">
        <v>11</v>
      </c>
      <c r="E178">
        <v>71.209999999999994</v>
      </c>
      <c r="F178" t="s">
        <v>12</v>
      </c>
      <c r="G178" t="s">
        <v>17</v>
      </c>
      <c r="H178">
        <v>0.05</v>
      </c>
      <c r="I178" t="s">
        <v>22</v>
      </c>
      <c r="J178">
        <v>744.14449999999988</v>
      </c>
      <c r="K178" t="s">
        <v>24</v>
      </c>
      <c r="L178" t="s">
        <v>32</v>
      </c>
      <c r="M178">
        <v>1</v>
      </c>
      <c r="N178" t="s">
        <v>251</v>
      </c>
      <c r="O178" t="s">
        <v>1751</v>
      </c>
      <c r="P178">
        <v>44.2</v>
      </c>
      <c r="Q178">
        <f t="shared" si="2"/>
        <v>67.649499999999989</v>
      </c>
      <c r="R178">
        <v>699.94449999999983</v>
      </c>
      <c r="S178" s="2">
        <v>45026</v>
      </c>
      <c r="T178" s="2">
        <v>45030</v>
      </c>
      <c r="U178" t="s">
        <v>35</v>
      </c>
      <c r="V178">
        <v>10</v>
      </c>
      <c r="W178">
        <v>4</v>
      </c>
      <c r="X178" t="s">
        <v>45</v>
      </c>
      <c r="Y178">
        <v>2023</v>
      </c>
      <c r="Z178">
        <v>2</v>
      </c>
      <c r="AA178">
        <v>15</v>
      </c>
    </row>
    <row r="179" spans="1:27" x14ac:dyDescent="0.3">
      <c r="A179" s="2">
        <v>45720</v>
      </c>
      <c r="B179" t="s">
        <v>3</v>
      </c>
      <c r="C179" t="s">
        <v>11</v>
      </c>
      <c r="D179">
        <v>8</v>
      </c>
      <c r="E179">
        <v>486.07</v>
      </c>
      <c r="F179" t="s">
        <v>12</v>
      </c>
      <c r="G179" t="s">
        <v>17</v>
      </c>
      <c r="H179">
        <v>0</v>
      </c>
      <c r="I179" t="s">
        <v>21</v>
      </c>
      <c r="J179">
        <v>3888.56</v>
      </c>
      <c r="K179" t="s">
        <v>27</v>
      </c>
      <c r="L179" t="s">
        <v>29</v>
      </c>
      <c r="M179">
        <v>0</v>
      </c>
      <c r="N179" t="s">
        <v>252</v>
      </c>
      <c r="O179" t="s">
        <v>1752</v>
      </c>
      <c r="P179">
        <v>10.68</v>
      </c>
      <c r="Q179">
        <f t="shared" si="2"/>
        <v>486.07</v>
      </c>
      <c r="R179">
        <v>3877.88</v>
      </c>
      <c r="S179" s="2">
        <v>45720</v>
      </c>
      <c r="T179" s="2">
        <v>45726</v>
      </c>
      <c r="U179" t="s">
        <v>36</v>
      </c>
      <c r="V179">
        <v>4</v>
      </c>
      <c r="W179">
        <v>3</v>
      </c>
      <c r="X179" t="s">
        <v>44</v>
      </c>
      <c r="Y179">
        <v>2025</v>
      </c>
      <c r="Z179">
        <v>1</v>
      </c>
      <c r="AA179">
        <v>10</v>
      </c>
    </row>
    <row r="180" spans="1:27" x14ac:dyDescent="0.3">
      <c r="A180" s="2">
        <v>45484</v>
      </c>
      <c r="B180" t="s">
        <v>0</v>
      </c>
      <c r="C180" t="s">
        <v>5</v>
      </c>
      <c r="D180">
        <v>6</v>
      </c>
      <c r="E180">
        <v>555.03</v>
      </c>
      <c r="F180" t="s">
        <v>14</v>
      </c>
      <c r="G180" t="s">
        <v>17</v>
      </c>
      <c r="H180">
        <v>0.1</v>
      </c>
      <c r="I180" t="s">
        <v>20</v>
      </c>
      <c r="J180">
        <v>2997.1619999999998</v>
      </c>
      <c r="K180" t="s">
        <v>26</v>
      </c>
      <c r="L180" t="s">
        <v>32</v>
      </c>
      <c r="M180">
        <v>1</v>
      </c>
      <c r="N180" t="s">
        <v>253</v>
      </c>
      <c r="O180" t="s">
        <v>1753</v>
      </c>
      <c r="P180">
        <v>23.69</v>
      </c>
      <c r="Q180">
        <f t="shared" si="2"/>
        <v>499.52699999999999</v>
      </c>
      <c r="R180">
        <v>2973.4719999999998</v>
      </c>
      <c r="S180" s="2">
        <v>45484</v>
      </c>
      <c r="T180" s="2">
        <v>45493</v>
      </c>
      <c r="U180" t="s">
        <v>33</v>
      </c>
      <c r="V180">
        <v>11</v>
      </c>
      <c r="W180">
        <v>7</v>
      </c>
      <c r="X180" t="s">
        <v>46</v>
      </c>
      <c r="Y180">
        <v>2024</v>
      </c>
      <c r="Z180">
        <v>3</v>
      </c>
      <c r="AA180">
        <v>28</v>
      </c>
    </row>
    <row r="181" spans="1:27" x14ac:dyDescent="0.3">
      <c r="A181" s="2">
        <v>45521</v>
      </c>
      <c r="B181" t="s">
        <v>0</v>
      </c>
      <c r="C181" t="s">
        <v>7</v>
      </c>
      <c r="D181">
        <v>13</v>
      </c>
      <c r="E181">
        <v>421.08</v>
      </c>
      <c r="F181" t="s">
        <v>12</v>
      </c>
      <c r="G181" t="s">
        <v>16</v>
      </c>
      <c r="H181">
        <v>0</v>
      </c>
      <c r="I181" t="s">
        <v>23</v>
      </c>
      <c r="J181">
        <v>5474.04</v>
      </c>
      <c r="K181" t="s">
        <v>28</v>
      </c>
      <c r="L181" t="s">
        <v>32</v>
      </c>
      <c r="M181">
        <v>0</v>
      </c>
      <c r="N181" t="s">
        <v>254</v>
      </c>
      <c r="O181" t="s">
        <v>1754</v>
      </c>
      <c r="P181">
        <v>24.51</v>
      </c>
      <c r="Q181">
        <f t="shared" si="2"/>
        <v>421.08</v>
      </c>
      <c r="R181">
        <v>5449.53</v>
      </c>
      <c r="S181" s="2">
        <v>45521</v>
      </c>
      <c r="T181" s="2">
        <v>45524</v>
      </c>
      <c r="U181" t="s">
        <v>33</v>
      </c>
      <c r="V181">
        <v>17</v>
      </c>
      <c r="W181">
        <v>8</v>
      </c>
      <c r="X181" t="s">
        <v>48</v>
      </c>
      <c r="Y181">
        <v>2024</v>
      </c>
      <c r="Z181">
        <v>3</v>
      </c>
      <c r="AA181">
        <v>33</v>
      </c>
    </row>
    <row r="182" spans="1:27" x14ac:dyDescent="0.3">
      <c r="A182" s="2">
        <v>45838</v>
      </c>
      <c r="B182" t="s">
        <v>2</v>
      </c>
      <c r="C182" t="s">
        <v>5</v>
      </c>
      <c r="D182">
        <v>16</v>
      </c>
      <c r="E182">
        <v>76.17</v>
      </c>
      <c r="F182" t="s">
        <v>15</v>
      </c>
      <c r="G182" t="s">
        <v>16</v>
      </c>
      <c r="H182">
        <v>0.1</v>
      </c>
      <c r="I182" t="s">
        <v>19</v>
      </c>
      <c r="J182">
        <v>1096.848</v>
      </c>
      <c r="K182" t="s">
        <v>28</v>
      </c>
      <c r="L182" t="s">
        <v>31</v>
      </c>
      <c r="M182">
        <v>0</v>
      </c>
      <c r="N182" t="s">
        <v>255</v>
      </c>
      <c r="O182" t="s">
        <v>1755</v>
      </c>
      <c r="P182">
        <v>41.88</v>
      </c>
      <c r="Q182">
        <f t="shared" si="2"/>
        <v>68.552999999999997</v>
      </c>
      <c r="R182">
        <v>1054.9679999999998</v>
      </c>
      <c r="S182" s="2">
        <v>45838</v>
      </c>
      <c r="T182" s="2">
        <v>45847</v>
      </c>
      <c r="U182" t="s">
        <v>35</v>
      </c>
      <c r="V182">
        <v>30</v>
      </c>
      <c r="W182">
        <v>6</v>
      </c>
      <c r="X182" t="s">
        <v>41</v>
      </c>
      <c r="Y182">
        <v>2025</v>
      </c>
      <c r="Z182">
        <v>2</v>
      </c>
      <c r="AA182">
        <v>27</v>
      </c>
    </row>
    <row r="183" spans="1:27" x14ac:dyDescent="0.3">
      <c r="A183" s="2">
        <v>45602</v>
      </c>
      <c r="B183" t="s">
        <v>1</v>
      </c>
      <c r="C183" t="s">
        <v>11</v>
      </c>
      <c r="D183">
        <v>3</v>
      </c>
      <c r="E183">
        <v>503.55</v>
      </c>
      <c r="F183" t="s">
        <v>14</v>
      </c>
      <c r="G183" t="s">
        <v>16</v>
      </c>
      <c r="H183">
        <v>0.1</v>
      </c>
      <c r="I183" t="s">
        <v>23</v>
      </c>
      <c r="J183">
        <v>1359.585</v>
      </c>
      <c r="K183" t="s">
        <v>26</v>
      </c>
      <c r="L183" t="s">
        <v>31</v>
      </c>
      <c r="M183">
        <v>0</v>
      </c>
      <c r="N183" t="s">
        <v>256</v>
      </c>
      <c r="O183" t="s">
        <v>1756</v>
      </c>
      <c r="P183">
        <v>37.49</v>
      </c>
      <c r="Q183">
        <f t="shared" si="2"/>
        <v>453.19499999999999</v>
      </c>
      <c r="R183">
        <v>1322.095</v>
      </c>
      <c r="S183" s="2">
        <v>45602</v>
      </c>
      <c r="T183" s="2">
        <v>45609</v>
      </c>
      <c r="U183" t="s">
        <v>34</v>
      </c>
      <c r="V183">
        <v>6</v>
      </c>
      <c r="W183">
        <v>11</v>
      </c>
      <c r="X183" t="s">
        <v>47</v>
      </c>
      <c r="Y183">
        <v>2024</v>
      </c>
      <c r="Z183">
        <v>4</v>
      </c>
      <c r="AA183">
        <v>45</v>
      </c>
    </row>
    <row r="184" spans="1:27" x14ac:dyDescent="0.3">
      <c r="A184" s="2">
        <v>45748</v>
      </c>
      <c r="B184" t="s">
        <v>0</v>
      </c>
      <c r="C184" t="s">
        <v>10</v>
      </c>
      <c r="D184">
        <v>5</v>
      </c>
      <c r="E184">
        <v>31.56</v>
      </c>
      <c r="F184" t="s">
        <v>15</v>
      </c>
      <c r="G184" t="s">
        <v>17</v>
      </c>
      <c r="H184">
        <v>0</v>
      </c>
      <c r="I184" t="s">
        <v>22</v>
      </c>
      <c r="J184">
        <v>157.80000000000001</v>
      </c>
      <c r="K184" t="s">
        <v>24</v>
      </c>
      <c r="L184" t="s">
        <v>30</v>
      </c>
      <c r="M184">
        <v>1</v>
      </c>
      <c r="N184" t="s">
        <v>257</v>
      </c>
      <c r="O184" t="s">
        <v>1757</v>
      </c>
      <c r="P184">
        <v>29.56</v>
      </c>
      <c r="Q184">
        <f t="shared" si="2"/>
        <v>31.560000000000002</v>
      </c>
      <c r="R184">
        <v>128.24</v>
      </c>
      <c r="S184" s="2">
        <v>45748</v>
      </c>
      <c r="T184" s="2">
        <v>45751</v>
      </c>
      <c r="U184" t="s">
        <v>33</v>
      </c>
      <c r="V184">
        <v>1</v>
      </c>
      <c r="W184">
        <v>4</v>
      </c>
      <c r="X184" t="s">
        <v>45</v>
      </c>
      <c r="Y184">
        <v>2025</v>
      </c>
      <c r="Z184">
        <v>2</v>
      </c>
      <c r="AA184">
        <v>14</v>
      </c>
    </row>
    <row r="185" spans="1:27" x14ac:dyDescent="0.3">
      <c r="A185" s="2">
        <v>45474</v>
      </c>
      <c r="B185" t="s">
        <v>4</v>
      </c>
      <c r="C185" t="s">
        <v>5</v>
      </c>
      <c r="D185">
        <v>16</v>
      </c>
      <c r="E185">
        <v>72.92</v>
      </c>
      <c r="F185" t="s">
        <v>14</v>
      </c>
      <c r="G185" t="s">
        <v>16</v>
      </c>
      <c r="H185">
        <v>0.05</v>
      </c>
      <c r="I185" t="s">
        <v>20</v>
      </c>
      <c r="J185">
        <v>1108.384</v>
      </c>
      <c r="K185" t="s">
        <v>28</v>
      </c>
      <c r="L185" t="s">
        <v>29</v>
      </c>
      <c r="M185">
        <v>0</v>
      </c>
      <c r="N185" t="s">
        <v>258</v>
      </c>
      <c r="O185" t="s">
        <v>1758</v>
      </c>
      <c r="P185">
        <v>5.7</v>
      </c>
      <c r="Q185">
        <f t="shared" si="2"/>
        <v>69.274000000000001</v>
      </c>
      <c r="R185">
        <v>1102.684</v>
      </c>
      <c r="S185" s="2">
        <v>45474</v>
      </c>
      <c r="T185" s="2">
        <v>45479</v>
      </c>
      <c r="U185" t="s">
        <v>37</v>
      </c>
      <c r="V185">
        <v>1</v>
      </c>
      <c r="W185">
        <v>7</v>
      </c>
      <c r="X185" t="s">
        <v>46</v>
      </c>
      <c r="Y185">
        <v>2024</v>
      </c>
      <c r="Z185">
        <v>3</v>
      </c>
      <c r="AA185">
        <v>27</v>
      </c>
    </row>
    <row r="186" spans="1:27" x14ac:dyDescent="0.3">
      <c r="A186" s="2">
        <v>45269</v>
      </c>
      <c r="B186" t="s">
        <v>4</v>
      </c>
      <c r="C186" t="s">
        <v>11</v>
      </c>
      <c r="D186">
        <v>18</v>
      </c>
      <c r="E186">
        <v>421.93</v>
      </c>
      <c r="F186" t="s">
        <v>15</v>
      </c>
      <c r="G186" t="s">
        <v>17</v>
      </c>
      <c r="H186">
        <v>0.05</v>
      </c>
      <c r="I186" t="s">
        <v>23</v>
      </c>
      <c r="J186">
        <v>7215.0029999999997</v>
      </c>
      <c r="K186" t="s">
        <v>25</v>
      </c>
      <c r="L186" t="s">
        <v>31</v>
      </c>
      <c r="M186">
        <v>0</v>
      </c>
      <c r="N186" t="s">
        <v>259</v>
      </c>
      <c r="O186" t="s">
        <v>1759</v>
      </c>
      <c r="P186">
        <v>23.42</v>
      </c>
      <c r="Q186">
        <f t="shared" si="2"/>
        <v>400.83349999999996</v>
      </c>
      <c r="R186">
        <v>7191.5829999999996</v>
      </c>
      <c r="S186" s="2">
        <v>45269</v>
      </c>
      <c r="T186" s="2">
        <v>45278</v>
      </c>
      <c r="U186" t="s">
        <v>37</v>
      </c>
      <c r="V186">
        <v>9</v>
      </c>
      <c r="W186">
        <v>12</v>
      </c>
      <c r="X186" t="s">
        <v>39</v>
      </c>
      <c r="Y186">
        <v>2023</v>
      </c>
      <c r="Z186">
        <v>4</v>
      </c>
      <c r="AA186">
        <v>49</v>
      </c>
    </row>
    <row r="187" spans="1:27" x14ac:dyDescent="0.3">
      <c r="A187" s="2">
        <v>45104</v>
      </c>
      <c r="B187" t="s">
        <v>2</v>
      </c>
      <c r="C187" t="s">
        <v>7</v>
      </c>
      <c r="D187">
        <v>15</v>
      </c>
      <c r="E187">
        <v>478.41</v>
      </c>
      <c r="F187" t="s">
        <v>12</v>
      </c>
      <c r="G187" t="s">
        <v>17</v>
      </c>
      <c r="H187">
        <v>0.1</v>
      </c>
      <c r="I187" t="s">
        <v>21</v>
      </c>
      <c r="J187">
        <v>6458.5350000000008</v>
      </c>
      <c r="K187" t="s">
        <v>27</v>
      </c>
      <c r="L187" t="s">
        <v>29</v>
      </c>
      <c r="M187">
        <v>0</v>
      </c>
      <c r="N187" t="s">
        <v>260</v>
      </c>
      <c r="O187" t="s">
        <v>1760</v>
      </c>
      <c r="P187">
        <v>35.630000000000003</v>
      </c>
      <c r="Q187">
        <f t="shared" si="2"/>
        <v>430.56900000000007</v>
      </c>
      <c r="R187">
        <v>6422.9050000000007</v>
      </c>
      <c r="S187" s="2">
        <v>45104</v>
      </c>
      <c r="T187" s="2">
        <v>45107</v>
      </c>
      <c r="U187" t="s">
        <v>35</v>
      </c>
      <c r="V187">
        <v>27</v>
      </c>
      <c r="W187">
        <v>6</v>
      </c>
      <c r="X187" t="s">
        <v>41</v>
      </c>
      <c r="Y187">
        <v>2023</v>
      </c>
      <c r="Z187">
        <v>2</v>
      </c>
      <c r="AA187">
        <v>26</v>
      </c>
    </row>
    <row r="188" spans="1:27" x14ac:dyDescent="0.3">
      <c r="A188" s="2">
        <v>45121</v>
      </c>
      <c r="B188" t="s">
        <v>1</v>
      </c>
      <c r="C188" t="s">
        <v>8</v>
      </c>
      <c r="D188">
        <v>9</v>
      </c>
      <c r="E188">
        <v>501.74</v>
      </c>
      <c r="F188" t="s">
        <v>15</v>
      </c>
      <c r="G188" t="s">
        <v>17</v>
      </c>
      <c r="H188">
        <v>0</v>
      </c>
      <c r="I188" t="s">
        <v>23</v>
      </c>
      <c r="J188">
        <v>4515.66</v>
      </c>
      <c r="K188" t="s">
        <v>24</v>
      </c>
      <c r="L188" t="s">
        <v>30</v>
      </c>
      <c r="M188">
        <v>1</v>
      </c>
      <c r="N188" t="s">
        <v>261</v>
      </c>
      <c r="O188" t="s">
        <v>1761</v>
      </c>
      <c r="P188">
        <v>39.74</v>
      </c>
      <c r="Q188">
        <f t="shared" si="2"/>
        <v>501.74</v>
      </c>
      <c r="R188">
        <v>4475.92</v>
      </c>
      <c r="S188" s="2">
        <v>45121</v>
      </c>
      <c r="T188" s="2">
        <v>45124</v>
      </c>
      <c r="U188" t="s">
        <v>34</v>
      </c>
      <c r="V188">
        <v>14</v>
      </c>
      <c r="W188">
        <v>7</v>
      </c>
      <c r="X188" t="s">
        <v>46</v>
      </c>
      <c r="Y188">
        <v>2023</v>
      </c>
      <c r="Z188">
        <v>3</v>
      </c>
      <c r="AA188">
        <v>28</v>
      </c>
    </row>
    <row r="189" spans="1:27" x14ac:dyDescent="0.3">
      <c r="A189" s="2">
        <v>44965</v>
      </c>
      <c r="B189" t="s">
        <v>1</v>
      </c>
      <c r="C189" t="s">
        <v>10</v>
      </c>
      <c r="D189">
        <v>7</v>
      </c>
      <c r="E189">
        <v>247.53</v>
      </c>
      <c r="F189" t="s">
        <v>14</v>
      </c>
      <c r="G189" t="s">
        <v>16</v>
      </c>
      <c r="H189">
        <v>0.15</v>
      </c>
      <c r="I189" t="s">
        <v>19</v>
      </c>
      <c r="J189">
        <v>1472.8035</v>
      </c>
      <c r="K189" t="s">
        <v>25</v>
      </c>
      <c r="L189" t="s">
        <v>29</v>
      </c>
      <c r="M189">
        <v>0</v>
      </c>
      <c r="N189" t="s">
        <v>262</v>
      </c>
      <c r="O189" t="s">
        <v>1762</v>
      </c>
      <c r="P189">
        <v>13.63</v>
      </c>
      <c r="Q189">
        <f t="shared" si="2"/>
        <v>210.40049999999999</v>
      </c>
      <c r="R189">
        <v>1459.1734999999999</v>
      </c>
      <c r="S189" s="2">
        <v>44965</v>
      </c>
      <c r="T189" s="2">
        <v>44973</v>
      </c>
      <c r="U189" t="s">
        <v>34</v>
      </c>
      <c r="V189">
        <v>8</v>
      </c>
      <c r="W189">
        <v>2</v>
      </c>
      <c r="X189" t="s">
        <v>38</v>
      </c>
      <c r="Y189">
        <v>2023</v>
      </c>
      <c r="Z189">
        <v>1</v>
      </c>
      <c r="AA189">
        <v>6</v>
      </c>
    </row>
    <row r="190" spans="1:27" x14ac:dyDescent="0.3">
      <c r="A190" s="2">
        <v>45471</v>
      </c>
      <c r="B190" t="s">
        <v>4</v>
      </c>
      <c r="C190" t="s">
        <v>10</v>
      </c>
      <c r="D190">
        <v>6</v>
      </c>
      <c r="E190">
        <v>176.51</v>
      </c>
      <c r="F190" t="s">
        <v>14</v>
      </c>
      <c r="G190" t="s">
        <v>16</v>
      </c>
      <c r="H190">
        <v>0.15</v>
      </c>
      <c r="I190" t="s">
        <v>21</v>
      </c>
      <c r="J190">
        <v>900.20099999999991</v>
      </c>
      <c r="K190" t="s">
        <v>27</v>
      </c>
      <c r="L190" t="s">
        <v>29</v>
      </c>
      <c r="M190">
        <v>1</v>
      </c>
      <c r="N190" t="s">
        <v>263</v>
      </c>
      <c r="O190" t="s">
        <v>1763</v>
      </c>
      <c r="P190">
        <v>31.02</v>
      </c>
      <c r="Q190">
        <f t="shared" si="2"/>
        <v>150.03349999999998</v>
      </c>
      <c r="R190">
        <v>869.18099999999993</v>
      </c>
      <c r="S190" s="2">
        <v>45471</v>
      </c>
      <c r="T190" s="2">
        <v>45480</v>
      </c>
      <c r="U190" t="s">
        <v>37</v>
      </c>
      <c r="V190">
        <v>28</v>
      </c>
      <c r="W190">
        <v>6</v>
      </c>
      <c r="X190" t="s">
        <v>41</v>
      </c>
      <c r="Y190">
        <v>2024</v>
      </c>
      <c r="Z190">
        <v>2</v>
      </c>
      <c r="AA190">
        <v>26</v>
      </c>
    </row>
    <row r="191" spans="1:27" x14ac:dyDescent="0.3">
      <c r="A191" s="2">
        <v>45397</v>
      </c>
      <c r="B191" t="s">
        <v>4</v>
      </c>
      <c r="C191" t="s">
        <v>5</v>
      </c>
      <c r="D191">
        <v>2</v>
      </c>
      <c r="E191">
        <v>143.43</v>
      </c>
      <c r="F191" t="s">
        <v>15</v>
      </c>
      <c r="G191" t="s">
        <v>16</v>
      </c>
      <c r="H191">
        <v>0</v>
      </c>
      <c r="I191" t="s">
        <v>23</v>
      </c>
      <c r="J191">
        <v>286.86</v>
      </c>
      <c r="K191" t="s">
        <v>26</v>
      </c>
      <c r="L191" t="s">
        <v>32</v>
      </c>
      <c r="M191">
        <v>0</v>
      </c>
      <c r="N191" t="s">
        <v>264</v>
      </c>
      <c r="O191" t="s">
        <v>1764</v>
      </c>
      <c r="P191">
        <v>36.94</v>
      </c>
      <c r="Q191">
        <f t="shared" si="2"/>
        <v>143.43</v>
      </c>
      <c r="R191">
        <v>249.92000000000002</v>
      </c>
      <c r="S191" s="2">
        <v>45397</v>
      </c>
      <c r="T191" s="2">
        <v>45404</v>
      </c>
      <c r="U191" t="s">
        <v>37</v>
      </c>
      <c r="V191">
        <v>15</v>
      </c>
      <c r="W191">
        <v>4</v>
      </c>
      <c r="X191" t="s">
        <v>45</v>
      </c>
      <c r="Y191">
        <v>2024</v>
      </c>
      <c r="Z191">
        <v>2</v>
      </c>
      <c r="AA191">
        <v>16</v>
      </c>
    </row>
    <row r="192" spans="1:27" x14ac:dyDescent="0.3">
      <c r="A192" s="2">
        <v>45257</v>
      </c>
      <c r="B192" t="s">
        <v>0</v>
      </c>
      <c r="C192" t="s">
        <v>9</v>
      </c>
      <c r="D192">
        <v>12</v>
      </c>
      <c r="E192">
        <v>538.5</v>
      </c>
      <c r="F192" t="s">
        <v>14</v>
      </c>
      <c r="G192" t="s">
        <v>16</v>
      </c>
      <c r="H192">
        <v>0.05</v>
      </c>
      <c r="I192" t="s">
        <v>19</v>
      </c>
      <c r="J192">
        <v>6138.9</v>
      </c>
      <c r="K192" t="s">
        <v>28</v>
      </c>
      <c r="L192" t="s">
        <v>30</v>
      </c>
      <c r="M192">
        <v>0</v>
      </c>
      <c r="N192" t="s">
        <v>265</v>
      </c>
      <c r="O192" t="s">
        <v>1765</v>
      </c>
      <c r="P192">
        <v>18.54</v>
      </c>
      <c r="Q192">
        <f t="shared" si="2"/>
        <v>511.57499999999999</v>
      </c>
      <c r="R192">
        <v>6120.36</v>
      </c>
      <c r="S192" s="2">
        <v>45257</v>
      </c>
      <c r="T192" s="2">
        <v>45266</v>
      </c>
      <c r="U192" t="s">
        <v>33</v>
      </c>
      <c r="V192">
        <v>27</v>
      </c>
      <c r="W192">
        <v>11</v>
      </c>
      <c r="X192" t="s">
        <v>47</v>
      </c>
      <c r="Y192">
        <v>2023</v>
      </c>
      <c r="Z192">
        <v>4</v>
      </c>
      <c r="AA192">
        <v>48</v>
      </c>
    </row>
    <row r="193" spans="1:27" x14ac:dyDescent="0.3">
      <c r="A193" s="2">
        <v>45743</v>
      </c>
      <c r="B193" t="s">
        <v>0</v>
      </c>
      <c r="C193" t="s">
        <v>11</v>
      </c>
      <c r="D193">
        <v>5</v>
      </c>
      <c r="E193">
        <v>87.17</v>
      </c>
      <c r="F193" t="s">
        <v>15</v>
      </c>
      <c r="G193" t="s">
        <v>16</v>
      </c>
      <c r="H193">
        <v>0</v>
      </c>
      <c r="I193" t="s">
        <v>21</v>
      </c>
      <c r="J193">
        <v>435.85</v>
      </c>
      <c r="K193" t="s">
        <v>27</v>
      </c>
      <c r="L193" t="s">
        <v>32</v>
      </c>
      <c r="M193">
        <v>0</v>
      </c>
      <c r="N193" t="s">
        <v>266</v>
      </c>
      <c r="O193" t="s">
        <v>1766</v>
      </c>
      <c r="P193">
        <v>13.01</v>
      </c>
      <c r="Q193">
        <f t="shared" si="2"/>
        <v>87.17</v>
      </c>
      <c r="R193">
        <v>422.84000000000003</v>
      </c>
      <c r="S193" s="2">
        <v>45743</v>
      </c>
      <c r="T193" s="2">
        <v>45745</v>
      </c>
      <c r="U193" t="s">
        <v>33</v>
      </c>
      <c r="V193">
        <v>27</v>
      </c>
      <c r="W193">
        <v>3</v>
      </c>
      <c r="X193" t="s">
        <v>44</v>
      </c>
      <c r="Y193">
        <v>2025</v>
      </c>
      <c r="Z193">
        <v>1</v>
      </c>
      <c r="AA193">
        <v>13</v>
      </c>
    </row>
    <row r="194" spans="1:27" x14ac:dyDescent="0.3">
      <c r="A194" s="2">
        <v>45144</v>
      </c>
      <c r="B194" t="s">
        <v>1</v>
      </c>
      <c r="C194" t="s">
        <v>9</v>
      </c>
      <c r="D194">
        <v>7</v>
      </c>
      <c r="E194">
        <v>498.32</v>
      </c>
      <c r="F194" t="s">
        <v>12</v>
      </c>
      <c r="G194" t="s">
        <v>16</v>
      </c>
      <c r="H194">
        <v>0.1</v>
      </c>
      <c r="I194" t="s">
        <v>19</v>
      </c>
      <c r="J194">
        <v>3139.4160000000002</v>
      </c>
      <c r="K194" t="s">
        <v>26</v>
      </c>
      <c r="L194" t="s">
        <v>31</v>
      </c>
      <c r="M194">
        <v>1</v>
      </c>
      <c r="N194" t="s">
        <v>267</v>
      </c>
      <c r="O194" t="s">
        <v>1767</v>
      </c>
      <c r="P194">
        <v>27.65</v>
      </c>
      <c r="Q194">
        <f t="shared" si="2"/>
        <v>448.488</v>
      </c>
      <c r="R194">
        <v>3111.7660000000001</v>
      </c>
      <c r="S194" s="2">
        <v>45144</v>
      </c>
      <c r="T194" s="2">
        <v>45148</v>
      </c>
      <c r="U194" t="s">
        <v>34</v>
      </c>
      <c r="V194">
        <v>6</v>
      </c>
      <c r="W194">
        <v>8</v>
      </c>
      <c r="X194" t="s">
        <v>48</v>
      </c>
      <c r="Y194">
        <v>2023</v>
      </c>
      <c r="Z194">
        <v>3</v>
      </c>
      <c r="AA194">
        <v>31</v>
      </c>
    </row>
    <row r="195" spans="1:27" x14ac:dyDescent="0.3">
      <c r="A195" s="2">
        <v>45639</v>
      </c>
      <c r="B195" t="s">
        <v>1</v>
      </c>
      <c r="C195" t="s">
        <v>11</v>
      </c>
      <c r="D195">
        <v>15</v>
      </c>
      <c r="E195">
        <v>57.14</v>
      </c>
      <c r="F195" t="s">
        <v>12</v>
      </c>
      <c r="G195" t="s">
        <v>16</v>
      </c>
      <c r="H195">
        <v>0.15</v>
      </c>
      <c r="I195" t="s">
        <v>21</v>
      </c>
      <c r="J195">
        <v>728.53499999999997</v>
      </c>
      <c r="K195" t="s">
        <v>27</v>
      </c>
      <c r="L195" t="s">
        <v>29</v>
      </c>
      <c r="M195">
        <v>0</v>
      </c>
      <c r="N195" t="s">
        <v>268</v>
      </c>
      <c r="O195" t="s">
        <v>1768</v>
      </c>
      <c r="P195">
        <v>7.02</v>
      </c>
      <c r="Q195">
        <f t="shared" ref="Q195:Q258" si="3">J195/D195</f>
        <v>48.568999999999996</v>
      </c>
      <c r="R195">
        <v>721.51499999999999</v>
      </c>
      <c r="S195" s="2">
        <v>45639</v>
      </c>
      <c r="T195" s="2">
        <v>45648</v>
      </c>
      <c r="U195" t="s">
        <v>34</v>
      </c>
      <c r="V195">
        <v>13</v>
      </c>
      <c r="W195">
        <v>12</v>
      </c>
      <c r="X195" t="s">
        <v>39</v>
      </c>
      <c r="Y195">
        <v>2024</v>
      </c>
      <c r="Z195">
        <v>4</v>
      </c>
      <c r="AA195">
        <v>50</v>
      </c>
    </row>
    <row r="196" spans="1:27" x14ac:dyDescent="0.3">
      <c r="A196" s="2">
        <v>45674</v>
      </c>
      <c r="B196" t="s">
        <v>3</v>
      </c>
      <c r="C196" t="s">
        <v>10</v>
      </c>
      <c r="D196">
        <v>18</v>
      </c>
      <c r="E196">
        <v>124.18</v>
      </c>
      <c r="F196" t="s">
        <v>12</v>
      </c>
      <c r="G196" t="s">
        <v>16</v>
      </c>
      <c r="H196">
        <v>0.15</v>
      </c>
      <c r="I196" t="s">
        <v>21</v>
      </c>
      <c r="J196">
        <v>1899.954</v>
      </c>
      <c r="K196" t="s">
        <v>27</v>
      </c>
      <c r="L196" t="s">
        <v>30</v>
      </c>
      <c r="M196">
        <v>0</v>
      </c>
      <c r="N196" t="s">
        <v>269</v>
      </c>
      <c r="O196" t="s">
        <v>1769</v>
      </c>
      <c r="P196">
        <v>45.77</v>
      </c>
      <c r="Q196">
        <f t="shared" si="3"/>
        <v>105.553</v>
      </c>
      <c r="R196">
        <v>1854.184</v>
      </c>
      <c r="S196" s="2">
        <v>45674</v>
      </c>
      <c r="T196" s="2">
        <v>45683</v>
      </c>
      <c r="U196" t="s">
        <v>36</v>
      </c>
      <c r="V196">
        <v>17</v>
      </c>
      <c r="W196">
        <v>1</v>
      </c>
      <c r="X196" t="s">
        <v>42</v>
      </c>
      <c r="Y196">
        <v>2025</v>
      </c>
      <c r="Z196">
        <v>1</v>
      </c>
      <c r="AA196">
        <v>3</v>
      </c>
    </row>
    <row r="197" spans="1:27" x14ac:dyDescent="0.3">
      <c r="A197" s="2">
        <v>45256</v>
      </c>
      <c r="B197" t="s">
        <v>4</v>
      </c>
      <c r="C197" t="s">
        <v>7</v>
      </c>
      <c r="D197">
        <v>12</v>
      </c>
      <c r="E197">
        <v>107.45</v>
      </c>
      <c r="F197" t="s">
        <v>14</v>
      </c>
      <c r="G197" t="s">
        <v>17</v>
      </c>
      <c r="H197">
        <v>0.1</v>
      </c>
      <c r="I197" t="s">
        <v>23</v>
      </c>
      <c r="J197">
        <v>1160.46</v>
      </c>
      <c r="K197" t="s">
        <v>24</v>
      </c>
      <c r="L197" t="s">
        <v>29</v>
      </c>
      <c r="M197">
        <v>0</v>
      </c>
      <c r="N197" t="s">
        <v>270</v>
      </c>
      <c r="O197" t="s">
        <v>1770</v>
      </c>
      <c r="P197">
        <v>18.170000000000002</v>
      </c>
      <c r="Q197">
        <f t="shared" si="3"/>
        <v>96.704999999999998</v>
      </c>
      <c r="R197">
        <v>1142.29</v>
      </c>
      <c r="S197" s="2">
        <v>45256</v>
      </c>
      <c r="T197" s="2">
        <v>45262</v>
      </c>
      <c r="U197" t="s">
        <v>37</v>
      </c>
      <c r="V197">
        <v>26</v>
      </c>
      <c r="W197">
        <v>11</v>
      </c>
      <c r="X197" t="s">
        <v>47</v>
      </c>
      <c r="Y197">
        <v>2023</v>
      </c>
      <c r="Z197">
        <v>4</v>
      </c>
      <c r="AA197">
        <v>47</v>
      </c>
    </row>
    <row r="198" spans="1:27" x14ac:dyDescent="0.3">
      <c r="A198" s="2">
        <v>44971</v>
      </c>
      <c r="B198" t="s">
        <v>0</v>
      </c>
      <c r="C198" t="s">
        <v>8</v>
      </c>
      <c r="D198">
        <v>8</v>
      </c>
      <c r="E198">
        <v>411.26</v>
      </c>
      <c r="F198" t="s">
        <v>13</v>
      </c>
      <c r="G198" t="s">
        <v>17</v>
      </c>
      <c r="H198">
        <v>0.1</v>
      </c>
      <c r="I198" t="s">
        <v>20</v>
      </c>
      <c r="J198">
        <v>2961.0720000000001</v>
      </c>
      <c r="K198" t="s">
        <v>25</v>
      </c>
      <c r="L198" t="s">
        <v>31</v>
      </c>
      <c r="M198">
        <v>0</v>
      </c>
      <c r="N198" t="s">
        <v>271</v>
      </c>
      <c r="O198" t="s">
        <v>1771</v>
      </c>
      <c r="P198">
        <v>28.57</v>
      </c>
      <c r="Q198">
        <f t="shared" si="3"/>
        <v>370.13400000000001</v>
      </c>
      <c r="R198">
        <v>2932.502</v>
      </c>
      <c r="S198" s="2">
        <v>44971</v>
      </c>
      <c r="T198" s="2">
        <v>44975</v>
      </c>
      <c r="U198" t="s">
        <v>33</v>
      </c>
      <c r="V198">
        <v>14</v>
      </c>
      <c r="W198">
        <v>2</v>
      </c>
      <c r="X198" t="s">
        <v>38</v>
      </c>
      <c r="Y198">
        <v>2023</v>
      </c>
      <c r="Z198">
        <v>1</v>
      </c>
      <c r="AA198">
        <v>7</v>
      </c>
    </row>
    <row r="199" spans="1:27" x14ac:dyDescent="0.3">
      <c r="A199" s="2">
        <v>45690</v>
      </c>
      <c r="B199" t="s">
        <v>3</v>
      </c>
      <c r="C199" t="s">
        <v>11</v>
      </c>
      <c r="D199">
        <v>7</v>
      </c>
      <c r="E199">
        <v>248.1</v>
      </c>
      <c r="F199" t="s">
        <v>14</v>
      </c>
      <c r="G199" t="s">
        <v>17</v>
      </c>
      <c r="H199">
        <v>0</v>
      </c>
      <c r="I199" t="s">
        <v>22</v>
      </c>
      <c r="J199">
        <v>1736.7</v>
      </c>
      <c r="K199" t="s">
        <v>28</v>
      </c>
      <c r="L199" t="s">
        <v>31</v>
      </c>
      <c r="M199">
        <v>0</v>
      </c>
      <c r="N199" t="s">
        <v>272</v>
      </c>
      <c r="O199" t="s">
        <v>1772</v>
      </c>
      <c r="P199">
        <v>31.8</v>
      </c>
      <c r="Q199">
        <f t="shared" si="3"/>
        <v>248.1</v>
      </c>
      <c r="R199">
        <v>1704.9</v>
      </c>
      <c r="S199" s="2">
        <v>45690</v>
      </c>
      <c r="T199" s="2">
        <v>45694</v>
      </c>
      <c r="U199" t="s">
        <v>36</v>
      </c>
      <c r="V199">
        <v>2</v>
      </c>
      <c r="W199">
        <v>2</v>
      </c>
      <c r="X199" t="s">
        <v>38</v>
      </c>
      <c r="Y199">
        <v>2025</v>
      </c>
      <c r="Z199">
        <v>1</v>
      </c>
      <c r="AA199">
        <v>5</v>
      </c>
    </row>
    <row r="200" spans="1:27" x14ac:dyDescent="0.3">
      <c r="A200" s="2">
        <v>45027</v>
      </c>
      <c r="B200" t="s">
        <v>4</v>
      </c>
      <c r="C200" t="s">
        <v>11</v>
      </c>
      <c r="D200">
        <v>3</v>
      </c>
      <c r="E200">
        <v>486.52</v>
      </c>
      <c r="F200" t="s">
        <v>12</v>
      </c>
      <c r="G200" t="s">
        <v>16</v>
      </c>
      <c r="H200">
        <v>0.1</v>
      </c>
      <c r="I200" t="s">
        <v>21</v>
      </c>
      <c r="J200">
        <v>1313.604</v>
      </c>
      <c r="K200" t="s">
        <v>25</v>
      </c>
      <c r="L200" t="s">
        <v>32</v>
      </c>
      <c r="M200">
        <v>0</v>
      </c>
      <c r="N200" t="s">
        <v>273</v>
      </c>
      <c r="O200" t="s">
        <v>1773</v>
      </c>
      <c r="P200">
        <v>16.5</v>
      </c>
      <c r="Q200">
        <f t="shared" si="3"/>
        <v>437.86799999999999</v>
      </c>
      <c r="R200">
        <v>1297.104</v>
      </c>
      <c r="S200" s="2">
        <v>45027</v>
      </c>
      <c r="T200" s="2">
        <v>45036</v>
      </c>
      <c r="U200" t="s">
        <v>37</v>
      </c>
      <c r="V200">
        <v>11</v>
      </c>
      <c r="W200">
        <v>4</v>
      </c>
      <c r="X200" t="s">
        <v>45</v>
      </c>
      <c r="Y200">
        <v>2023</v>
      </c>
      <c r="Z200">
        <v>2</v>
      </c>
      <c r="AA200">
        <v>15</v>
      </c>
    </row>
    <row r="201" spans="1:27" x14ac:dyDescent="0.3">
      <c r="A201" s="2">
        <v>45481</v>
      </c>
      <c r="B201" t="s">
        <v>2</v>
      </c>
      <c r="C201" t="s">
        <v>9</v>
      </c>
      <c r="D201">
        <v>18</v>
      </c>
      <c r="E201">
        <v>415.04</v>
      </c>
      <c r="F201" t="s">
        <v>14</v>
      </c>
      <c r="G201" t="s">
        <v>16</v>
      </c>
      <c r="H201">
        <v>0.1</v>
      </c>
      <c r="I201" t="s">
        <v>18</v>
      </c>
      <c r="J201">
        <v>6723.6480000000001</v>
      </c>
      <c r="K201" t="s">
        <v>28</v>
      </c>
      <c r="L201" t="s">
        <v>31</v>
      </c>
      <c r="M201">
        <v>0</v>
      </c>
      <c r="N201" t="s">
        <v>274</v>
      </c>
      <c r="O201" t="s">
        <v>1774</v>
      </c>
      <c r="P201">
        <v>33.58</v>
      </c>
      <c r="Q201">
        <f t="shared" si="3"/>
        <v>373.536</v>
      </c>
      <c r="R201">
        <v>6690.0680000000002</v>
      </c>
      <c r="S201" s="2">
        <v>45481</v>
      </c>
      <c r="T201" s="2">
        <v>45486</v>
      </c>
      <c r="U201" t="s">
        <v>35</v>
      </c>
      <c r="V201">
        <v>8</v>
      </c>
      <c r="W201">
        <v>7</v>
      </c>
      <c r="X201" t="s">
        <v>46</v>
      </c>
      <c r="Y201">
        <v>2024</v>
      </c>
      <c r="Z201">
        <v>3</v>
      </c>
      <c r="AA201">
        <v>28</v>
      </c>
    </row>
    <row r="202" spans="1:27" x14ac:dyDescent="0.3">
      <c r="A202" s="2">
        <v>44965</v>
      </c>
      <c r="B202" t="s">
        <v>3</v>
      </c>
      <c r="C202" t="s">
        <v>11</v>
      </c>
      <c r="D202">
        <v>19</v>
      </c>
      <c r="E202">
        <v>165.38</v>
      </c>
      <c r="F202" t="s">
        <v>12</v>
      </c>
      <c r="G202" t="s">
        <v>16</v>
      </c>
      <c r="H202">
        <v>0.15</v>
      </c>
      <c r="I202" t="s">
        <v>19</v>
      </c>
      <c r="J202">
        <v>2670.8870000000002</v>
      </c>
      <c r="K202" t="s">
        <v>24</v>
      </c>
      <c r="L202" t="s">
        <v>32</v>
      </c>
      <c r="M202">
        <v>0</v>
      </c>
      <c r="N202" t="s">
        <v>275</v>
      </c>
      <c r="O202" t="s">
        <v>1775</v>
      </c>
      <c r="P202">
        <v>25.2</v>
      </c>
      <c r="Q202">
        <f t="shared" si="3"/>
        <v>140.57300000000001</v>
      </c>
      <c r="R202">
        <v>2645.6870000000004</v>
      </c>
      <c r="S202" s="2">
        <v>44965</v>
      </c>
      <c r="T202" s="2">
        <v>44971</v>
      </c>
      <c r="U202" t="s">
        <v>36</v>
      </c>
      <c r="V202">
        <v>8</v>
      </c>
      <c r="W202">
        <v>2</v>
      </c>
      <c r="X202" t="s">
        <v>38</v>
      </c>
      <c r="Y202">
        <v>2023</v>
      </c>
      <c r="Z202">
        <v>1</v>
      </c>
      <c r="AA202">
        <v>6</v>
      </c>
    </row>
    <row r="203" spans="1:27" x14ac:dyDescent="0.3">
      <c r="A203" s="2">
        <v>45391</v>
      </c>
      <c r="B203" t="s">
        <v>4</v>
      </c>
      <c r="C203" t="s">
        <v>7</v>
      </c>
      <c r="D203">
        <v>2</v>
      </c>
      <c r="E203">
        <v>117.47</v>
      </c>
      <c r="F203" t="s">
        <v>14</v>
      </c>
      <c r="G203" t="s">
        <v>16</v>
      </c>
      <c r="H203">
        <v>0</v>
      </c>
      <c r="I203" t="s">
        <v>18</v>
      </c>
      <c r="J203">
        <v>234.94</v>
      </c>
      <c r="K203" t="s">
        <v>26</v>
      </c>
      <c r="L203" t="s">
        <v>29</v>
      </c>
      <c r="M203">
        <v>0</v>
      </c>
      <c r="N203" t="s">
        <v>276</v>
      </c>
      <c r="O203" t="s">
        <v>1776</v>
      </c>
      <c r="P203">
        <v>6.58</v>
      </c>
      <c r="Q203">
        <f t="shared" si="3"/>
        <v>117.47</v>
      </c>
      <c r="R203">
        <v>228.35999999999999</v>
      </c>
      <c r="S203" s="2">
        <v>45391</v>
      </c>
      <c r="T203" s="2">
        <v>45398</v>
      </c>
      <c r="U203" t="s">
        <v>37</v>
      </c>
      <c r="V203">
        <v>9</v>
      </c>
      <c r="W203">
        <v>4</v>
      </c>
      <c r="X203" t="s">
        <v>45</v>
      </c>
      <c r="Y203">
        <v>2024</v>
      </c>
      <c r="Z203">
        <v>2</v>
      </c>
      <c r="AA203">
        <v>15</v>
      </c>
    </row>
    <row r="204" spans="1:27" x14ac:dyDescent="0.3">
      <c r="A204" s="2">
        <v>45152</v>
      </c>
      <c r="B204" t="s">
        <v>3</v>
      </c>
      <c r="C204" t="s">
        <v>11</v>
      </c>
      <c r="D204">
        <v>9</v>
      </c>
      <c r="E204">
        <v>461.79</v>
      </c>
      <c r="F204" t="s">
        <v>14</v>
      </c>
      <c r="G204" t="s">
        <v>16</v>
      </c>
      <c r="H204">
        <v>0.15</v>
      </c>
      <c r="I204" t="s">
        <v>20</v>
      </c>
      <c r="J204">
        <v>3532.6934999999999</v>
      </c>
      <c r="K204" t="s">
        <v>25</v>
      </c>
      <c r="L204" t="s">
        <v>32</v>
      </c>
      <c r="M204">
        <v>0</v>
      </c>
      <c r="N204" t="s">
        <v>277</v>
      </c>
      <c r="O204" t="s">
        <v>1777</v>
      </c>
      <c r="P204">
        <v>47.81</v>
      </c>
      <c r="Q204">
        <f t="shared" si="3"/>
        <v>392.5215</v>
      </c>
      <c r="R204">
        <v>3484.8834999999999</v>
      </c>
      <c r="S204" s="2">
        <v>45152</v>
      </c>
      <c r="T204" s="2">
        <v>45156</v>
      </c>
      <c r="U204" t="s">
        <v>36</v>
      </c>
      <c r="V204">
        <v>14</v>
      </c>
      <c r="W204">
        <v>8</v>
      </c>
      <c r="X204" t="s">
        <v>48</v>
      </c>
      <c r="Y204">
        <v>2023</v>
      </c>
      <c r="Z204">
        <v>3</v>
      </c>
      <c r="AA204">
        <v>33</v>
      </c>
    </row>
    <row r="205" spans="1:27" x14ac:dyDescent="0.3">
      <c r="A205" s="2">
        <v>45537</v>
      </c>
      <c r="B205" t="s">
        <v>4</v>
      </c>
      <c r="C205" t="s">
        <v>10</v>
      </c>
      <c r="D205">
        <v>19</v>
      </c>
      <c r="E205">
        <v>208.72</v>
      </c>
      <c r="F205" t="s">
        <v>15</v>
      </c>
      <c r="G205" t="s">
        <v>17</v>
      </c>
      <c r="H205">
        <v>0.05</v>
      </c>
      <c r="I205" t="s">
        <v>20</v>
      </c>
      <c r="J205">
        <v>3767.3960000000002</v>
      </c>
      <c r="K205" t="s">
        <v>26</v>
      </c>
      <c r="L205" t="s">
        <v>29</v>
      </c>
      <c r="M205">
        <v>0</v>
      </c>
      <c r="N205" t="s">
        <v>278</v>
      </c>
      <c r="O205" t="s">
        <v>1778</v>
      </c>
      <c r="P205">
        <v>38.409999999999997</v>
      </c>
      <c r="Q205">
        <f t="shared" si="3"/>
        <v>198.28400000000002</v>
      </c>
      <c r="R205">
        <v>3728.9860000000003</v>
      </c>
      <c r="S205" s="2">
        <v>45537</v>
      </c>
      <c r="T205" s="2">
        <v>45541</v>
      </c>
      <c r="U205" t="s">
        <v>37</v>
      </c>
      <c r="V205">
        <v>2</v>
      </c>
      <c r="W205">
        <v>9</v>
      </c>
      <c r="X205" t="s">
        <v>49</v>
      </c>
      <c r="Y205">
        <v>2024</v>
      </c>
      <c r="Z205">
        <v>3</v>
      </c>
      <c r="AA205">
        <v>36</v>
      </c>
    </row>
    <row r="206" spans="1:27" x14ac:dyDescent="0.3">
      <c r="A206" s="2">
        <v>45837</v>
      </c>
      <c r="B206" t="s">
        <v>3</v>
      </c>
      <c r="C206" t="s">
        <v>9</v>
      </c>
      <c r="D206">
        <v>16</v>
      </c>
      <c r="E206">
        <v>278.13</v>
      </c>
      <c r="F206" t="s">
        <v>13</v>
      </c>
      <c r="G206" t="s">
        <v>16</v>
      </c>
      <c r="H206">
        <v>0.15</v>
      </c>
      <c r="I206" t="s">
        <v>19</v>
      </c>
      <c r="J206">
        <v>3782.5680000000002</v>
      </c>
      <c r="K206" t="s">
        <v>28</v>
      </c>
      <c r="L206" t="s">
        <v>30</v>
      </c>
      <c r="M206">
        <v>0</v>
      </c>
      <c r="N206" t="s">
        <v>279</v>
      </c>
      <c r="O206" t="s">
        <v>1779</v>
      </c>
      <c r="P206">
        <v>24.29</v>
      </c>
      <c r="Q206">
        <f t="shared" si="3"/>
        <v>236.41050000000001</v>
      </c>
      <c r="R206">
        <v>3758.2780000000002</v>
      </c>
      <c r="S206" s="2">
        <v>45837</v>
      </c>
      <c r="T206" s="2">
        <v>45842</v>
      </c>
      <c r="U206" t="s">
        <v>36</v>
      </c>
      <c r="V206">
        <v>29</v>
      </c>
      <c r="W206">
        <v>6</v>
      </c>
      <c r="X206" t="s">
        <v>41</v>
      </c>
      <c r="Y206">
        <v>2025</v>
      </c>
      <c r="Z206">
        <v>2</v>
      </c>
      <c r="AA206">
        <v>26</v>
      </c>
    </row>
    <row r="207" spans="1:27" x14ac:dyDescent="0.3">
      <c r="A207" s="2">
        <v>45749</v>
      </c>
      <c r="B207" t="s">
        <v>4</v>
      </c>
      <c r="C207" t="s">
        <v>5</v>
      </c>
      <c r="D207">
        <v>2</v>
      </c>
      <c r="E207">
        <v>580.19000000000005</v>
      </c>
      <c r="F207" t="s">
        <v>12</v>
      </c>
      <c r="G207" t="s">
        <v>16</v>
      </c>
      <c r="H207">
        <v>0.05</v>
      </c>
      <c r="I207" t="s">
        <v>22</v>
      </c>
      <c r="J207">
        <v>1102.3610000000001</v>
      </c>
      <c r="K207" t="s">
        <v>27</v>
      </c>
      <c r="L207" t="s">
        <v>31</v>
      </c>
      <c r="M207">
        <v>0</v>
      </c>
      <c r="N207" t="s">
        <v>280</v>
      </c>
      <c r="O207" t="s">
        <v>1780</v>
      </c>
      <c r="P207">
        <v>7.33</v>
      </c>
      <c r="Q207">
        <f t="shared" si="3"/>
        <v>551.18050000000005</v>
      </c>
      <c r="R207">
        <v>1095.0310000000002</v>
      </c>
      <c r="S207" s="2">
        <v>45749</v>
      </c>
      <c r="T207" s="2">
        <v>45755</v>
      </c>
      <c r="U207" t="s">
        <v>37</v>
      </c>
      <c r="V207">
        <v>2</v>
      </c>
      <c r="W207">
        <v>4</v>
      </c>
      <c r="X207" t="s">
        <v>45</v>
      </c>
      <c r="Y207">
        <v>2025</v>
      </c>
      <c r="Z207">
        <v>2</v>
      </c>
      <c r="AA207">
        <v>14</v>
      </c>
    </row>
    <row r="208" spans="1:27" x14ac:dyDescent="0.3">
      <c r="A208" s="2">
        <v>45043</v>
      </c>
      <c r="B208" t="s">
        <v>3</v>
      </c>
      <c r="C208" t="s">
        <v>10</v>
      </c>
      <c r="D208">
        <v>8</v>
      </c>
      <c r="E208">
        <v>536.42999999999995</v>
      </c>
      <c r="F208" t="s">
        <v>12</v>
      </c>
      <c r="G208" t="s">
        <v>17</v>
      </c>
      <c r="H208">
        <v>0</v>
      </c>
      <c r="I208" t="s">
        <v>21</v>
      </c>
      <c r="J208">
        <v>4291.4399999999996</v>
      </c>
      <c r="K208" t="s">
        <v>28</v>
      </c>
      <c r="L208" t="s">
        <v>32</v>
      </c>
      <c r="M208">
        <v>1</v>
      </c>
      <c r="N208" t="s">
        <v>281</v>
      </c>
      <c r="O208" t="s">
        <v>1781</v>
      </c>
      <c r="P208">
        <v>14.58</v>
      </c>
      <c r="Q208">
        <f t="shared" si="3"/>
        <v>536.42999999999995</v>
      </c>
      <c r="R208">
        <v>4276.8599999999997</v>
      </c>
      <c r="S208" s="2">
        <v>45043</v>
      </c>
      <c r="T208" s="2">
        <v>45053</v>
      </c>
      <c r="U208" t="s">
        <v>36</v>
      </c>
      <c r="V208">
        <v>27</v>
      </c>
      <c r="W208">
        <v>4</v>
      </c>
      <c r="X208" t="s">
        <v>45</v>
      </c>
      <c r="Y208">
        <v>2023</v>
      </c>
      <c r="Z208">
        <v>2</v>
      </c>
      <c r="AA208">
        <v>17</v>
      </c>
    </row>
    <row r="209" spans="1:27" x14ac:dyDescent="0.3">
      <c r="A209" s="2">
        <v>45511</v>
      </c>
      <c r="B209" t="s">
        <v>0</v>
      </c>
      <c r="C209" t="s">
        <v>6</v>
      </c>
      <c r="D209">
        <v>1</v>
      </c>
      <c r="E209">
        <v>94.33</v>
      </c>
      <c r="F209" t="s">
        <v>13</v>
      </c>
      <c r="G209" t="s">
        <v>16</v>
      </c>
      <c r="H209">
        <v>0</v>
      </c>
      <c r="I209" t="s">
        <v>21</v>
      </c>
      <c r="J209">
        <v>94.33</v>
      </c>
      <c r="K209" t="s">
        <v>24</v>
      </c>
      <c r="L209" t="s">
        <v>32</v>
      </c>
      <c r="M209">
        <v>0</v>
      </c>
      <c r="N209" t="s">
        <v>282</v>
      </c>
      <c r="O209" t="s">
        <v>1782</v>
      </c>
      <c r="P209">
        <v>49.17</v>
      </c>
      <c r="Q209">
        <f t="shared" si="3"/>
        <v>94.33</v>
      </c>
      <c r="R209">
        <v>45.16</v>
      </c>
      <c r="S209" s="2">
        <v>45511</v>
      </c>
      <c r="T209" s="2">
        <v>45521</v>
      </c>
      <c r="U209" t="s">
        <v>33</v>
      </c>
      <c r="V209">
        <v>7</v>
      </c>
      <c r="W209">
        <v>8</v>
      </c>
      <c r="X209" t="s">
        <v>48</v>
      </c>
      <c r="Y209">
        <v>2024</v>
      </c>
      <c r="Z209">
        <v>3</v>
      </c>
      <c r="AA209">
        <v>32</v>
      </c>
    </row>
    <row r="210" spans="1:27" x14ac:dyDescent="0.3">
      <c r="A210" s="2">
        <v>45031</v>
      </c>
      <c r="B210" t="s">
        <v>4</v>
      </c>
      <c r="C210" t="s">
        <v>5</v>
      </c>
      <c r="D210">
        <v>16</v>
      </c>
      <c r="E210">
        <v>489.94</v>
      </c>
      <c r="F210" t="s">
        <v>14</v>
      </c>
      <c r="G210" t="s">
        <v>17</v>
      </c>
      <c r="H210">
        <v>0.1</v>
      </c>
      <c r="I210" t="s">
        <v>20</v>
      </c>
      <c r="J210">
        <v>7055.1360000000004</v>
      </c>
      <c r="K210" t="s">
        <v>28</v>
      </c>
      <c r="L210" t="s">
        <v>30</v>
      </c>
      <c r="M210">
        <v>0</v>
      </c>
      <c r="N210" t="s">
        <v>283</v>
      </c>
      <c r="O210" t="s">
        <v>1783</v>
      </c>
      <c r="P210">
        <v>9.69</v>
      </c>
      <c r="Q210">
        <f t="shared" si="3"/>
        <v>440.94600000000003</v>
      </c>
      <c r="R210">
        <v>7045.4460000000008</v>
      </c>
      <c r="S210" s="2">
        <v>45031</v>
      </c>
      <c r="T210" s="2">
        <v>45041</v>
      </c>
      <c r="U210" t="s">
        <v>37</v>
      </c>
      <c r="V210">
        <v>15</v>
      </c>
      <c r="W210">
        <v>4</v>
      </c>
      <c r="X210" t="s">
        <v>45</v>
      </c>
      <c r="Y210">
        <v>2023</v>
      </c>
      <c r="Z210">
        <v>2</v>
      </c>
      <c r="AA210">
        <v>15</v>
      </c>
    </row>
    <row r="211" spans="1:27" x14ac:dyDescent="0.3">
      <c r="A211" s="2">
        <v>45150</v>
      </c>
      <c r="B211" t="s">
        <v>1</v>
      </c>
      <c r="C211" t="s">
        <v>7</v>
      </c>
      <c r="D211">
        <v>4</v>
      </c>
      <c r="E211">
        <v>551.71</v>
      </c>
      <c r="F211" t="s">
        <v>13</v>
      </c>
      <c r="G211" t="s">
        <v>17</v>
      </c>
      <c r="H211">
        <v>0.05</v>
      </c>
      <c r="I211" t="s">
        <v>18</v>
      </c>
      <c r="J211">
        <v>2096.498</v>
      </c>
      <c r="K211" t="s">
        <v>25</v>
      </c>
      <c r="L211" t="s">
        <v>32</v>
      </c>
      <c r="M211">
        <v>1</v>
      </c>
      <c r="N211" t="s">
        <v>284</v>
      </c>
      <c r="O211" t="s">
        <v>1784</v>
      </c>
      <c r="P211">
        <v>26.32</v>
      </c>
      <c r="Q211">
        <f t="shared" si="3"/>
        <v>524.12450000000001</v>
      </c>
      <c r="R211">
        <v>2070.1779999999999</v>
      </c>
      <c r="S211" s="2">
        <v>45150</v>
      </c>
      <c r="T211" s="2">
        <v>45153</v>
      </c>
      <c r="U211" t="s">
        <v>34</v>
      </c>
      <c r="V211">
        <v>12</v>
      </c>
      <c r="W211">
        <v>8</v>
      </c>
      <c r="X211" t="s">
        <v>48</v>
      </c>
      <c r="Y211">
        <v>2023</v>
      </c>
      <c r="Z211">
        <v>3</v>
      </c>
      <c r="AA211">
        <v>32</v>
      </c>
    </row>
    <row r="212" spans="1:27" x14ac:dyDescent="0.3">
      <c r="A212" s="2">
        <v>45096</v>
      </c>
      <c r="B212" t="s">
        <v>4</v>
      </c>
      <c r="C212" t="s">
        <v>11</v>
      </c>
      <c r="D212">
        <v>17</v>
      </c>
      <c r="E212">
        <v>595.57000000000005</v>
      </c>
      <c r="F212" t="s">
        <v>15</v>
      </c>
      <c r="G212" t="s">
        <v>17</v>
      </c>
      <c r="H212">
        <v>0.15</v>
      </c>
      <c r="I212" t="s">
        <v>23</v>
      </c>
      <c r="J212">
        <v>8605.9865000000009</v>
      </c>
      <c r="K212" t="s">
        <v>26</v>
      </c>
      <c r="L212" t="s">
        <v>31</v>
      </c>
      <c r="M212">
        <v>0</v>
      </c>
      <c r="N212" t="s">
        <v>285</v>
      </c>
      <c r="O212" t="s">
        <v>1785</v>
      </c>
      <c r="P212">
        <v>9.73</v>
      </c>
      <c r="Q212">
        <f t="shared" si="3"/>
        <v>506.23450000000003</v>
      </c>
      <c r="R212">
        <v>8596.2565000000013</v>
      </c>
      <c r="S212" s="2">
        <v>45096</v>
      </c>
      <c r="T212" s="2">
        <v>45105</v>
      </c>
      <c r="U212" t="s">
        <v>37</v>
      </c>
      <c r="V212">
        <v>19</v>
      </c>
      <c r="W212">
        <v>6</v>
      </c>
      <c r="X212" t="s">
        <v>41</v>
      </c>
      <c r="Y212">
        <v>2023</v>
      </c>
      <c r="Z212">
        <v>2</v>
      </c>
      <c r="AA212">
        <v>25</v>
      </c>
    </row>
    <row r="213" spans="1:27" x14ac:dyDescent="0.3">
      <c r="A213" s="2">
        <v>45289</v>
      </c>
      <c r="B213" t="s">
        <v>0</v>
      </c>
      <c r="C213" t="s">
        <v>11</v>
      </c>
      <c r="D213">
        <v>1</v>
      </c>
      <c r="E213">
        <v>180.12</v>
      </c>
      <c r="F213" t="s">
        <v>13</v>
      </c>
      <c r="G213" t="s">
        <v>16</v>
      </c>
      <c r="H213">
        <v>0.1</v>
      </c>
      <c r="I213" t="s">
        <v>18</v>
      </c>
      <c r="J213">
        <v>162.108</v>
      </c>
      <c r="K213" t="s">
        <v>27</v>
      </c>
      <c r="L213" t="s">
        <v>32</v>
      </c>
      <c r="M213">
        <v>0</v>
      </c>
      <c r="N213" t="s">
        <v>286</v>
      </c>
      <c r="O213" t="s">
        <v>1786</v>
      </c>
      <c r="P213">
        <v>27.07</v>
      </c>
      <c r="Q213">
        <f t="shared" si="3"/>
        <v>162.108</v>
      </c>
      <c r="R213">
        <v>135.03800000000001</v>
      </c>
      <c r="S213" s="2">
        <v>45289</v>
      </c>
      <c r="T213" s="2">
        <v>45298</v>
      </c>
      <c r="U213" t="s">
        <v>33</v>
      </c>
      <c r="V213">
        <v>29</v>
      </c>
      <c r="W213">
        <v>12</v>
      </c>
      <c r="X213" t="s">
        <v>39</v>
      </c>
      <c r="Y213">
        <v>2023</v>
      </c>
      <c r="Z213">
        <v>4</v>
      </c>
      <c r="AA213">
        <v>52</v>
      </c>
    </row>
    <row r="214" spans="1:27" x14ac:dyDescent="0.3">
      <c r="A214" s="2">
        <v>45011</v>
      </c>
      <c r="B214" t="s">
        <v>0</v>
      </c>
      <c r="C214" t="s">
        <v>7</v>
      </c>
      <c r="D214">
        <v>12</v>
      </c>
      <c r="E214">
        <v>301.5</v>
      </c>
      <c r="F214" t="s">
        <v>15</v>
      </c>
      <c r="G214" t="s">
        <v>17</v>
      </c>
      <c r="H214">
        <v>0.15</v>
      </c>
      <c r="I214" t="s">
        <v>23</v>
      </c>
      <c r="J214">
        <v>3075.3</v>
      </c>
      <c r="K214" t="s">
        <v>26</v>
      </c>
      <c r="L214" t="s">
        <v>29</v>
      </c>
      <c r="M214">
        <v>1</v>
      </c>
      <c r="N214" t="s">
        <v>287</v>
      </c>
      <c r="O214" t="s">
        <v>1787</v>
      </c>
      <c r="P214">
        <v>43.67</v>
      </c>
      <c r="Q214">
        <f t="shared" si="3"/>
        <v>256.27500000000003</v>
      </c>
      <c r="R214">
        <v>3031.63</v>
      </c>
      <c r="S214" s="2">
        <v>45011</v>
      </c>
      <c r="T214" s="2">
        <v>45015</v>
      </c>
      <c r="U214" t="s">
        <v>33</v>
      </c>
      <c r="V214">
        <v>26</v>
      </c>
      <c r="W214">
        <v>3</v>
      </c>
      <c r="X214" t="s">
        <v>44</v>
      </c>
      <c r="Y214">
        <v>2023</v>
      </c>
      <c r="Z214">
        <v>1</v>
      </c>
      <c r="AA214">
        <v>12</v>
      </c>
    </row>
    <row r="215" spans="1:27" x14ac:dyDescent="0.3">
      <c r="A215" s="2">
        <v>45170</v>
      </c>
      <c r="B215" t="s">
        <v>1</v>
      </c>
      <c r="C215" t="s">
        <v>6</v>
      </c>
      <c r="D215">
        <v>20</v>
      </c>
      <c r="E215">
        <v>273.55</v>
      </c>
      <c r="F215" t="s">
        <v>15</v>
      </c>
      <c r="G215" t="s">
        <v>17</v>
      </c>
      <c r="H215">
        <v>0.15</v>
      </c>
      <c r="I215" t="s">
        <v>20</v>
      </c>
      <c r="J215">
        <v>4650.3499999999995</v>
      </c>
      <c r="K215" t="s">
        <v>27</v>
      </c>
      <c r="L215" t="s">
        <v>32</v>
      </c>
      <c r="M215">
        <v>0</v>
      </c>
      <c r="N215" t="s">
        <v>288</v>
      </c>
      <c r="O215" t="s">
        <v>1788</v>
      </c>
      <c r="P215">
        <v>14.76</v>
      </c>
      <c r="Q215">
        <f t="shared" si="3"/>
        <v>232.51749999999998</v>
      </c>
      <c r="R215">
        <v>4635.5899999999992</v>
      </c>
      <c r="S215" s="2">
        <v>45170</v>
      </c>
      <c r="T215" s="2">
        <v>45176</v>
      </c>
      <c r="U215" t="s">
        <v>34</v>
      </c>
      <c r="V215">
        <v>1</v>
      </c>
      <c r="W215">
        <v>9</v>
      </c>
      <c r="X215" t="s">
        <v>49</v>
      </c>
      <c r="Y215">
        <v>2023</v>
      </c>
      <c r="Z215">
        <v>3</v>
      </c>
      <c r="AA215">
        <v>35</v>
      </c>
    </row>
    <row r="216" spans="1:27" x14ac:dyDescent="0.3">
      <c r="A216" s="2">
        <v>45509</v>
      </c>
      <c r="B216" t="s">
        <v>4</v>
      </c>
      <c r="C216" t="s">
        <v>10</v>
      </c>
      <c r="D216">
        <v>6</v>
      </c>
      <c r="E216">
        <v>187.06</v>
      </c>
      <c r="F216" t="s">
        <v>12</v>
      </c>
      <c r="G216" t="s">
        <v>16</v>
      </c>
      <c r="H216">
        <v>0.1</v>
      </c>
      <c r="I216" t="s">
        <v>20</v>
      </c>
      <c r="J216">
        <v>1010.124</v>
      </c>
      <c r="K216" t="s">
        <v>27</v>
      </c>
      <c r="L216" t="s">
        <v>29</v>
      </c>
      <c r="M216">
        <v>0</v>
      </c>
      <c r="N216" t="s">
        <v>289</v>
      </c>
      <c r="O216" t="s">
        <v>1789</v>
      </c>
      <c r="P216">
        <v>11.03</v>
      </c>
      <c r="Q216">
        <f t="shared" si="3"/>
        <v>168.35400000000001</v>
      </c>
      <c r="R216">
        <v>999.09400000000005</v>
      </c>
      <c r="S216" s="2">
        <v>45509</v>
      </c>
      <c r="T216" s="2">
        <v>45517</v>
      </c>
      <c r="U216" t="s">
        <v>37</v>
      </c>
      <c r="V216">
        <v>5</v>
      </c>
      <c r="W216">
        <v>8</v>
      </c>
      <c r="X216" t="s">
        <v>48</v>
      </c>
      <c r="Y216">
        <v>2024</v>
      </c>
      <c r="Z216">
        <v>3</v>
      </c>
      <c r="AA216">
        <v>32</v>
      </c>
    </row>
    <row r="217" spans="1:27" x14ac:dyDescent="0.3">
      <c r="A217" s="2">
        <v>45680</v>
      </c>
      <c r="B217" t="s">
        <v>2</v>
      </c>
      <c r="C217" t="s">
        <v>8</v>
      </c>
      <c r="D217">
        <v>16</v>
      </c>
      <c r="E217">
        <v>562.52</v>
      </c>
      <c r="F217" t="s">
        <v>15</v>
      </c>
      <c r="G217" t="s">
        <v>17</v>
      </c>
      <c r="H217">
        <v>0</v>
      </c>
      <c r="I217" t="s">
        <v>20</v>
      </c>
      <c r="J217">
        <v>9000.32</v>
      </c>
      <c r="K217" t="s">
        <v>25</v>
      </c>
      <c r="L217" t="s">
        <v>32</v>
      </c>
      <c r="M217">
        <v>0</v>
      </c>
      <c r="N217" t="s">
        <v>290</v>
      </c>
      <c r="O217" t="s">
        <v>1790</v>
      </c>
      <c r="P217">
        <v>18.23</v>
      </c>
      <c r="Q217">
        <f t="shared" si="3"/>
        <v>562.52</v>
      </c>
      <c r="R217">
        <v>8982.09</v>
      </c>
      <c r="S217" s="2">
        <v>45680</v>
      </c>
      <c r="T217" s="2">
        <v>45684</v>
      </c>
      <c r="U217" t="s">
        <v>35</v>
      </c>
      <c r="V217">
        <v>23</v>
      </c>
      <c r="W217">
        <v>1</v>
      </c>
      <c r="X217" t="s">
        <v>42</v>
      </c>
      <c r="Y217">
        <v>2025</v>
      </c>
      <c r="Z217">
        <v>1</v>
      </c>
      <c r="AA217">
        <v>4</v>
      </c>
    </row>
    <row r="218" spans="1:27" x14ac:dyDescent="0.3">
      <c r="A218" s="2">
        <v>45062</v>
      </c>
      <c r="B218" t="s">
        <v>0</v>
      </c>
      <c r="C218" t="s">
        <v>10</v>
      </c>
      <c r="D218">
        <v>4</v>
      </c>
      <c r="E218">
        <v>85.16</v>
      </c>
      <c r="F218" t="s">
        <v>15</v>
      </c>
      <c r="G218" t="s">
        <v>16</v>
      </c>
      <c r="H218">
        <v>0.1</v>
      </c>
      <c r="I218" t="s">
        <v>21</v>
      </c>
      <c r="J218">
        <v>306.57600000000002</v>
      </c>
      <c r="K218" t="s">
        <v>26</v>
      </c>
      <c r="L218" t="s">
        <v>32</v>
      </c>
      <c r="M218">
        <v>0</v>
      </c>
      <c r="N218" t="s">
        <v>291</v>
      </c>
      <c r="O218" t="s">
        <v>1791</v>
      </c>
      <c r="P218">
        <v>38.51</v>
      </c>
      <c r="Q218">
        <f t="shared" si="3"/>
        <v>76.644000000000005</v>
      </c>
      <c r="R218">
        <v>268.06600000000003</v>
      </c>
      <c r="S218" s="2">
        <v>45062</v>
      </c>
      <c r="T218" s="2">
        <v>45069</v>
      </c>
      <c r="U218" t="s">
        <v>33</v>
      </c>
      <c r="V218">
        <v>16</v>
      </c>
      <c r="W218">
        <v>5</v>
      </c>
      <c r="X218" t="s">
        <v>40</v>
      </c>
      <c r="Y218">
        <v>2023</v>
      </c>
      <c r="Z218">
        <v>2</v>
      </c>
      <c r="AA218">
        <v>20</v>
      </c>
    </row>
    <row r="219" spans="1:27" x14ac:dyDescent="0.3">
      <c r="A219" s="2">
        <v>44971</v>
      </c>
      <c r="B219" t="s">
        <v>2</v>
      </c>
      <c r="C219" t="s">
        <v>10</v>
      </c>
      <c r="D219">
        <v>12</v>
      </c>
      <c r="E219">
        <v>451.51</v>
      </c>
      <c r="F219" t="s">
        <v>12</v>
      </c>
      <c r="G219" t="s">
        <v>16</v>
      </c>
      <c r="H219">
        <v>0.15</v>
      </c>
      <c r="I219" t="s">
        <v>21</v>
      </c>
      <c r="J219">
        <v>4605.402</v>
      </c>
      <c r="K219" t="s">
        <v>24</v>
      </c>
      <c r="L219" t="s">
        <v>31</v>
      </c>
      <c r="M219">
        <v>0</v>
      </c>
      <c r="N219" t="s">
        <v>292</v>
      </c>
      <c r="O219" t="s">
        <v>1792</v>
      </c>
      <c r="P219">
        <v>9.5399999999999991</v>
      </c>
      <c r="Q219">
        <f t="shared" si="3"/>
        <v>383.7835</v>
      </c>
      <c r="R219">
        <v>4595.8620000000001</v>
      </c>
      <c r="S219" s="2">
        <v>44971</v>
      </c>
      <c r="T219" s="2">
        <v>44979</v>
      </c>
      <c r="U219" t="s">
        <v>35</v>
      </c>
      <c r="V219">
        <v>14</v>
      </c>
      <c r="W219">
        <v>2</v>
      </c>
      <c r="X219" t="s">
        <v>38</v>
      </c>
      <c r="Y219">
        <v>2023</v>
      </c>
      <c r="Z219">
        <v>1</v>
      </c>
      <c r="AA219">
        <v>7</v>
      </c>
    </row>
    <row r="220" spans="1:27" x14ac:dyDescent="0.3">
      <c r="A220" s="2">
        <v>45446</v>
      </c>
      <c r="B220" t="s">
        <v>3</v>
      </c>
      <c r="C220" t="s">
        <v>10</v>
      </c>
      <c r="D220">
        <v>1</v>
      </c>
      <c r="E220">
        <v>259.87</v>
      </c>
      <c r="F220" t="s">
        <v>15</v>
      </c>
      <c r="G220" t="s">
        <v>17</v>
      </c>
      <c r="H220">
        <v>0.15</v>
      </c>
      <c r="I220" t="s">
        <v>18</v>
      </c>
      <c r="J220">
        <v>220.8895</v>
      </c>
      <c r="K220" t="s">
        <v>25</v>
      </c>
      <c r="L220" t="s">
        <v>29</v>
      </c>
      <c r="M220">
        <v>0</v>
      </c>
      <c r="N220" t="s">
        <v>293</v>
      </c>
      <c r="O220" t="s">
        <v>1793</v>
      </c>
      <c r="P220">
        <v>19.2</v>
      </c>
      <c r="Q220">
        <f t="shared" si="3"/>
        <v>220.8895</v>
      </c>
      <c r="R220">
        <v>201.68950000000001</v>
      </c>
      <c r="S220" s="2">
        <v>45446</v>
      </c>
      <c r="T220" s="2">
        <v>45455</v>
      </c>
      <c r="U220" t="s">
        <v>36</v>
      </c>
      <c r="V220">
        <v>3</v>
      </c>
      <c r="W220">
        <v>6</v>
      </c>
      <c r="X220" t="s">
        <v>41</v>
      </c>
      <c r="Y220">
        <v>2024</v>
      </c>
      <c r="Z220">
        <v>2</v>
      </c>
      <c r="AA220">
        <v>23</v>
      </c>
    </row>
    <row r="221" spans="1:27" x14ac:dyDescent="0.3">
      <c r="A221" s="2">
        <v>45238</v>
      </c>
      <c r="B221" t="s">
        <v>3</v>
      </c>
      <c r="C221" t="s">
        <v>10</v>
      </c>
      <c r="D221">
        <v>20</v>
      </c>
      <c r="E221">
        <v>268.25</v>
      </c>
      <c r="F221" t="s">
        <v>15</v>
      </c>
      <c r="G221" t="s">
        <v>17</v>
      </c>
      <c r="H221">
        <v>0.05</v>
      </c>
      <c r="I221" t="s">
        <v>22</v>
      </c>
      <c r="J221">
        <v>5096.75</v>
      </c>
      <c r="K221" t="s">
        <v>28</v>
      </c>
      <c r="L221" t="s">
        <v>29</v>
      </c>
      <c r="M221">
        <v>0</v>
      </c>
      <c r="N221" t="s">
        <v>294</v>
      </c>
      <c r="O221" t="s">
        <v>1794</v>
      </c>
      <c r="P221">
        <v>20.96</v>
      </c>
      <c r="Q221">
        <f t="shared" si="3"/>
        <v>254.83750000000001</v>
      </c>
      <c r="R221">
        <v>5075.79</v>
      </c>
      <c r="S221" s="2">
        <v>45238</v>
      </c>
      <c r="T221" s="2">
        <v>45245</v>
      </c>
      <c r="U221" t="s">
        <v>36</v>
      </c>
      <c r="V221">
        <v>8</v>
      </c>
      <c r="W221">
        <v>11</v>
      </c>
      <c r="X221" t="s">
        <v>47</v>
      </c>
      <c r="Y221">
        <v>2023</v>
      </c>
      <c r="Z221">
        <v>4</v>
      </c>
      <c r="AA221">
        <v>45</v>
      </c>
    </row>
    <row r="222" spans="1:27" x14ac:dyDescent="0.3">
      <c r="A222" s="2">
        <v>44950</v>
      </c>
      <c r="B222" t="s">
        <v>4</v>
      </c>
      <c r="C222" t="s">
        <v>6</v>
      </c>
      <c r="D222">
        <v>10</v>
      </c>
      <c r="E222">
        <v>266.13</v>
      </c>
      <c r="F222" t="s">
        <v>12</v>
      </c>
      <c r="G222" t="s">
        <v>16</v>
      </c>
      <c r="H222">
        <v>0</v>
      </c>
      <c r="I222" t="s">
        <v>22</v>
      </c>
      <c r="J222">
        <v>2661.3</v>
      </c>
      <c r="K222" t="s">
        <v>25</v>
      </c>
      <c r="L222" t="s">
        <v>31</v>
      </c>
      <c r="M222">
        <v>0</v>
      </c>
      <c r="N222" t="s">
        <v>295</v>
      </c>
      <c r="O222" t="s">
        <v>1795</v>
      </c>
      <c r="P222">
        <v>21.01</v>
      </c>
      <c r="Q222">
        <f t="shared" si="3"/>
        <v>266.13</v>
      </c>
      <c r="R222">
        <v>2640.29</v>
      </c>
      <c r="S222" s="2">
        <v>44950</v>
      </c>
      <c r="T222" s="2">
        <v>44952</v>
      </c>
      <c r="U222" t="s">
        <v>37</v>
      </c>
      <c r="V222">
        <v>24</v>
      </c>
      <c r="W222">
        <v>1</v>
      </c>
      <c r="X222" t="s">
        <v>42</v>
      </c>
      <c r="Y222">
        <v>2023</v>
      </c>
      <c r="Z222">
        <v>1</v>
      </c>
      <c r="AA222">
        <v>4</v>
      </c>
    </row>
    <row r="223" spans="1:27" x14ac:dyDescent="0.3">
      <c r="A223" s="2">
        <v>45736</v>
      </c>
      <c r="B223" t="s">
        <v>4</v>
      </c>
      <c r="C223" t="s">
        <v>5</v>
      </c>
      <c r="D223">
        <v>18</v>
      </c>
      <c r="E223">
        <v>493.06</v>
      </c>
      <c r="F223" t="s">
        <v>15</v>
      </c>
      <c r="G223" t="s">
        <v>16</v>
      </c>
      <c r="H223">
        <v>0.05</v>
      </c>
      <c r="I223" t="s">
        <v>22</v>
      </c>
      <c r="J223">
        <v>8431.3259999999991</v>
      </c>
      <c r="K223" t="s">
        <v>28</v>
      </c>
      <c r="L223" t="s">
        <v>31</v>
      </c>
      <c r="M223">
        <v>1</v>
      </c>
      <c r="N223" t="s">
        <v>296</v>
      </c>
      <c r="O223" t="s">
        <v>1796</v>
      </c>
      <c r="P223">
        <v>46.87</v>
      </c>
      <c r="Q223">
        <f t="shared" si="3"/>
        <v>468.40699999999993</v>
      </c>
      <c r="R223">
        <v>8384.4559999999983</v>
      </c>
      <c r="S223" s="2">
        <v>45736</v>
      </c>
      <c r="T223" s="2">
        <v>45744</v>
      </c>
      <c r="U223" t="s">
        <v>37</v>
      </c>
      <c r="V223">
        <v>20</v>
      </c>
      <c r="W223">
        <v>3</v>
      </c>
      <c r="X223" t="s">
        <v>44</v>
      </c>
      <c r="Y223">
        <v>2025</v>
      </c>
      <c r="Z223">
        <v>1</v>
      </c>
      <c r="AA223">
        <v>12</v>
      </c>
    </row>
    <row r="224" spans="1:27" x14ac:dyDescent="0.3">
      <c r="A224" s="2">
        <v>45344</v>
      </c>
      <c r="B224" t="s">
        <v>4</v>
      </c>
      <c r="C224" t="s">
        <v>9</v>
      </c>
      <c r="D224">
        <v>4</v>
      </c>
      <c r="E224">
        <v>36.82</v>
      </c>
      <c r="F224" t="s">
        <v>14</v>
      </c>
      <c r="G224" t="s">
        <v>16</v>
      </c>
      <c r="H224">
        <v>0.05</v>
      </c>
      <c r="I224" t="s">
        <v>20</v>
      </c>
      <c r="J224">
        <v>139.916</v>
      </c>
      <c r="K224" t="s">
        <v>26</v>
      </c>
      <c r="L224" t="s">
        <v>31</v>
      </c>
      <c r="M224">
        <v>1</v>
      </c>
      <c r="N224" t="s">
        <v>297</v>
      </c>
      <c r="O224" t="s">
        <v>1797</v>
      </c>
      <c r="P224">
        <v>24.86</v>
      </c>
      <c r="Q224">
        <f t="shared" si="3"/>
        <v>34.978999999999999</v>
      </c>
      <c r="R224">
        <v>115.056</v>
      </c>
      <c r="S224" s="2">
        <v>45344</v>
      </c>
      <c r="T224" s="2">
        <v>45352</v>
      </c>
      <c r="U224" t="s">
        <v>37</v>
      </c>
      <c r="V224">
        <v>22</v>
      </c>
      <c r="W224">
        <v>2</v>
      </c>
      <c r="X224" t="s">
        <v>38</v>
      </c>
      <c r="Y224">
        <v>2024</v>
      </c>
      <c r="Z224">
        <v>1</v>
      </c>
      <c r="AA224">
        <v>8</v>
      </c>
    </row>
    <row r="225" spans="1:27" x14ac:dyDescent="0.3">
      <c r="A225" s="2">
        <v>45749</v>
      </c>
      <c r="B225" t="s">
        <v>2</v>
      </c>
      <c r="C225" t="s">
        <v>11</v>
      </c>
      <c r="D225">
        <v>12</v>
      </c>
      <c r="E225">
        <v>413.45</v>
      </c>
      <c r="F225" t="s">
        <v>15</v>
      </c>
      <c r="G225" t="s">
        <v>17</v>
      </c>
      <c r="H225">
        <v>0.15</v>
      </c>
      <c r="I225" t="s">
        <v>23</v>
      </c>
      <c r="J225">
        <v>4217.1899999999996</v>
      </c>
      <c r="K225" t="s">
        <v>28</v>
      </c>
      <c r="L225" t="s">
        <v>29</v>
      </c>
      <c r="M225">
        <v>0</v>
      </c>
      <c r="N225" t="s">
        <v>298</v>
      </c>
      <c r="O225" t="s">
        <v>1798</v>
      </c>
      <c r="P225">
        <v>23.25</v>
      </c>
      <c r="Q225">
        <f t="shared" si="3"/>
        <v>351.43249999999995</v>
      </c>
      <c r="R225">
        <v>4193.9399999999996</v>
      </c>
      <c r="S225" s="2">
        <v>45749</v>
      </c>
      <c r="T225" s="2">
        <v>45757</v>
      </c>
      <c r="U225" t="s">
        <v>35</v>
      </c>
      <c r="V225">
        <v>2</v>
      </c>
      <c r="W225">
        <v>4</v>
      </c>
      <c r="X225" t="s">
        <v>45</v>
      </c>
      <c r="Y225">
        <v>2025</v>
      </c>
      <c r="Z225">
        <v>2</v>
      </c>
      <c r="AA225">
        <v>14</v>
      </c>
    </row>
    <row r="226" spans="1:27" x14ac:dyDescent="0.3">
      <c r="A226" s="2">
        <v>45820</v>
      </c>
      <c r="B226" t="s">
        <v>2</v>
      </c>
      <c r="C226" t="s">
        <v>8</v>
      </c>
      <c r="D226">
        <v>19</v>
      </c>
      <c r="E226">
        <v>446.25</v>
      </c>
      <c r="F226" t="s">
        <v>12</v>
      </c>
      <c r="G226" t="s">
        <v>17</v>
      </c>
      <c r="H226">
        <v>0.1</v>
      </c>
      <c r="I226" t="s">
        <v>18</v>
      </c>
      <c r="J226">
        <v>7630.875</v>
      </c>
      <c r="K226" t="s">
        <v>25</v>
      </c>
      <c r="L226" t="s">
        <v>32</v>
      </c>
      <c r="M226">
        <v>0</v>
      </c>
      <c r="N226" t="s">
        <v>299</v>
      </c>
      <c r="O226" t="s">
        <v>1799</v>
      </c>
      <c r="P226">
        <v>14.88</v>
      </c>
      <c r="Q226">
        <f t="shared" si="3"/>
        <v>401.625</v>
      </c>
      <c r="R226">
        <v>7615.9949999999999</v>
      </c>
      <c r="S226" s="2">
        <v>45820</v>
      </c>
      <c r="T226" s="2">
        <v>45826</v>
      </c>
      <c r="U226" t="s">
        <v>35</v>
      </c>
      <c r="V226">
        <v>12</v>
      </c>
      <c r="W226">
        <v>6</v>
      </c>
      <c r="X226" t="s">
        <v>41</v>
      </c>
      <c r="Y226">
        <v>2025</v>
      </c>
      <c r="Z226">
        <v>2</v>
      </c>
      <c r="AA226">
        <v>24</v>
      </c>
    </row>
    <row r="227" spans="1:27" x14ac:dyDescent="0.3">
      <c r="A227" s="2">
        <v>45059</v>
      </c>
      <c r="B227" t="s">
        <v>0</v>
      </c>
      <c r="C227" t="s">
        <v>5</v>
      </c>
      <c r="D227">
        <v>7</v>
      </c>
      <c r="E227">
        <v>82.77</v>
      </c>
      <c r="F227" t="s">
        <v>15</v>
      </c>
      <c r="G227" t="s">
        <v>16</v>
      </c>
      <c r="H227">
        <v>0.15</v>
      </c>
      <c r="I227" t="s">
        <v>20</v>
      </c>
      <c r="J227">
        <v>492.48149999999998</v>
      </c>
      <c r="K227" t="s">
        <v>27</v>
      </c>
      <c r="L227" t="s">
        <v>30</v>
      </c>
      <c r="M227">
        <v>1</v>
      </c>
      <c r="N227" t="s">
        <v>300</v>
      </c>
      <c r="O227" t="s">
        <v>1800</v>
      </c>
      <c r="P227">
        <v>15.66</v>
      </c>
      <c r="Q227">
        <f t="shared" si="3"/>
        <v>70.354500000000002</v>
      </c>
      <c r="R227">
        <v>476.82149999999996</v>
      </c>
      <c r="S227" s="2">
        <v>45059</v>
      </c>
      <c r="T227" s="2">
        <v>45063</v>
      </c>
      <c r="U227" t="s">
        <v>33</v>
      </c>
      <c r="V227">
        <v>13</v>
      </c>
      <c r="W227">
        <v>5</v>
      </c>
      <c r="X227" t="s">
        <v>40</v>
      </c>
      <c r="Y227">
        <v>2023</v>
      </c>
      <c r="Z227">
        <v>2</v>
      </c>
      <c r="AA227">
        <v>19</v>
      </c>
    </row>
    <row r="228" spans="1:27" x14ac:dyDescent="0.3">
      <c r="A228" s="2">
        <v>45010</v>
      </c>
      <c r="B228" t="s">
        <v>1</v>
      </c>
      <c r="C228" t="s">
        <v>7</v>
      </c>
      <c r="D228">
        <v>17</v>
      </c>
      <c r="E228">
        <v>339.88</v>
      </c>
      <c r="F228" t="s">
        <v>13</v>
      </c>
      <c r="G228" t="s">
        <v>17</v>
      </c>
      <c r="H228">
        <v>0</v>
      </c>
      <c r="I228" t="s">
        <v>19</v>
      </c>
      <c r="J228">
        <v>5777.96</v>
      </c>
      <c r="K228" t="s">
        <v>28</v>
      </c>
      <c r="L228" t="s">
        <v>32</v>
      </c>
      <c r="M228">
        <v>0</v>
      </c>
      <c r="N228" t="s">
        <v>301</v>
      </c>
      <c r="O228" t="s">
        <v>1801</v>
      </c>
      <c r="P228">
        <v>44.86</v>
      </c>
      <c r="Q228">
        <f t="shared" si="3"/>
        <v>339.88</v>
      </c>
      <c r="R228">
        <v>5733.1</v>
      </c>
      <c r="S228" s="2">
        <v>45010</v>
      </c>
      <c r="T228" s="2">
        <v>45013</v>
      </c>
      <c r="U228" t="s">
        <v>34</v>
      </c>
      <c r="V228">
        <v>25</v>
      </c>
      <c r="W228">
        <v>3</v>
      </c>
      <c r="X228" t="s">
        <v>44</v>
      </c>
      <c r="Y228">
        <v>2023</v>
      </c>
      <c r="Z228">
        <v>1</v>
      </c>
      <c r="AA228">
        <v>12</v>
      </c>
    </row>
    <row r="229" spans="1:27" x14ac:dyDescent="0.3">
      <c r="A229" s="2">
        <v>45618</v>
      </c>
      <c r="B229" t="s">
        <v>1</v>
      </c>
      <c r="C229" t="s">
        <v>11</v>
      </c>
      <c r="D229">
        <v>19</v>
      </c>
      <c r="E229">
        <v>364.32</v>
      </c>
      <c r="F229" t="s">
        <v>12</v>
      </c>
      <c r="G229" t="s">
        <v>17</v>
      </c>
      <c r="H229">
        <v>0.15</v>
      </c>
      <c r="I229" t="s">
        <v>20</v>
      </c>
      <c r="J229">
        <v>5883.768</v>
      </c>
      <c r="K229" t="s">
        <v>27</v>
      </c>
      <c r="L229" t="s">
        <v>32</v>
      </c>
      <c r="M229">
        <v>1</v>
      </c>
      <c r="N229" t="s">
        <v>302</v>
      </c>
      <c r="O229" t="s">
        <v>1802</v>
      </c>
      <c r="P229">
        <v>39.76</v>
      </c>
      <c r="Q229">
        <f t="shared" si="3"/>
        <v>309.67200000000003</v>
      </c>
      <c r="R229">
        <v>5844.0079999999998</v>
      </c>
      <c r="S229" s="2">
        <v>45618</v>
      </c>
      <c r="T229" s="2">
        <v>45621</v>
      </c>
      <c r="U229" t="s">
        <v>34</v>
      </c>
      <c r="V229">
        <v>22</v>
      </c>
      <c r="W229">
        <v>11</v>
      </c>
      <c r="X229" t="s">
        <v>47</v>
      </c>
      <c r="Y229">
        <v>2024</v>
      </c>
      <c r="Z229">
        <v>4</v>
      </c>
      <c r="AA229">
        <v>47</v>
      </c>
    </row>
    <row r="230" spans="1:27" x14ac:dyDescent="0.3">
      <c r="A230" s="2">
        <v>45114</v>
      </c>
      <c r="B230" t="s">
        <v>0</v>
      </c>
      <c r="C230" t="s">
        <v>10</v>
      </c>
      <c r="D230">
        <v>3</v>
      </c>
      <c r="E230">
        <v>71.91</v>
      </c>
      <c r="F230" t="s">
        <v>12</v>
      </c>
      <c r="G230" t="s">
        <v>16</v>
      </c>
      <c r="H230">
        <v>0</v>
      </c>
      <c r="I230" t="s">
        <v>19</v>
      </c>
      <c r="J230">
        <v>215.73</v>
      </c>
      <c r="K230" t="s">
        <v>25</v>
      </c>
      <c r="L230" t="s">
        <v>31</v>
      </c>
      <c r="M230">
        <v>1</v>
      </c>
      <c r="N230" t="s">
        <v>303</v>
      </c>
      <c r="O230" t="s">
        <v>1803</v>
      </c>
      <c r="P230">
        <v>46.25</v>
      </c>
      <c r="Q230">
        <f t="shared" si="3"/>
        <v>71.91</v>
      </c>
      <c r="R230">
        <v>169.48</v>
      </c>
      <c r="S230" s="2">
        <v>45114</v>
      </c>
      <c r="T230" s="2">
        <v>45124</v>
      </c>
      <c r="U230" t="s">
        <v>33</v>
      </c>
      <c r="V230">
        <v>7</v>
      </c>
      <c r="W230">
        <v>7</v>
      </c>
      <c r="X230" t="s">
        <v>46</v>
      </c>
      <c r="Y230">
        <v>2023</v>
      </c>
      <c r="Z230">
        <v>3</v>
      </c>
      <c r="AA230">
        <v>27</v>
      </c>
    </row>
    <row r="231" spans="1:27" x14ac:dyDescent="0.3">
      <c r="A231" s="2">
        <v>45570</v>
      </c>
      <c r="B231" t="s">
        <v>0</v>
      </c>
      <c r="C231" t="s">
        <v>10</v>
      </c>
      <c r="D231">
        <v>20</v>
      </c>
      <c r="E231">
        <v>576.29999999999995</v>
      </c>
      <c r="F231" t="s">
        <v>15</v>
      </c>
      <c r="G231" t="s">
        <v>16</v>
      </c>
      <c r="H231">
        <v>0.05</v>
      </c>
      <c r="I231" t="s">
        <v>18</v>
      </c>
      <c r="J231">
        <v>10949.7</v>
      </c>
      <c r="K231" t="s">
        <v>26</v>
      </c>
      <c r="L231" t="s">
        <v>32</v>
      </c>
      <c r="M231">
        <v>0</v>
      </c>
      <c r="N231" t="s">
        <v>304</v>
      </c>
      <c r="O231" t="s">
        <v>1804</v>
      </c>
      <c r="P231">
        <v>25.22</v>
      </c>
      <c r="Q231">
        <f t="shared" si="3"/>
        <v>547.48500000000001</v>
      </c>
      <c r="R231">
        <v>10924.480000000001</v>
      </c>
      <c r="S231" s="2">
        <v>45570</v>
      </c>
      <c r="T231" s="2">
        <v>45574</v>
      </c>
      <c r="U231" t="s">
        <v>33</v>
      </c>
      <c r="V231">
        <v>5</v>
      </c>
      <c r="W231">
        <v>10</v>
      </c>
      <c r="X231" t="s">
        <v>43</v>
      </c>
      <c r="Y231">
        <v>2024</v>
      </c>
      <c r="Z231">
        <v>4</v>
      </c>
      <c r="AA231">
        <v>40</v>
      </c>
    </row>
    <row r="232" spans="1:27" x14ac:dyDescent="0.3">
      <c r="A232" s="2">
        <v>45382</v>
      </c>
      <c r="B232" t="s">
        <v>4</v>
      </c>
      <c r="C232" t="s">
        <v>5</v>
      </c>
      <c r="D232">
        <v>7</v>
      </c>
      <c r="E232">
        <v>120.6</v>
      </c>
      <c r="F232" t="s">
        <v>12</v>
      </c>
      <c r="G232" t="s">
        <v>16</v>
      </c>
      <c r="H232">
        <v>0</v>
      </c>
      <c r="I232" t="s">
        <v>22</v>
      </c>
      <c r="J232">
        <v>844.19999999999993</v>
      </c>
      <c r="K232" t="s">
        <v>24</v>
      </c>
      <c r="L232" t="s">
        <v>31</v>
      </c>
      <c r="M232">
        <v>0</v>
      </c>
      <c r="N232" t="s">
        <v>305</v>
      </c>
      <c r="O232" t="s">
        <v>1805</v>
      </c>
      <c r="P232">
        <v>43.8</v>
      </c>
      <c r="Q232">
        <f t="shared" si="3"/>
        <v>120.6</v>
      </c>
      <c r="R232">
        <v>800.4</v>
      </c>
      <c r="S232" s="2">
        <v>45382</v>
      </c>
      <c r="T232" s="2">
        <v>45390</v>
      </c>
      <c r="U232" t="s">
        <v>37</v>
      </c>
      <c r="V232">
        <v>31</v>
      </c>
      <c r="W232">
        <v>3</v>
      </c>
      <c r="X232" t="s">
        <v>44</v>
      </c>
      <c r="Y232">
        <v>2024</v>
      </c>
      <c r="Z232">
        <v>1</v>
      </c>
      <c r="AA232">
        <v>13</v>
      </c>
    </row>
    <row r="233" spans="1:27" x14ac:dyDescent="0.3">
      <c r="A233" s="2">
        <v>45748</v>
      </c>
      <c r="B233" t="s">
        <v>4</v>
      </c>
      <c r="C233" t="s">
        <v>11</v>
      </c>
      <c r="D233">
        <v>8</v>
      </c>
      <c r="E233">
        <v>96.19</v>
      </c>
      <c r="F233" t="s">
        <v>13</v>
      </c>
      <c r="G233" t="s">
        <v>16</v>
      </c>
      <c r="H233">
        <v>0.05</v>
      </c>
      <c r="I233" t="s">
        <v>21</v>
      </c>
      <c r="J233">
        <v>731.04399999999998</v>
      </c>
      <c r="K233" t="s">
        <v>27</v>
      </c>
      <c r="L233" t="s">
        <v>30</v>
      </c>
      <c r="M233">
        <v>0</v>
      </c>
      <c r="N233" t="s">
        <v>306</v>
      </c>
      <c r="O233" t="s">
        <v>1806</v>
      </c>
      <c r="P233">
        <v>34.07</v>
      </c>
      <c r="Q233">
        <f t="shared" si="3"/>
        <v>91.380499999999998</v>
      </c>
      <c r="R233">
        <v>696.97399999999993</v>
      </c>
      <c r="S233" s="2">
        <v>45748</v>
      </c>
      <c r="T233" s="2">
        <v>45751</v>
      </c>
      <c r="U233" t="s">
        <v>37</v>
      </c>
      <c r="V233">
        <v>1</v>
      </c>
      <c r="W233">
        <v>4</v>
      </c>
      <c r="X233" t="s">
        <v>45</v>
      </c>
      <c r="Y233">
        <v>2025</v>
      </c>
      <c r="Z233">
        <v>2</v>
      </c>
      <c r="AA233">
        <v>14</v>
      </c>
    </row>
    <row r="234" spans="1:27" x14ac:dyDescent="0.3">
      <c r="A234" s="2">
        <v>45161</v>
      </c>
      <c r="B234" t="s">
        <v>4</v>
      </c>
      <c r="C234" t="s">
        <v>11</v>
      </c>
      <c r="D234">
        <v>14</v>
      </c>
      <c r="E234">
        <v>471.17</v>
      </c>
      <c r="F234" t="s">
        <v>13</v>
      </c>
      <c r="G234" t="s">
        <v>16</v>
      </c>
      <c r="H234">
        <v>0.05</v>
      </c>
      <c r="I234" t="s">
        <v>21</v>
      </c>
      <c r="J234">
        <v>6266.5609999999997</v>
      </c>
      <c r="K234" t="s">
        <v>25</v>
      </c>
      <c r="L234" t="s">
        <v>29</v>
      </c>
      <c r="M234">
        <v>0</v>
      </c>
      <c r="N234" t="s">
        <v>307</v>
      </c>
      <c r="O234" t="s">
        <v>1807</v>
      </c>
      <c r="P234">
        <v>26.38</v>
      </c>
      <c r="Q234">
        <f t="shared" si="3"/>
        <v>447.61149999999998</v>
      </c>
      <c r="R234">
        <v>6240.1809999999996</v>
      </c>
      <c r="S234" s="2">
        <v>45161</v>
      </c>
      <c r="T234" s="2">
        <v>45164</v>
      </c>
      <c r="U234" t="s">
        <v>37</v>
      </c>
      <c r="V234">
        <v>23</v>
      </c>
      <c r="W234">
        <v>8</v>
      </c>
      <c r="X234" t="s">
        <v>48</v>
      </c>
      <c r="Y234">
        <v>2023</v>
      </c>
      <c r="Z234">
        <v>3</v>
      </c>
      <c r="AA234">
        <v>34</v>
      </c>
    </row>
    <row r="235" spans="1:27" x14ac:dyDescent="0.3">
      <c r="A235" s="2">
        <v>45518</v>
      </c>
      <c r="B235" t="s">
        <v>1</v>
      </c>
      <c r="C235" t="s">
        <v>6</v>
      </c>
      <c r="D235">
        <v>20</v>
      </c>
      <c r="E235">
        <v>14.33</v>
      </c>
      <c r="F235" t="s">
        <v>15</v>
      </c>
      <c r="G235" t="s">
        <v>16</v>
      </c>
      <c r="H235">
        <v>0.1</v>
      </c>
      <c r="I235" t="s">
        <v>21</v>
      </c>
      <c r="J235">
        <v>257.94000000000011</v>
      </c>
      <c r="K235" t="s">
        <v>27</v>
      </c>
      <c r="L235" t="s">
        <v>32</v>
      </c>
      <c r="M235">
        <v>0</v>
      </c>
      <c r="N235" t="s">
        <v>308</v>
      </c>
      <c r="O235" t="s">
        <v>1808</v>
      </c>
      <c r="P235">
        <v>6.22</v>
      </c>
      <c r="Q235">
        <f t="shared" si="3"/>
        <v>12.897000000000006</v>
      </c>
      <c r="R235">
        <v>251.72000000000011</v>
      </c>
      <c r="S235" s="2">
        <v>45518</v>
      </c>
      <c r="T235" s="2">
        <v>45525</v>
      </c>
      <c r="U235" t="s">
        <v>34</v>
      </c>
      <c r="V235">
        <v>14</v>
      </c>
      <c r="W235">
        <v>8</v>
      </c>
      <c r="X235" t="s">
        <v>48</v>
      </c>
      <c r="Y235">
        <v>2024</v>
      </c>
      <c r="Z235">
        <v>3</v>
      </c>
      <c r="AA235">
        <v>33</v>
      </c>
    </row>
    <row r="236" spans="1:27" x14ac:dyDescent="0.3">
      <c r="A236" s="2">
        <v>45702</v>
      </c>
      <c r="B236" t="s">
        <v>3</v>
      </c>
      <c r="C236" t="s">
        <v>10</v>
      </c>
      <c r="D236">
        <v>18</v>
      </c>
      <c r="E236">
        <v>499.61</v>
      </c>
      <c r="F236" t="s">
        <v>12</v>
      </c>
      <c r="G236" t="s">
        <v>17</v>
      </c>
      <c r="H236">
        <v>0.15</v>
      </c>
      <c r="I236" t="s">
        <v>19</v>
      </c>
      <c r="J236">
        <v>7644.0329999999994</v>
      </c>
      <c r="K236" t="s">
        <v>27</v>
      </c>
      <c r="L236" t="s">
        <v>32</v>
      </c>
      <c r="M236">
        <v>0</v>
      </c>
      <c r="N236" t="s">
        <v>309</v>
      </c>
      <c r="O236" t="s">
        <v>1809</v>
      </c>
      <c r="P236">
        <v>9.64</v>
      </c>
      <c r="Q236">
        <f t="shared" si="3"/>
        <v>424.66849999999999</v>
      </c>
      <c r="R236">
        <v>7634.3929999999991</v>
      </c>
      <c r="S236" s="2">
        <v>45702</v>
      </c>
      <c r="T236" s="2">
        <v>45707</v>
      </c>
      <c r="U236" t="s">
        <v>36</v>
      </c>
      <c r="V236">
        <v>14</v>
      </c>
      <c r="W236">
        <v>2</v>
      </c>
      <c r="X236" t="s">
        <v>38</v>
      </c>
      <c r="Y236">
        <v>2025</v>
      </c>
      <c r="Z236">
        <v>1</v>
      </c>
      <c r="AA236">
        <v>7</v>
      </c>
    </row>
    <row r="237" spans="1:27" x14ac:dyDescent="0.3">
      <c r="A237" s="2">
        <v>45241</v>
      </c>
      <c r="B237" t="s">
        <v>4</v>
      </c>
      <c r="C237" t="s">
        <v>9</v>
      </c>
      <c r="D237">
        <v>14</v>
      </c>
      <c r="E237">
        <v>16.329999999999998</v>
      </c>
      <c r="F237" t="s">
        <v>12</v>
      </c>
      <c r="G237" t="s">
        <v>16</v>
      </c>
      <c r="H237">
        <v>0.1</v>
      </c>
      <c r="I237" t="s">
        <v>22</v>
      </c>
      <c r="J237">
        <v>205.75800000000001</v>
      </c>
      <c r="K237" t="s">
        <v>27</v>
      </c>
      <c r="L237" t="s">
        <v>31</v>
      </c>
      <c r="M237">
        <v>0</v>
      </c>
      <c r="N237" t="s">
        <v>310</v>
      </c>
      <c r="O237" t="s">
        <v>1810</v>
      </c>
      <c r="P237">
        <v>22.72</v>
      </c>
      <c r="Q237">
        <f t="shared" si="3"/>
        <v>14.697000000000001</v>
      </c>
      <c r="R237">
        <v>183.03800000000001</v>
      </c>
      <c r="S237" s="2">
        <v>45241</v>
      </c>
      <c r="T237" s="2">
        <v>45246</v>
      </c>
      <c r="U237" t="s">
        <v>37</v>
      </c>
      <c r="V237">
        <v>11</v>
      </c>
      <c r="W237">
        <v>11</v>
      </c>
      <c r="X237" t="s">
        <v>47</v>
      </c>
      <c r="Y237">
        <v>2023</v>
      </c>
      <c r="Z237">
        <v>4</v>
      </c>
      <c r="AA237">
        <v>45</v>
      </c>
    </row>
    <row r="238" spans="1:27" x14ac:dyDescent="0.3">
      <c r="A238" s="2">
        <v>45383</v>
      </c>
      <c r="B238" t="s">
        <v>3</v>
      </c>
      <c r="C238" t="s">
        <v>7</v>
      </c>
      <c r="D238">
        <v>17</v>
      </c>
      <c r="E238">
        <v>480.62</v>
      </c>
      <c r="F238" t="s">
        <v>14</v>
      </c>
      <c r="G238" t="s">
        <v>16</v>
      </c>
      <c r="H238">
        <v>0.15</v>
      </c>
      <c r="I238" t="s">
        <v>21</v>
      </c>
      <c r="J238">
        <v>6944.9589999999998</v>
      </c>
      <c r="K238" t="s">
        <v>24</v>
      </c>
      <c r="L238" t="s">
        <v>29</v>
      </c>
      <c r="M238">
        <v>0</v>
      </c>
      <c r="N238" t="s">
        <v>311</v>
      </c>
      <c r="O238" t="s">
        <v>1811</v>
      </c>
      <c r="P238">
        <v>37.090000000000003</v>
      </c>
      <c r="Q238">
        <f t="shared" si="3"/>
        <v>408.52699999999999</v>
      </c>
      <c r="R238">
        <v>6907.8689999999997</v>
      </c>
      <c r="S238" s="2">
        <v>45383</v>
      </c>
      <c r="T238" s="2">
        <v>45391</v>
      </c>
      <c r="U238" t="s">
        <v>36</v>
      </c>
      <c r="V238">
        <v>1</v>
      </c>
      <c r="W238">
        <v>4</v>
      </c>
      <c r="X238" t="s">
        <v>45</v>
      </c>
      <c r="Y238">
        <v>2024</v>
      </c>
      <c r="Z238">
        <v>2</v>
      </c>
      <c r="AA238">
        <v>14</v>
      </c>
    </row>
    <row r="239" spans="1:27" x14ac:dyDescent="0.3">
      <c r="A239" s="2">
        <v>45456</v>
      </c>
      <c r="B239" t="s">
        <v>1</v>
      </c>
      <c r="C239" t="s">
        <v>8</v>
      </c>
      <c r="D239">
        <v>5</v>
      </c>
      <c r="E239">
        <v>555.84</v>
      </c>
      <c r="F239" t="s">
        <v>14</v>
      </c>
      <c r="G239" t="s">
        <v>17</v>
      </c>
      <c r="H239">
        <v>0.05</v>
      </c>
      <c r="I239" t="s">
        <v>22</v>
      </c>
      <c r="J239">
        <v>2640.24</v>
      </c>
      <c r="K239" t="s">
        <v>26</v>
      </c>
      <c r="L239" t="s">
        <v>32</v>
      </c>
      <c r="M239">
        <v>0</v>
      </c>
      <c r="N239" t="s">
        <v>312</v>
      </c>
      <c r="O239" t="s">
        <v>1812</v>
      </c>
      <c r="P239">
        <v>29.4</v>
      </c>
      <c r="Q239">
        <f t="shared" si="3"/>
        <v>528.048</v>
      </c>
      <c r="R239">
        <v>2610.8399999999997</v>
      </c>
      <c r="S239" s="2">
        <v>45456</v>
      </c>
      <c r="T239" s="2">
        <v>45463</v>
      </c>
      <c r="U239" t="s">
        <v>34</v>
      </c>
      <c r="V239">
        <v>13</v>
      </c>
      <c r="W239">
        <v>6</v>
      </c>
      <c r="X239" t="s">
        <v>41</v>
      </c>
      <c r="Y239">
        <v>2024</v>
      </c>
      <c r="Z239">
        <v>2</v>
      </c>
      <c r="AA239">
        <v>24</v>
      </c>
    </row>
    <row r="240" spans="1:27" x14ac:dyDescent="0.3">
      <c r="A240" s="2">
        <v>45258</v>
      </c>
      <c r="B240" t="s">
        <v>2</v>
      </c>
      <c r="C240" t="s">
        <v>8</v>
      </c>
      <c r="D240">
        <v>18</v>
      </c>
      <c r="E240">
        <v>174.03</v>
      </c>
      <c r="F240" t="s">
        <v>12</v>
      </c>
      <c r="G240" t="s">
        <v>16</v>
      </c>
      <c r="H240">
        <v>0.1</v>
      </c>
      <c r="I240" t="s">
        <v>20</v>
      </c>
      <c r="J240">
        <v>2819.2860000000001</v>
      </c>
      <c r="K240" t="s">
        <v>24</v>
      </c>
      <c r="L240" t="s">
        <v>30</v>
      </c>
      <c r="M240">
        <v>0</v>
      </c>
      <c r="N240" t="s">
        <v>313</v>
      </c>
      <c r="O240" t="s">
        <v>1813</v>
      </c>
      <c r="P240">
        <v>32.19</v>
      </c>
      <c r="Q240">
        <f t="shared" si="3"/>
        <v>156.62700000000001</v>
      </c>
      <c r="R240">
        <v>2787.096</v>
      </c>
      <c r="S240" s="2">
        <v>45258</v>
      </c>
      <c r="T240" s="2">
        <v>45263</v>
      </c>
      <c r="U240" t="s">
        <v>35</v>
      </c>
      <c r="V240">
        <v>28</v>
      </c>
      <c r="W240">
        <v>11</v>
      </c>
      <c r="X240" t="s">
        <v>47</v>
      </c>
      <c r="Y240">
        <v>2023</v>
      </c>
      <c r="Z240">
        <v>4</v>
      </c>
      <c r="AA240">
        <v>48</v>
      </c>
    </row>
    <row r="241" spans="1:27" x14ac:dyDescent="0.3">
      <c r="A241" s="2">
        <v>45607</v>
      </c>
      <c r="B241" t="s">
        <v>3</v>
      </c>
      <c r="C241" t="s">
        <v>7</v>
      </c>
      <c r="D241">
        <v>11</v>
      </c>
      <c r="E241">
        <v>286.05</v>
      </c>
      <c r="F241" t="s">
        <v>13</v>
      </c>
      <c r="G241" t="s">
        <v>17</v>
      </c>
      <c r="H241">
        <v>0.1</v>
      </c>
      <c r="I241" t="s">
        <v>23</v>
      </c>
      <c r="J241">
        <v>2831.895</v>
      </c>
      <c r="K241" t="s">
        <v>27</v>
      </c>
      <c r="L241" t="s">
        <v>32</v>
      </c>
      <c r="M241">
        <v>1</v>
      </c>
      <c r="N241" t="s">
        <v>314</v>
      </c>
      <c r="O241" t="s">
        <v>1814</v>
      </c>
      <c r="P241">
        <v>8.59</v>
      </c>
      <c r="Q241">
        <f t="shared" si="3"/>
        <v>257.44499999999999</v>
      </c>
      <c r="R241">
        <v>2823.3049999999998</v>
      </c>
      <c r="S241" s="2">
        <v>45607</v>
      </c>
      <c r="T241" s="2">
        <v>45612</v>
      </c>
      <c r="U241" t="s">
        <v>36</v>
      </c>
      <c r="V241">
        <v>11</v>
      </c>
      <c r="W241">
        <v>11</v>
      </c>
      <c r="X241" t="s">
        <v>47</v>
      </c>
      <c r="Y241">
        <v>2024</v>
      </c>
      <c r="Z241">
        <v>4</v>
      </c>
      <c r="AA241">
        <v>46</v>
      </c>
    </row>
    <row r="242" spans="1:27" x14ac:dyDescent="0.3">
      <c r="A242" s="2">
        <v>45600</v>
      </c>
      <c r="B242" t="s">
        <v>2</v>
      </c>
      <c r="C242" t="s">
        <v>7</v>
      </c>
      <c r="D242">
        <v>16</v>
      </c>
      <c r="E242">
        <v>40.729999999999997</v>
      </c>
      <c r="F242" t="s">
        <v>15</v>
      </c>
      <c r="G242" t="s">
        <v>17</v>
      </c>
      <c r="H242">
        <v>0</v>
      </c>
      <c r="I242" t="s">
        <v>19</v>
      </c>
      <c r="J242">
        <v>651.67999999999995</v>
      </c>
      <c r="K242" t="s">
        <v>26</v>
      </c>
      <c r="L242" t="s">
        <v>32</v>
      </c>
      <c r="M242">
        <v>0</v>
      </c>
      <c r="N242" t="s">
        <v>315</v>
      </c>
      <c r="O242" t="s">
        <v>1815</v>
      </c>
      <c r="P242">
        <v>24.72</v>
      </c>
      <c r="Q242">
        <f t="shared" si="3"/>
        <v>40.729999999999997</v>
      </c>
      <c r="R242">
        <v>626.95999999999992</v>
      </c>
      <c r="S242" s="2">
        <v>45600</v>
      </c>
      <c r="T242" s="2">
        <v>45604</v>
      </c>
      <c r="U242" t="s">
        <v>35</v>
      </c>
      <c r="V242">
        <v>4</v>
      </c>
      <c r="W242">
        <v>11</v>
      </c>
      <c r="X242" t="s">
        <v>47</v>
      </c>
      <c r="Y242">
        <v>2024</v>
      </c>
      <c r="Z242">
        <v>4</v>
      </c>
      <c r="AA242">
        <v>45</v>
      </c>
    </row>
    <row r="243" spans="1:27" x14ac:dyDescent="0.3">
      <c r="A243" s="2">
        <v>44927</v>
      </c>
      <c r="B243" t="s">
        <v>3</v>
      </c>
      <c r="C243" t="s">
        <v>8</v>
      </c>
      <c r="D243">
        <v>11</v>
      </c>
      <c r="E243">
        <v>468.22</v>
      </c>
      <c r="F243" t="s">
        <v>15</v>
      </c>
      <c r="G243" t="s">
        <v>17</v>
      </c>
      <c r="H243">
        <v>0</v>
      </c>
      <c r="I243" t="s">
        <v>21</v>
      </c>
      <c r="J243">
        <v>5150.42</v>
      </c>
      <c r="K243" t="s">
        <v>27</v>
      </c>
      <c r="L243" t="s">
        <v>31</v>
      </c>
      <c r="M243">
        <v>0</v>
      </c>
      <c r="N243" t="s">
        <v>316</v>
      </c>
      <c r="O243" t="s">
        <v>1816</v>
      </c>
      <c r="P243">
        <v>19.920000000000002</v>
      </c>
      <c r="Q243">
        <f t="shared" si="3"/>
        <v>468.22</v>
      </c>
      <c r="R243">
        <v>5130.5</v>
      </c>
      <c r="S243" s="2">
        <v>44927</v>
      </c>
      <c r="T243" s="2">
        <v>44937</v>
      </c>
      <c r="U243" t="s">
        <v>36</v>
      </c>
      <c r="V243">
        <v>1</v>
      </c>
      <c r="W243">
        <v>1</v>
      </c>
      <c r="X243" t="s">
        <v>42</v>
      </c>
      <c r="Y243">
        <v>2023</v>
      </c>
      <c r="Z243">
        <v>1</v>
      </c>
      <c r="AA243">
        <v>52</v>
      </c>
    </row>
    <row r="244" spans="1:27" x14ac:dyDescent="0.3">
      <c r="A244" s="2">
        <v>45675</v>
      </c>
      <c r="B244" t="s">
        <v>2</v>
      </c>
      <c r="C244" t="s">
        <v>10</v>
      </c>
      <c r="D244">
        <v>1</v>
      </c>
      <c r="E244">
        <v>411.54</v>
      </c>
      <c r="F244" t="s">
        <v>14</v>
      </c>
      <c r="G244" t="s">
        <v>17</v>
      </c>
      <c r="H244">
        <v>0.1</v>
      </c>
      <c r="I244" t="s">
        <v>18</v>
      </c>
      <c r="J244">
        <v>370.38600000000002</v>
      </c>
      <c r="K244" t="s">
        <v>25</v>
      </c>
      <c r="L244" t="s">
        <v>31</v>
      </c>
      <c r="M244">
        <v>0</v>
      </c>
      <c r="N244" t="s">
        <v>317</v>
      </c>
      <c r="O244" t="s">
        <v>1817</v>
      </c>
      <c r="P244">
        <v>7.46</v>
      </c>
      <c r="Q244">
        <f t="shared" si="3"/>
        <v>370.38600000000002</v>
      </c>
      <c r="R244">
        <v>362.92600000000004</v>
      </c>
      <c r="S244" s="2">
        <v>45675</v>
      </c>
      <c r="T244" s="2">
        <v>45677</v>
      </c>
      <c r="U244" t="s">
        <v>35</v>
      </c>
      <c r="V244">
        <v>18</v>
      </c>
      <c r="W244">
        <v>1</v>
      </c>
      <c r="X244" t="s">
        <v>42</v>
      </c>
      <c r="Y244">
        <v>2025</v>
      </c>
      <c r="Z244">
        <v>1</v>
      </c>
      <c r="AA244">
        <v>3</v>
      </c>
    </row>
    <row r="245" spans="1:27" x14ac:dyDescent="0.3">
      <c r="A245" s="2">
        <v>45048</v>
      </c>
      <c r="B245" t="s">
        <v>3</v>
      </c>
      <c r="C245" t="s">
        <v>11</v>
      </c>
      <c r="D245">
        <v>13</v>
      </c>
      <c r="E245">
        <v>134.19999999999999</v>
      </c>
      <c r="F245" t="s">
        <v>13</v>
      </c>
      <c r="G245" t="s">
        <v>16</v>
      </c>
      <c r="H245">
        <v>0.05</v>
      </c>
      <c r="I245" t="s">
        <v>18</v>
      </c>
      <c r="J245">
        <v>1657.37</v>
      </c>
      <c r="K245" t="s">
        <v>26</v>
      </c>
      <c r="L245" t="s">
        <v>31</v>
      </c>
      <c r="M245">
        <v>0</v>
      </c>
      <c r="N245" t="s">
        <v>318</v>
      </c>
      <c r="O245" t="s">
        <v>1818</v>
      </c>
      <c r="P245">
        <v>9.6</v>
      </c>
      <c r="Q245">
        <f t="shared" si="3"/>
        <v>127.49</v>
      </c>
      <c r="R245">
        <v>1647.77</v>
      </c>
      <c r="S245" s="2">
        <v>45048</v>
      </c>
      <c r="T245" s="2">
        <v>45056</v>
      </c>
      <c r="U245" t="s">
        <v>36</v>
      </c>
      <c r="V245">
        <v>2</v>
      </c>
      <c r="W245">
        <v>5</v>
      </c>
      <c r="X245" t="s">
        <v>40</v>
      </c>
      <c r="Y245">
        <v>2023</v>
      </c>
      <c r="Z245">
        <v>2</v>
      </c>
      <c r="AA245">
        <v>18</v>
      </c>
    </row>
    <row r="246" spans="1:27" x14ac:dyDescent="0.3">
      <c r="A246" s="2">
        <v>45804</v>
      </c>
      <c r="B246" t="s">
        <v>4</v>
      </c>
      <c r="C246" t="s">
        <v>11</v>
      </c>
      <c r="D246">
        <v>10</v>
      </c>
      <c r="E246">
        <v>351.23</v>
      </c>
      <c r="F246" t="s">
        <v>12</v>
      </c>
      <c r="G246" t="s">
        <v>17</v>
      </c>
      <c r="H246">
        <v>0.15</v>
      </c>
      <c r="I246" t="s">
        <v>20</v>
      </c>
      <c r="J246">
        <v>2985.4549999999999</v>
      </c>
      <c r="K246" t="s">
        <v>24</v>
      </c>
      <c r="L246" t="s">
        <v>32</v>
      </c>
      <c r="M246">
        <v>0</v>
      </c>
      <c r="N246" t="s">
        <v>319</v>
      </c>
      <c r="O246" t="s">
        <v>1819</v>
      </c>
      <c r="P246">
        <v>42.74</v>
      </c>
      <c r="Q246">
        <f t="shared" si="3"/>
        <v>298.5455</v>
      </c>
      <c r="R246">
        <v>2942.7150000000001</v>
      </c>
      <c r="S246" s="2">
        <v>45804</v>
      </c>
      <c r="T246" s="2">
        <v>45810</v>
      </c>
      <c r="U246" t="s">
        <v>37</v>
      </c>
      <c r="V246">
        <v>27</v>
      </c>
      <c r="W246">
        <v>5</v>
      </c>
      <c r="X246" t="s">
        <v>40</v>
      </c>
      <c r="Y246">
        <v>2025</v>
      </c>
      <c r="Z246">
        <v>2</v>
      </c>
      <c r="AA246">
        <v>22</v>
      </c>
    </row>
    <row r="247" spans="1:27" x14ac:dyDescent="0.3">
      <c r="A247" s="2">
        <v>45653</v>
      </c>
      <c r="B247" t="s">
        <v>1</v>
      </c>
      <c r="C247" t="s">
        <v>9</v>
      </c>
      <c r="D247">
        <v>14</v>
      </c>
      <c r="E247">
        <v>551.14</v>
      </c>
      <c r="F247" t="s">
        <v>14</v>
      </c>
      <c r="G247" t="s">
        <v>16</v>
      </c>
      <c r="H247">
        <v>0.1</v>
      </c>
      <c r="I247" t="s">
        <v>22</v>
      </c>
      <c r="J247">
        <v>6944.3639999999996</v>
      </c>
      <c r="K247" t="s">
        <v>24</v>
      </c>
      <c r="L247" t="s">
        <v>29</v>
      </c>
      <c r="M247">
        <v>1</v>
      </c>
      <c r="N247" t="s">
        <v>320</v>
      </c>
      <c r="O247" t="s">
        <v>1820</v>
      </c>
      <c r="P247">
        <v>12.35</v>
      </c>
      <c r="Q247">
        <f t="shared" si="3"/>
        <v>496.02599999999995</v>
      </c>
      <c r="R247">
        <v>6932.0139999999992</v>
      </c>
      <c r="S247" s="2">
        <v>45653</v>
      </c>
      <c r="T247" s="2">
        <v>45662</v>
      </c>
      <c r="U247" t="s">
        <v>34</v>
      </c>
      <c r="V247">
        <v>27</v>
      </c>
      <c r="W247">
        <v>12</v>
      </c>
      <c r="X247" t="s">
        <v>39</v>
      </c>
      <c r="Y247">
        <v>2024</v>
      </c>
      <c r="Z247">
        <v>4</v>
      </c>
      <c r="AA247">
        <v>52</v>
      </c>
    </row>
    <row r="248" spans="1:27" x14ac:dyDescent="0.3">
      <c r="A248" s="2">
        <v>45734</v>
      </c>
      <c r="B248" t="s">
        <v>4</v>
      </c>
      <c r="C248" t="s">
        <v>8</v>
      </c>
      <c r="D248">
        <v>2</v>
      </c>
      <c r="E248">
        <v>131.13</v>
      </c>
      <c r="F248" t="s">
        <v>12</v>
      </c>
      <c r="G248" t="s">
        <v>17</v>
      </c>
      <c r="H248">
        <v>0.1</v>
      </c>
      <c r="I248" t="s">
        <v>18</v>
      </c>
      <c r="J248">
        <v>236.03399999999999</v>
      </c>
      <c r="K248" t="s">
        <v>27</v>
      </c>
      <c r="L248" t="s">
        <v>32</v>
      </c>
      <c r="M248">
        <v>0</v>
      </c>
      <c r="N248" t="s">
        <v>321</v>
      </c>
      <c r="O248" t="s">
        <v>1821</v>
      </c>
      <c r="P248">
        <v>14.74</v>
      </c>
      <c r="Q248">
        <f t="shared" si="3"/>
        <v>118.017</v>
      </c>
      <c r="R248">
        <v>221.29399999999998</v>
      </c>
      <c r="S248" s="2">
        <v>45734</v>
      </c>
      <c r="T248" s="2">
        <v>45740</v>
      </c>
      <c r="U248" t="s">
        <v>37</v>
      </c>
      <c r="V248">
        <v>18</v>
      </c>
      <c r="W248">
        <v>3</v>
      </c>
      <c r="X248" t="s">
        <v>44</v>
      </c>
      <c r="Y248">
        <v>2025</v>
      </c>
      <c r="Z248">
        <v>1</v>
      </c>
      <c r="AA248">
        <v>12</v>
      </c>
    </row>
    <row r="249" spans="1:27" x14ac:dyDescent="0.3">
      <c r="A249" s="2">
        <v>45375</v>
      </c>
      <c r="B249" t="s">
        <v>0</v>
      </c>
      <c r="C249" t="s">
        <v>5</v>
      </c>
      <c r="D249">
        <v>6</v>
      </c>
      <c r="E249">
        <v>595.11</v>
      </c>
      <c r="F249" t="s">
        <v>14</v>
      </c>
      <c r="G249" t="s">
        <v>16</v>
      </c>
      <c r="H249">
        <v>0</v>
      </c>
      <c r="I249" t="s">
        <v>22</v>
      </c>
      <c r="J249">
        <v>3570.66</v>
      </c>
      <c r="K249" t="s">
        <v>28</v>
      </c>
      <c r="L249" t="s">
        <v>30</v>
      </c>
      <c r="M249">
        <v>1</v>
      </c>
      <c r="N249" t="s">
        <v>322</v>
      </c>
      <c r="O249" t="s">
        <v>1822</v>
      </c>
      <c r="P249">
        <v>28.92</v>
      </c>
      <c r="Q249">
        <f t="shared" si="3"/>
        <v>595.11</v>
      </c>
      <c r="R249">
        <v>3541.74</v>
      </c>
      <c r="S249" s="2">
        <v>45375</v>
      </c>
      <c r="T249" s="2">
        <v>45382</v>
      </c>
      <c r="U249" t="s">
        <v>33</v>
      </c>
      <c r="V249">
        <v>24</v>
      </c>
      <c r="W249">
        <v>3</v>
      </c>
      <c r="X249" t="s">
        <v>44</v>
      </c>
      <c r="Y249">
        <v>2024</v>
      </c>
      <c r="Z249">
        <v>1</v>
      </c>
      <c r="AA249">
        <v>12</v>
      </c>
    </row>
    <row r="250" spans="1:27" x14ac:dyDescent="0.3">
      <c r="A250" s="2">
        <v>45652</v>
      </c>
      <c r="B250" t="s">
        <v>0</v>
      </c>
      <c r="C250" t="s">
        <v>5</v>
      </c>
      <c r="D250">
        <v>6</v>
      </c>
      <c r="E250">
        <v>516.66</v>
      </c>
      <c r="F250" t="s">
        <v>14</v>
      </c>
      <c r="G250" t="s">
        <v>16</v>
      </c>
      <c r="H250">
        <v>0.05</v>
      </c>
      <c r="I250" t="s">
        <v>23</v>
      </c>
      <c r="J250">
        <v>2944.962</v>
      </c>
      <c r="K250" t="s">
        <v>24</v>
      </c>
      <c r="L250" t="s">
        <v>32</v>
      </c>
      <c r="M250">
        <v>1</v>
      </c>
      <c r="N250" t="s">
        <v>323</v>
      </c>
      <c r="O250" t="s">
        <v>1823</v>
      </c>
      <c r="P250">
        <v>5.15</v>
      </c>
      <c r="Q250">
        <f t="shared" si="3"/>
        <v>490.827</v>
      </c>
      <c r="R250">
        <v>2939.8119999999999</v>
      </c>
      <c r="S250" s="2">
        <v>45652</v>
      </c>
      <c r="T250" s="2">
        <v>45660</v>
      </c>
      <c r="U250" t="s">
        <v>33</v>
      </c>
      <c r="V250">
        <v>26</v>
      </c>
      <c r="W250">
        <v>12</v>
      </c>
      <c r="X250" t="s">
        <v>39</v>
      </c>
      <c r="Y250">
        <v>2024</v>
      </c>
      <c r="Z250">
        <v>4</v>
      </c>
      <c r="AA250">
        <v>52</v>
      </c>
    </row>
    <row r="251" spans="1:27" x14ac:dyDescent="0.3">
      <c r="A251" s="2">
        <v>44937</v>
      </c>
      <c r="B251" t="s">
        <v>2</v>
      </c>
      <c r="C251" t="s">
        <v>7</v>
      </c>
      <c r="D251">
        <v>6</v>
      </c>
      <c r="E251">
        <v>202.57</v>
      </c>
      <c r="F251" t="s">
        <v>15</v>
      </c>
      <c r="G251" t="s">
        <v>17</v>
      </c>
      <c r="H251">
        <v>0.05</v>
      </c>
      <c r="I251" t="s">
        <v>18</v>
      </c>
      <c r="J251">
        <v>1154.6489999999999</v>
      </c>
      <c r="K251" t="s">
        <v>25</v>
      </c>
      <c r="L251" t="s">
        <v>29</v>
      </c>
      <c r="M251">
        <v>0</v>
      </c>
      <c r="N251" t="s">
        <v>324</v>
      </c>
      <c r="O251" t="s">
        <v>1824</v>
      </c>
      <c r="P251">
        <v>24.39</v>
      </c>
      <c r="Q251">
        <f t="shared" si="3"/>
        <v>192.44149999999999</v>
      </c>
      <c r="R251">
        <v>1130.2589999999998</v>
      </c>
      <c r="S251" s="2">
        <v>44937</v>
      </c>
      <c r="T251" s="2">
        <v>44940</v>
      </c>
      <c r="U251" t="s">
        <v>35</v>
      </c>
      <c r="V251">
        <v>11</v>
      </c>
      <c r="W251">
        <v>1</v>
      </c>
      <c r="X251" t="s">
        <v>42</v>
      </c>
      <c r="Y251">
        <v>2023</v>
      </c>
      <c r="Z251">
        <v>1</v>
      </c>
      <c r="AA251">
        <v>2</v>
      </c>
    </row>
    <row r="252" spans="1:27" x14ac:dyDescent="0.3">
      <c r="A252" s="2">
        <v>45809</v>
      </c>
      <c r="B252" t="s">
        <v>1</v>
      </c>
      <c r="C252" t="s">
        <v>5</v>
      </c>
      <c r="D252">
        <v>13</v>
      </c>
      <c r="E252">
        <v>306.16000000000003</v>
      </c>
      <c r="F252" t="s">
        <v>13</v>
      </c>
      <c r="G252" t="s">
        <v>16</v>
      </c>
      <c r="H252">
        <v>0.15</v>
      </c>
      <c r="I252" t="s">
        <v>20</v>
      </c>
      <c r="J252">
        <v>3383.0680000000002</v>
      </c>
      <c r="K252" t="s">
        <v>28</v>
      </c>
      <c r="L252" t="s">
        <v>30</v>
      </c>
      <c r="M252">
        <v>0</v>
      </c>
      <c r="N252" t="s">
        <v>325</v>
      </c>
      <c r="O252" t="s">
        <v>1825</v>
      </c>
      <c r="P252">
        <v>25.16</v>
      </c>
      <c r="Q252">
        <f t="shared" si="3"/>
        <v>260.23599999999999</v>
      </c>
      <c r="R252">
        <v>3357.9080000000004</v>
      </c>
      <c r="S252" s="2">
        <v>45809</v>
      </c>
      <c r="T252" s="2">
        <v>45818</v>
      </c>
      <c r="U252" t="s">
        <v>34</v>
      </c>
      <c r="V252">
        <v>1</v>
      </c>
      <c r="W252">
        <v>6</v>
      </c>
      <c r="X252" t="s">
        <v>41</v>
      </c>
      <c r="Y252">
        <v>2025</v>
      </c>
      <c r="Z252">
        <v>2</v>
      </c>
      <c r="AA252">
        <v>22</v>
      </c>
    </row>
    <row r="253" spans="1:27" x14ac:dyDescent="0.3">
      <c r="A253" s="2">
        <v>45561</v>
      </c>
      <c r="B253" t="s">
        <v>0</v>
      </c>
      <c r="C253" t="s">
        <v>7</v>
      </c>
      <c r="D253">
        <v>11</v>
      </c>
      <c r="E253">
        <v>472.74</v>
      </c>
      <c r="F253" t="s">
        <v>15</v>
      </c>
      <c r="G253" t="s">
        <v>17</v>
      </c>
      <c r="H253">
        <v>0.15</v>
      </c>
      <c r="I253" t="s">
        <v>21</v>
      </c>
      <c r="J253">
        <v>4420.1190000000006</v>
      </c>
      <c r="K253" t="s">
        <v>26</v>
      </c>
      <c r="L253" t="s">
        <v>32</v>
      </c>
      <c r="M253">
        <v>1</v>
      </c>
      <c r="N253" t="s">
        <v>326</v>
      </c>
      <c r="O253" t="s">
        <v>1826</v>
      </c>
      <c r="P253">
        <v>16.8</v>
      </c>
      <c r="Q253">
        <f t="shared" si="3"/>
        <v>401.82900000000006</v>
      </c>
      <c r="R253">
        <v>4403.3190000000004</v>
      </c>
      <c r="S253" s="2">
        <v>45561</v>
      </c>
      <c r="T253" s="2">
        <v>45566</v>
      </c>
      <c r="U253" t="s">
        <v>33</v>
      </c>
      <c r="V253">
        <v>26</v>
      </c>
      <c r="W253">
        <v>9</v>
      </c>
      <c r="X253" t="s">
        <v>49</v>
      </c>
      <c r="Y253">
        <v>2024</v>
      </c>
      <c r="Z253">
        <v>3</v>
      </c>
      <c r="AA253">
        <v>39</v>
      </c>
    </row>
    <row r="254" spans="1:27" x14ac:dyDescent="0.3">
      <c r="A254" s="2">
        <v>45514</v>
      </c>
      <c r="B254" t="s">
        <v>0</v>
      </c>
      <c r="C254" t="s">
        <v>6</v>
      </c>
      <c r="D254">
        <v>20</v>
      </c>
      <c r="E254">
        <v>337.37</v>
      </c>
      <c r="F254" t="s">
        <v>14</v>
      </c>
      <c r="G254" t="s">
        <v>17</v>
      </c>
      <c r="H254">
        <v>0.1</v>
      </c>
      <c r="I254" t="s">
        <v>22</v>
      </c>
      <c r="J254">
        <v>6072.66</v>
      </c>
      <c r="K254" t="s">
        <v>25</v>
      </c>
      <c r="L254" t="s">
        <v>32</v>
      </c>
      <c r="M254">
        <v>0</v>
      </c>
      <c r="N254" t="s">
        <v>327</v>
      </c>
      <c r="O254" t="s">
        <v>1827</v>
      </c>
      <c r="P254">
        <v>43.17</v>
      </c>
      <c r="Q254">
        <f t="shared" si="3"/>
        <v>303.63299999999998</v>
      </c>
      <c r="R254">
        <v>6029.49</v>
      </c>
      <c r="S254" s="2">
        <v>45514</v>
      </c>
      <c r="T254" s="2">
        <v>45521</v>
      </c>
      <c r="U254" t="s">
        <v>33</v>
      </c>
      <c r="V254">
        <v>10</v>
      </c>
      <c r="W254">
        <v>8</v>
      </c>
      <c r="X254" t="s">
        <v>48</v>
      </c>
      <c r="Y254">
        <v>2024</v>
      </c>
      <c r="Z254">
        <v>3</v>
      </c>
      <c r="AA254">
        <v>32</v>
      </c>
    </row>
    <row r="255" spans="1:27" x14ac:dyDescent="0.3">
      <c r="A255" s="2">
        <v>45718</v>
      </c>
      <c r="B255" t="s">
        <v>1</v>
      </c>
      <c r="C255" t="s">
        <v>6</v>
      </c>
      <c r="D255">
        <v>12</v>
      </c>
      <c r="E255">
        <v>34.24</v>
      </c>
      <c r="F255" t="s">
        <v>14</v>
      </c>
      <c r="G255" t="s">
        <v>17</v>
      </c>
      <c r="H255">
        <v>0.1</v>
      </c>
      <c r="I255" t="s">
        <v>20</v>
      </c>
      <c r="J255">
        <v>369.79199999999997</v>
      </c>
      <c r="K255" t="s">
        <v>28</v>
      </c>
      <c r="L255" t="s">
        <v>32</v>
      </c>
      <c r="M255">
        <v>0</v>
      </c>
      <c r="N255" t="s">
        <v>328</v>
      </c>
      <c r="O255" t="s">
        <v>1828</v>
      </c>
      <c r="P255">
        <v>17.64</v>
      </c>
      <c r="Q255">
        <f t="shared" si="3"/>
        <v>30.815999999999999</v>
      </c>
      <c r="R255">
        <v>352.15199999999999</v>
      </c>
      <c r="S255" s="2">
        <v>45718</v>
      </c>
      <c r="T255" s="2">
        <v>45726</v>
      </c>
      <c r="U255" t="s">
        <v>34</v>
      </c>
      <c r="V255">
        <v>2</v>
      </c>
      <c r="W255">
        <v>3</v>
      </c>
      <c r="X255" t="s">
        <v>44</v>
      </c>
      <c r="Y255">
        <v>2025</v>
      </c>
      <c r="Z255">
        <v>1</v>
      </c>
      <c r="AA255">
        <v>9</v>
      </c>
    </row>
    <row r="256" spans="1:27" x14ac:dyDescent="0.3">
      <c r="A256" s="2">
        <v>44978</v>
      </c>
      <c r="B256" t="s">
        <v>0</v>
      </c>
      <c r="C256" t="s">
        <v>10</v>
      </c>
      <c r="D256">
        <v>4</v>
      </c>
      <c r="E256">
        <v>477.05</v>
      </c>
      <c r="F256" t="s">
        <v>12</v>
      </c>
      <c r="G256" t="s">
        <v>16</v>
      </c>
      <c r="H256">
        <v>0</v>
      </c>
      <c r="I256" t="s">
        <v>21</v>
      </c>
      <c r="J256">
        <v>1908.2</v>
      </c>
      <c r="K256" t="s">
        <v>26</v>
      </c>
      <c r="L256" t="s">
        <v>31</v>
      </c>
      <c r="M256">
        <v>0</v>
      </c>
      <c r="N256" t="s">
        <v>329</v>
      </c>
      <c r="O256" t="s">
        <v>1829</v>
      </c>
      <c r="P256">
        <v>45.54</v>
      </c>
      <c r="Q256">
        <f t="shared" si="3"/>
        <v>477.05</v>
      </c>
      <c r="R256">
        <v>1862.66</v>
      </c>
      <c r="S256" s="2">
        <v>44978</v>
      </c>
      <c r="T256" s="2">
        <v>44987</v>
      </c>
      <c r="U256" t="s">
        <v>33</v>
      </c>
      <c r="V256">
        <v>21</v>
      </c>
      <c r="W256">
        <v>2</v>
      </c>
      <c r="X256" t="s">
        <v>38</v>
      </c>
      <c r="Y256">
        <v>2023</v>
      </c>
      <c r="Z256">
        <v>1</v>
      </c>
      <c r="AA256">
        <v>8</v>
      </c>
    </row>
    <row r="257" spans="1:27" x14ac:dyDescent="0.3">
      <c r="A257" s="2">
        <v>45616</v>
      </c>
      <c r="B257" t="s">
        <v>0</v>
      </c>
      <c r="C257" t="s">
        <v>5</v>
      </c>
      <c r="D257">
        <v>6</v>
      </c>
      <c r="E257">
        <v>562.92999999999995</v>
      </c>
      <c r="F257" t="s">
        <v>14</v>
      </c>
      <c r="G257" t="s">
        <v>17</v>
      </c>
      <c r="H257">
        <v>0</v>
      </c>
      <c r="I257" t="s">
        <v>19</v>
      </c>
      <c r="J257">
        <v>3377.58</v>
      </c>
      <c r="K257" t="s">
        <v>26</v>
      </c>
      <c r="L257" t="s">
        <v>31</v>
      </c>
      <c r="M257">
        <v>0</v>
      </c>
      <c r="N257" t="s">
        <v>330</v>
      </c>
      <c r="O257" t="s">
        <v>1830</v>
      </c>
      <c r="P257">
        <v>43.73</v>
      </c>
      <c r="Q257">
        <f t="shared" si="3"/>
        <v>562.92999999999995</v>
      </c>
      <c r="R257">
        <v>3333.85</v>
      </c>
      <c r="S257" s="2">
        <v>45616</v>
      </c>
      <c r="T257" s="2">
        <v>45623</v>
      </c>
      <c r="U257" t="s">
        <v>33</v>
      </c>
      <c r="V257">
        <v>20</v>
      </c>
      <c r="W257">
        <v>11</v>
      </c>
      <c r="X257" t="s">
        <v>47</v>
      </c>
      <c r="Y257">
        <v>2024</v>
      </c>
      <c r="Z257">
        <v>4</v>
      </c>
      <c r="AA257">
        <v>47</v>
      </c>
    </row>
    <row r="258" spans="1:27" x14ac:dyDescent="0.3">
      <c r="A258" s="2">
        <v>45164</v>
      </c>
      <c r="B258" t="s">
        <v>0</v>
      </c>
      <c r="C258" t="s">
        <v>8</v>
      </c>
      <c r="D258">
        <v>20</v>
      </c>
      <c r="E258">
        <v>18.29</v>
      </c>
      <c r="F258" t="s">
        <v>12</v>
      </c>
      <c r="G258" t="s">
        <v>17</v>
      </c>
      <c r="H258">
        <v>0</v>
      </c>
      <c r="I258" t="s">
        <v>22</v>
      </c>
      <c r="J258">
        <v>365.8</v>
      </c>
      <c r="K258" t="s">
        <v>27</v>
      </c>
      <c r="L258" t="s">
        <v>29</v>
      </c>
      <c r="M258">
        <v>1</v>
      </c>
      <c r="N258" t="s">
        <v>331</v>
      </c>
      <c r="O258" t="s">
        <v>1831</v>
      </c>
      <c r="P258">
        <v>35.369999999999997</v>
      </c>
      <c r="Q258">
        <f t="shared" si="3"/>
        <v>18.29</v>
      </c>
      <c r="R258">
        <v>330.43</v>
      </c>
      <c r="S258" s="2">
        <v>45164</v>
      </c>
      <c r="T258" s="2">
        <v>45167</v>
      </c>
      <c r="U258" t="s">
        <v>33</v>
      </c>
      <c r="V258">
        <v>26</v>
      </c>
      <c r="W258">
        <v>8</v>
      </c>
      <c r="X258" t="s">
        <v>48</v>
      </c>
      <c r="Y258">
        <v>2023</v>
      </c>
      <c r="Z258">
        <v>3</v>
      </c>
      <c r="AA258">
        <v>34</v>
      </c>
    </row>
    <row r="259" spans="1:27" x14ac:dyDescent="0.3">
      <c r="A259" s="2">
        <v>45292</v>
      </c>
      <c r="B259" t="s">
        <v>1</v>
      </c>
      <c r="C259" t="s">
        <v>9</v>
      </c>
      <c r="D259">
        <v>7</v>
      </c>
      <c r="E259">
        <v>208.86</v>
      </c>
      <c r="F259" t="s">
        <v>12</v>
      </c>
      <c r="G259" t="s">
        <v>17</v>
      </c>
      <c r="H259">
        <v>0</v>
      </c>
      <c r="I259" t="s">
        <v>20</v>
      </c>
      <c r="J259">
        <v>1462.02</v>
      </c>
      <c r="K259" t="s">
        <v>28</v>
      </c>
      <c r="L259" t="s">
        <v>29</v>
      </c>
      <c r="M259">
        <v>0</v>
      </c>
      <c r="N259" t="s">
        <v>332</v>
      </c>
      <c r="O259" t="s">
        <v>1832</v>
      </c>
      <c r="P259">
        <v>20.64</v>
      </c>
      <c r="Q259">
        <f t="shared" ref="Q259:Q322" si="4">J259/D259</f>
        <v>208.85999999999999</v>
      </c>
      <c r="R259">
        <v>1441.3799999999999</v>
      </c>
      <c r="S259" s="2">
        <v>45292</v>
      </c>
      <c r="T259" s="2">
        <v>45299</v>
      </c>
      <c r="U259" t="s">
        <v>34</v>
      </c>
      <c r="V259">
        <v>1</v>
      </c>
      <c r="W259">
        <v>1</v>
      </c>
      <c r="X259" t="s">
        <v>42</v>
      </c>
      <c r="Y259">
        <v>2024</v>
      </c>
      <c r="Z259">
        <v>1</v>
      </c>
      <c r="AA259">
        <v>1</v>
      </c>
    </row>
    <row r="260" spans="1:27" x14ac:dyDescent="0.3">
      <c r="A260" s="2">
        <v>45620</v>
      </c>
      <c r="B260" t="s">
        <v>1</v>
      </c>
      <c r="C260" t="s">
        <v>11</v>
      </c>
      <c r="D260">
        <v>12</v>
      </c>
      <c r="E260">
        <v>330.36</v>
      </c>
      <c r="F260" t="s">
        <v>15</v>
      </c>
      <c r="G260" t="s">
        <v>17</v>
      </c>
      <c r="H260">
        <v>0.05</v>
      </c>
      <c r="I260" t="s">
        <v>22</v>
      </c>
      <c r="J260">
        <v>3766.1039999999998</v>
      </c>
      <c r="K260" t="s">
        <v>28</v>
      </c>
      <c r="L260" t="s">
        <v>31</v>
      </c>
      <c r="M260">
        <v>0</v>
      </c>
      <c r="N260" t="s">
        <v>333</v>
      </c>
      <c r="O260" t="s">
        <v>1833</v>
      </c>
      <c r="P260">
        <v>48.33</v>
      </c>
      <c r="Q260">
        <f t="shared" si="4"/>
        <v>313.84199999999998</v>
      </c>
      <c r="R260">
        <v>3717.7739999999999</v>
      </c>
      <c r="S260" s="2">
        <v>45620</v>
      </c>
      <c r="T260" s="2">
        <v>45626</v>
      </c>
      <c r="U260" t="s">
        <v>34</v>
      </c>
      <c r="V260">
        <v>24</v>
      </c>
      <c r="W260">
        <v>11</v>
      </c>
      <c r="X260" t="s">
        <v>47</v>
      </c>
      <c r="Y260">
        <v>2024</v>
      </c>
      <c r="Z260">
        <v>4</v>
      </c>
      <c r="AA260">
        <v>47</v>
      </c>
    </row>
    <row r="261" spans="1:27" x14ac:dyDescent="0.3">
      <c r="A261" s="2">
        <v>45529</v>
      </c>
      <c r="B261" t="s">
        <v>1</v>
      </c>
      <c r="C261" t="s">
        <v>10</v>
      </c>
      <c r="D261">
        <v>7</v>
      </c>
      <c r="E261">
        <v>50.26</v>
      </c>
      <c r="F261" t="s">
        <v>14</v>
      </c>
      <c r="G261" t="s">
        <v>17</v>
      </c>
      <c r="H261">
        <v>0.15</v>
      </c>
      <c r="I261" t="s">
        <v>22</v>
      </c>
      <c r="J261">
        <v>299.04700000000003</v>
      </c>
      <c r="K261" t="s">
        <v>28</v>
      </c>
      <c r="L261" t="s">
        <v>32</v>
      </c>
      <c r="M261">
        <v>0</v>
      </c>
      <c r="N261" t="s">
        <v>334</v>
      </c>
      <c r="O261" t="s">
        <v>1834</v>
      </c>
      <c r="P261">
        <v>17.12</v>
      </c>
      <c r="Q261">
        <f t="shared" si="4"/>
        <v>42.721000000000004</v>
      </c>
      <c r="R261">
        <v>281.92700000000002</v>
      </c>
      <c r="S261" s="2">
        <v>45529</v>
      </c>
      <c r="T261" s="2">
        <v>45536</v>
      </c>
      <c r="U261" t="s">
        <v>34</v>
      </c>
      <c r="V261">
        <v>25</v>
      </c>
      <c r="W261">
        <v>8</v>
      </c>
      <c r="X261" t="s">
        <v>48</v>
      </c>
      <c r="Y261">
        <v>2024</v>
      </c>
      <c r="Z261">
        <v>3</v>
      </c>
      <c r="AA261">
        <v>34</v>
      </c>
    </row>
    <row r="262" spans="1:27" x14ac:dyDescent="0.3">
      <c r="A262" s="2">
        <v>45087</v>
      </c>
      <c r="B262" t="s">
        <v>1</v>
      </c>
      <c r="C262" t="s">
        <v>5</v>
      </c>
      <c r="D262">
        <v>2</v>
      </c>
      <c r="E262">
        <v>374.59</v>
      </c>
      <c r="F262" t="s">
        <v>14</v>
      </c>
      <c r="G262" t="s">
        <v>16</v>
      </c>
      <c r="H262">
        <v>0.15</v>
      </c>
      <c r="I262" t="s">
        <v>21</v>
      </c>
      <c r="J262">
        <v>636.803</v>
      </c>
      <c r="K262" t="s">
        <v>24</v>
      </c>
      <c r="L262" t="s">
        <v>30</v>
      </c>
      <c r="M262">
        <v>0</v>
      </c>
      <c r="N262" t="s">
        <v>335</v>
      </c>
      <c r="O262" t="s">
        <v>1835</v>
      </c>
      <c r="P262">
        <v>34.64</v>
      </c>
      <c r="Q262">
        <f t="shared" si="4"/>
        <v>318.4015</v>
      </c>
      <c r="R262">
        <v>602.16300000000001</v>
      </c>
      <c r="S262" s="2">
        <v>45087</v>
      </c>
      <c r="T262" s="2">
        <v>45095</v>
      </c>
      <c r="U262" t="s">
        <v>34</v>
      </c>
      <c r="V262">
        <v>10</v>
      </c>
      <c r="W262">
        <v>6</v>
      </c>
      <c r="X262" t="s">
        <v>41</v>
      </c>
      <c r="Y262">
        <v>2023</v>
      </c>
      <c r="Z262">
        <v>2</v>
      </c>
      <c r="AA262">
        <v>23</v>
      </c>
    </row>
    <row r="263" spans="1:27" x14ac:dyDescent="0.3">
      <c r="A263" s="2">
        <v>45644</v>
      </c>
      <c r="B263" t="s">
        <v>2</v>
      </c>
      <c r="C263" t="s">
        <v>11</v>
      </c>
      <c r="D263">
        <v>7</v>
      </c>
      <c r="E263">
        <v>467.6</v>
      </c>
      <c r="F263" t="s">
        <v>13</v>
      </c>
      <c r="G263" t="s">
        <v>17</v>
      </c>
      <c r="H263">
        <v>0.1</v>
      </c>
      <c r="I263" t="s">
        <v>21</v>
      </c>
      <c r="J263">
        <v>2945.88</v>
      </c>
      <c r="K263" t="s">
        <v>27</v>
      </c>
      <c r="L263" t="s">
        <v>32</v>
      </c>
      <c r="M263">
        <v>0</v>
      </c>
      <c r="N263" t="s">
        <v>336</v>
      </c>
      <c r="O263" t="s">
        <v>1836</v>
      </c>
      <c r="P263">
        <v>15.64</v>
      </c>
      <c r="Q263">
        <f t="shared" si="4"/>
        <v>420.84000000000003</v>
      </c>
      <c r="R263">
        <v>2930.2400000000002</v>
      </c>
      <c r="S263" s="2">
        <v>45644</v>
      </c>
      <c r="T263" s="2">
        <v>45652</v>
      </c>
      <c r="U263" t="s">
        <v>35</v>
      </c>
      <c r="V263">
        <v>18</v>
      </c>
      <c r="W263">
        <v>12</v>
      </c>
      <c r="X263" t="s">
        <v>39</v>
      </c>
      <c r="Y263">
        <v>2024</v>
      </c>
      <c r="Z263">
        <v>4</v>
      </c>
      <c r="AA263">
        <v>51</v>
      </c>
    </row>
    <row r="264" spans="1:27" x14ac:dyDescent="0.3">
      <c r="A264" s="2">
        <v>45166</v>
      </c>
      <c r="B264" t="s">
        <v>0</v>
      </c>
      <c r="C264" t="s">
        <v>8</v>
      </c>
      <c r="D264">
        <v>3</v>
      </c>
      <c r="E264">
        <v>376.24</v>
      </c>
      <c r="F264" t="s">
        <v>13</v>
      </c>
      <c r="G264" t="s">
        <v>17</v>
      </c>
      <c r="H264">
        <v>0.05</v>
      </c>
      <c r="I264" t="s">
        <v>20</v>
      </c>
      <c r="J264">
        <v>1072.2840000000001</v>
      </c>
      <c r="K264" t="s">
        <v>27</v>
      </c>
      <c r="L264" t="s">
        <v>29</v>
      </c>
      <c r="M264">
        <v>1</v>
      </c>
      <c r="N264" t="s">
        <v>337</v>
      </c>
      <c r="O264" t="s">
        <v>1837</v>
      </c>
      <c r="P264">
        <v>6.15</v>
      </c>
      <c r="Q264">
        <f t="shared" si="4"/>
        <v>357.42800000000005</v>
      </c>
      <c r="R264">
        <v>1066.134</v>
      </c>
      <c r="S264" s="2">
        <v>45166</v>
      </c>
      <c r="T264" s="2">
        <v>45170</v>
      </c>
      <c r="U264" t="s">
        <v>33</v>
      </c>
      <c r="V264">
        <v>28</v>
      </c>
      <c r="W264">
        <v>8</v>
      </c>
      <c r="X264" t="s">
        <v>48</v>
      </c>
      <c r="Y264">
        <v>2023</v>
      </c>
      <c r="Z264">
        <v>3</v>
      </c>
      <c r="AA264">
        <v>35</v>
      </c>
    </row>
    <row r="265" spans="1:27" x14ac:dyDescent="0.3">
      <c r="A265" s="2">
        <v>44948</v>
      </c>
      <c r="B265" t="s">
        <v>4</v>
      </c>
      <c r="C265" t="s">
        <v>6</v>
      </c>
      <c r="D265">
        <v>13</v>
      </c>
      <c r="E265">
        <v>140.49</v>
      </c>
      <c r="F265" t="s">
        <v>13</v>
      </c>
      <c r="G265" t="s">
        <v>17</v>
      </c>
      <c r="H265">
        <v>0</v>
      </c>
      <c r="I265" t="s">
        <v>18</v>
      </c>
      <c r="J265">
        <v>1826.37</v>
      </c>
      <c r="K265" t="s">
        <v>27</v>
      </c>
      <c r="L265" t="s">
        <v>30</v>
      </c>
      <c r="M265">
        <v>0</v>
      </c>
      <c r="N265" t="s">
        <v>338</v>
      </c>
      <c r="O265" t="s">
        <v>1838</v>
      </c>
      <c r="P265">
        <v>17.690000000000001</v>
      </c>
      <c r="Q265">
        <f t="shared" si="4"/>
        <v>140.48999999999998</v>
      </c>
      <c r="R265">
        <v>1808.6799999999998</v>
      </c>
      <c r="S265" s="2">
        <v>44948</v>
      </c>
      <c r="T265" s="2">
        <v>44957</v>
      </c>
      <c r="U265" t="s">
        <v>37</v>
      </c>
      <c r="V265">
        <v>22</v>
      </c>
      <c r="W265">
        <v>1</v>
      </c>
      <c r="X265" t="s">
        <v>42</v>
      </c>
      <c r="Y265">
        <v>2023</v>
      </c>
      <c r="Z265">
        <v>1</v>
      </c>
      <c r="AA265">
        <v>3</v>
      </c>
    </row>
    <row r="266" spans="1:27" x14ac:dyDescent="0.3">
      <c r="A266" s="2">
        <v>44964</v>
      </c>
      <c r="B266" t="s">
        <v>2</v>
      </c>
      <c r="C266" t="s">
        <v>9</v>
      </c>
      <c r="D266">
        <v>3</v>
      </c>
      <c r="E266">
        <v>506.33</v>
      </c>
      <c r="F266" t="s">
        <v>12</v>
      </c>
      <c r="G266" t="s">
        <v>17</v>
      </c>
      <c r="H266">
        <v>0.15</v>
      </c>
      <c r="I266" t="s">
        <v>20</v>
      </c>
      <c r="J266">
        <v>1291.1415</v>
      </c>
      <c r="K266" t="s">
        <v>27</v>
      </c>
      <c r="L266" t="s">
        <v>29</v>
      </c>
      <c r="M266">
        <v>0</v>
      </c>
      <c r="N266" t="s">
        <v>339</v>
      </c>
      <c r="O266" t="s">
        <v>1839</v>
      </c>
      <c r="P266">
        <v>25.71</v>
      </c>
      <c r="Q266">
        <f t="shared" si="4"/>
        <v>430.38049999999998</v>
      </c>
      <c r="R266">
        <v>1265.4314999999999</v>
      </c>
      <c r="S266" s="2">
        <v>44964</v>
      </c>
      <c r="T266" s="2">
        <v>44971</v>
      </c>
      <c r="U266" t="s">
        <v>35</v>
      </c>
      <c r="V266">
        <v>7</v>
      </c>
      <c r="W266">
        <v>2</v>
      </c>
      <c r="X266" t="s">
        <v>38</v>
      </c>
      <c r="Y266">
        <v>2023</v>
      </c>
      <c r="Z266">
        <v>1</v>
      </c>
      <c r="AA266">
        <v>6</v>
      </c>
    </row>
    <row r="267" spans="1:27" x14ac:dyDescent="0.3">
      <c r="A267" s="2">
        <v>45252</v>
      </c>
      <c r="B267" t="s">
        <v>1</v>
      </c>
      <c r="C267" t="s">
        <v>9</v>
      </c>
      <c r="D267">
        <v>8</v>
      </c>
      <c r="E267">
        <v>138.72999999999999</v>
      </c>
      <c r="F267" t="s">
        <v>13</v>
      </c>
      <c r="G267" t="s">
        <v>16</v>
      </c>
      <c r="H267">
        <v>0.05</v>
      </c>
      <c r="I267" t="s">
        <v>20</v>
      </c>
      <c r="J267">
        <v>1054.348</v>
      </c>
      <c r="K267" t="s">
        <v>24</v>
      </c>
      <c r="L267" t="s">
        <v>31</v>
      </c>
      <c r="M267">
        <v>1</v>
      </c>
      <c r="N267" t="s">
        <v>340</v>
      </c>
      <c r="O267" t="s">
        <v>1840</v>
      </c>
      <c r="P267">
        <v>48.51</v>
      </c>
      <c r="Q267">
        <f t="shared" si="4"/>
        <v>131.79349999999999</v>
      </c>
      <c r="R267">
        <v>1005.838</v>
      </c>
      <c r="S267" s="2">
        <v>45252</v>
      </c>
      <c r="T267" s="2">
        <v>45259</v>
      </c>
      <c r="U267" t="s">
        <v>34</v>
      </c>
      <c r="V267">
        <v>22</v>
      </c>
      <c r="W267">
        <v>11</v>
      </c>
      <c r="X267" t="s">
        <v>47</v>
      </c>
      <c r="Y267">
        <v>2023</v>
      </c>
      <c r="Z267">
        <v>4</v>
      </c>
      <c r="AA267">
        <v>47</v>
      </c>
    </row>
    <row r="268" spans="1:27" x14ac:dyDescent="0.3">
      <c r="A268" s="2">
        <v>44951</v>
      </c>
      <c r="B268" t="s">
        <v>4</v>
      </c>
      <c r="C268" t="s">
        <v>7</v>
      </c>
      <c r="D268">
        <v>6</v>
      </c>
      <c r="E268">
        <v>134.53</v>
      </c>
      <c r="F268" t="s">
        <v>14</v>
      </c>
      <c r="G268" t="s">
        <v>17</v>
      </c>
      <c r="H268">
        <v>0.15</v>
      </c>
      <c r="I268" t="s">
        <v>21</v>
      </c>
      <c r="J268">
        <v>686.10300000000007</v>
      </c>
      <c r="K268" t="s">
        <v>27</v>
      </c>
      <c r="L268" t="s">
        <v>29</v>
      </c>
      <c r="M268">
        <v>1</v>
      </c>
      <c r="N268" t="s">
        <v>341</v>
      </c>
      <c r="O268" t="s">
        <v>1841</v>
      </c>
      <c r="P268">
        <v>33.5</v>
      </c>
      <c r="Q268">
        <f t="shared" si="4"/>
        <v>114.35050000000001</v>
      </c>
      <c r="R268">
        <v>652.60300000000007</v>
      </c>
      <c r="S268" s="2">
        <v>44951</v>
      </c>
      <c r="T268" s="2">
        <v>44955</v>
      </c>
      <c r="U268" t="s">
        <v>37</v>
      </c>
      <c r="V268">
        <v>25</v>
      </c>
      <c r="W268">
        <v>1</v>
      </c>
      <c r="X268" t="s">
        <v>42</v>
      </c>
      <c r="Y268">
        <v>2023</v>
      </c>
      <c r="Z268">
        <v>1</v>
      </c>
      <c r="AA268">
        <v>4</v>
      </c>
    </row>
    <row r="269" spans="1:27" x14ac:dyDescent="0.3">
      <c r="A269" s="2">
        <v>45721</v>
      </c>
      <c r="B269" t="s">
        <v>1</v>
      </c>
      <c r="C269" t="s">
        <v>10</v>
      </c>
      <c r="D269">
        <v>18</v>
      </c>
      <c r="E269">
        <v>375.96</v>
      </c>
      <c r="F269" t="s">
        <v>15</v>
      </c>
      <c r="G269" t="s">
        <v>16</v>
      </c>
      <c r="H269">
        <v>0.05</v>
      </c>
      <c r="I269" t="s">
        <v>22</v>
      </c>
      <c r="J269">
        <v>6428.9159999999993</v>
      </c>
      <c r="K269" t="s">
        <v>27</v>
      </c>
      <c r="L269" t="s">
        <v>30</v>
      </c>
      <c r="M269">
        <v>0</v>
      </c>
      <c r="N269" t="s">
        <v>342</v>
      </c>
      <c r="O269" t="s">
        <v>1842</v>
      </c>
      <c r="P269">
        <v>26.78</v>
      </c>
      <c r="Q269">
        <f t="shared" si="4"/>
        <v>357.16199999999998</v>
      </c>
      <c r="R269">
        <v>6402.1359999999995</v>
      </c>
      <c r="S269" s="2">
        <v>45721</v>
      </c>
      <c r="T269" s="2">
        <v>45725</v>
      </c>
      <c r="U269" t="s">
        <v>34</v>
      </c>
      <c r="V269">
        <v>5</v>
      </c>
      <c r="W269">
        <v>3</v>
      </c>
      <c r="X269" t="s">
        <v>44</v>
      </c>
      <c r="Y269">
        <v>2025</v>
      </c>
      <c r="Z269">
        <v>1</v>
      </c>
      <c r="AA269">
        <v>10</v>
      </c>
    </row>
    <row r="270" spans="1:27" x14ac:dyDescent="0.3">
      <c r="A270" s="2">
        <v>44959</v>
      </c>
      <c r="B270" t="s">
        <v>2</v>
      </c>
      <c r="C270" t="s">
        <v>11</v>
      </c>
      <c r="D270">
        <v>10</v>
      </c>
      <c r="E270">
        <v>538.47</v>
      </c>
      <c r="F270" t="s">
        <v>15</v>
      </c>
      <c r="G270" t="s">
        <v>17</v>
      </c>
      <c r="H270">
        <v>0.1</v>
      </c>
      <c r="I270" t="s">
        <v>23</v>
      </c>
      <c r="J270">
        <v>4846.2299999999996</v>
      </c>
      <c r="K270" t="s">
        <v>25</v>
      </c>
      <c r="L270" t="s">
        <v>31</v>
      </c>
      <c r="M270">
        <v>1</v>
      </c>
      <c r="N270" t="s">
        <v>343</v>
      </c>
      <c r="O270" t="s">
        <v>1843</v>
      </c>
      <c r="P270">
        <v>17.25</v>
      </c>
      <c r="Q270">
        <f t="shared" si="4"/>
        <v>484.62299999999993</v>
      </c>
      <c r="R270">
        <v>4828.9799999999996</v>
      </c>
      <c r="S270" s="2">
        <v>44959</v>
      </c>
      <c r="T270" s="2">
        <v>44969</v>
      </c>
      <c r="U270" t="s">
        <v>35</v>
      </c>
      <c r="V270">
        <v>2</v>
      </c>
      <c r="W270">
        <v>2</v>
      </c>
      <c r="X270" t="s">
        <v>38</v>
      </c>
      <c r="Y270">
        <v>2023</v>
      </c>
      <c r="Z270">
        <v>1</v>
      </c>
      <c r="AA270">
        <v>5</v>
      </c>
    </row>
    <row r="271" spans="1:27" x14ac:dyDescent="0.3">
      <c r="A271" s="2">
        <v>45070</v>
      </c>
      <c r="B271" t="s">
        <v>2</v>
      </c>
      <c r="C271" t="s">
        <v>10</v>
      </c>
      <c r="D271">
        <v>15</v>
      </c>
      <c r="E271">
        <v>505.44</v>
      </c>
      <c r="F271" t="s">
        <v>13</v>
      </c>
      <c r="G271" t="s">
        <v>16</v>
      </c>
      <c r="H271">
        <v>0.1</v>
      </c>
      <c r="I271" t="s">
        <v>19</v>
      </c>
      <c r="J271">
        <v>6823.4400000000014</v>
      </c>
      <c r="K271" t="s">
        <v>24</v>
      </c>
      <c r="L271" t="s">
        <v>30</v>
      </c>
      <c r="M271">
        <v>0</v>
      </c>
      <c r="N271" t="s">
        <v>344</v>
      </c>
      <c r="O271" t="s">
        <v>1844</v>
      </c>
      <c r="P271">
        <v>37.5</v>
      </c>
      <c r="Q271">
        <f t="shared" si="4"/>
        <v>454.89600000000007</v>
      </c>
      <c r="R271">
        <v>6785.9400000000014</v>
      </c>
      <c r="S271" s="2">
        <v>45070</v>
      </c>
      <c r="T271" s="2">
        <v>45078</v>
      </c>
      <c r="U271" t="s">
        <v>35</v>
      </c>
      <c r="V271">
        <v>24</v>
      </c>
      <c r="W271">
        <v>5</v>
      </c>
      <c r="X271" t="s">
        <v>40</v>
      </c>
      <c r="Y271">
        <v>2023</v>
      </c>
      <c r="Z271">
        <v>2</v>
      </c>
      <c r="AA271">
        <v>21</v>
      </c>
    </row>
    <row r="272" spans="1:27" x14ac:dyDescent="0.3">
      <c r="A272" s="2">
        <v>45442</v>
      </c>
      <c r="B272" t="s">
        <v>1</v>
      </c>
      <c r="C272" t="s">
        <v>11</v>
      </c>
      <c r="D272">
        <v>4</v>
      </c>
      <c r="E272">
        <v>312.08999999999997</v>
      </c>
      <c r="F272" t="s">
        <v>14</v>
      </c>
      <c r="G272" t="s">
        <v>16</v>
      </c>
      <c r="H272">
        <v>0.15</v>
      </c>
      <c r="I272" t="s">
        <v>22</v>
      </c>
      <c r="J272">
        <v>1061.106</v>
      </c>
      <c r="K272" t="s">
        <v>27</v>
      </c>
      <c r="L272" t="s">
        <v>30</v>
      </c>
      <c r="M272">
        <v>1</v>
      </c>
      <c r="N272" t="s">
        <v>345</v>
      </c>
      <c r="O272" t="s">
        <v>1845</v>
      </c>
      <c r="P272">
        <v>17.989999999999998</v>
      </c>
      <c r="Q272">
        <f t="shared" si="4"/>
        <v>265.2765</v>
      </c>
      <c r="R272">
        <v>1043.116</v>
      </c>
      <c r="S272" s="2">
        <v>45442</v>
      </c>
      <c r="T272" s="2">
        <v>45449</v>
      </c>
      <c r="U272" t="s">
        <v>34</v>
      </c>
      <c r="V272">
        <v>30</v>
      </c>
      <c r="W272">
        <v>5</v>
      </c>
      <c r="X272" t="s">
        <v>40</v>
      </c>
      <c r="Y272">
        <v>2024</v>
      </c>
      <c r="Z272">
        <v>2</v>
      </c>
      <c r="AA272">
        <v>22</v>
      </c>
    </row>
    <row r="273" spans="1:27" x14ac:dyDescent="0.3">
      <c r="A273" s="2">
        <v>45314</v>
      </c>
      <c r="B273" t="s">
        <v>4</v>
      </c>
      <c r="C273" t="s">
        <v>7</v>
      </c>
      <c r="D273">
        <v>15</v>
      </c>
      <c r="E273">
        <v>579.58000000000004</v>
      </c>
      <c r="F273" t="s">
        <v>14</v>
      </c>
      <c r="G273" t="s">
        <v>17</v>
      </c>
      <c r="H273">
        <v>0.15</v>
      </c>
      <c r="I273" t="s">
        <v>18</v>
      </c>
      <c r="J273">
        <v>7389.6450000000004</v>
      </c>
      <c r="K273" t="s">
        <v>26</v>
      </c>
      <c r="L273" t="s">
        <v>32</v>
      </c>
      <c r="M273">
        <v>0</v>
      </c>
      <c r="N273" t="s">
        <v>346</v>
      </c>
      <c r="O273" t="s">
        <v>1846</v>
      </c>
      <c r="P273">
        <v>31.22</v>
      </c>
      <c r="Q273">
        <f t="shared" si="4"/>
        <v>492.64300000000003</v>
      </c>
      <c r="R273">
        <v>7358.4250000000002</v>
      </c>
      <c r="S273" s="2">
        <v>45314</v>
      </c>
      <c r="T273" s="2">
        <v>45322</v>
      </c>
      <c r="U273" t="s">
        <v>37</v>
      </c>
      <c r="V273">
        <v>23</v>
      </c>
      <c r="W273">
        <v>1</v>
      </c>
      <c r="X273" t="s">
        <v>42</v>
      </c>
      <c r="Y273">
        <v>2024</v>
      </c>
      <c r="Z273">
        <v>1</v>
      </c>
      <c r="AA273">
        <v>4</v>
      </c>
    </row>
    <row r="274" spans="1:27" x14ac:dyDescent="0.3">
      <c r="A274" s="2">
        <v>44963</v>
      </c>
      <c r="B274" t="s">
        <v>2</v>
      </c>
      <c r="C274" t="s">
        <v>8</v>
      </c>
      <c r="D274">
        <v>10</v>
      </c>
      <c r="E274">
        <v>217.43</v>
      </c>
      <c r="F274" t="s">
        <v>13</v>
      </c>
      <c r="G274" t="s">
        <v>17</v>
      </c>
      <c r="H274">
        <v>0.15</v>
      </c>
      <c r="I274" t="s">
        <v>23</v>
      </c>
      <c r="J274">
        <v>1848.155</v>
      </c>
      <c r="K274" t="s">
        <v>26</v>
      </c>
      <c r="L274" t="s">
        <v>29</v>
      </c>
      <c r="M274">
        <v>0</v>
      </c>
      <c r="N274" t="s">
        <v>347</v>
      </c>
      <c r="O274" t="s">
        <v>1847</v>
      </c>
      <c r="P274">
        <v>33.14</v>
      </c>
      <c r="Q274">
        <f t="shared" si="4"/>
        <v>184.81549999999999</v>
      </c>
      <c r="R274">
        <v>1815.0149999999999</v>
      </c>
      <c r="S274" s="2">
        <v>44963</v>
      </c>
      <c r="T274" s="2">
        <v>44972</v>
      </c>
      <c r="U274" t="s">
        <v>35</v>
      </c>
      <c r="V274">
        <v>6</v>
      </c>
      <c r="W274">
        <v>2</v>
      </c>
      <c r="X274" t="s">
        <v>38</v>
      </c>
      <c r="Y274">
        <v>2023</v>
      </c>
      <c r="Z274">
        <v>1</v>
      </c>
      <c r="AA274">
        <v>6</v>
      </c>
    </row>
    <row r="275" spans="1:27" x14ac:dyDescent="0.3">
      <c r="A275" s="2">
        <v>45488</v>
      </c>
      <c r="B275" t="s">
        <v>4</v>
      </c>
      <c r="C275" t="s">
        <v>6</v>
      </c>
      <c r="D275">
        <v>15</v>
      </c>
      <c r="E275">
        <v>476.15</v>
      </c>
      <c r="F275" t="s">
        <v>12</v>
      </c>
      <c r="G275" t="s">
        <v>16</v>
      </c>
      <c r="H275">
        <v>0.05</v>
      </c>
      <c r="I275" t="s">
        <v>21</v>
      </c>
      <c r="J275">
        <v>6785.1374999999998</v>
      </c>
      <c r="K275" t="s">
        <v>24</v>
      </c>
      <c r="L275" t="s">
        <v>30</v>
      </c>
      <c r="M275">
        <v>0</v>
      </c>
      <c r="N275" t="s">
        <v>348</v>
      </c>
      <c r="O275" t="s">
        <v>1848</v>
      </c>
      <c r="P275">
        <v>24.48</v>
      </c>
      <c r="Q275">
        <f t="shared" si="4"/>
        <v>452.34249999999997</v>
      </c>
      <c r="R275">
        <v>6760.6575000000003</v>
      </c>
      <c r="S275" s="2">
        <v>45488</v>
      </c>
      <c r="T275" s="2">
        <v>45492</v>
      </c>
      <c r="U275" t="s">
        <v>37</v>
      </c>
      <c r="V275">
        <v>15</v>
      </c>
      <c r="W275">
        <v>7</v>
      </c>
      <c r="X275" t="s">
        <v>46</v>
      </c>
      <c r="Y275">
        <v>2024</v>
      </c>
      <c r="Z275">
        <v>3</v>
      </c>
      <c r="AA275">
        <v>29</v>
      </c>
    </row>
    <row r="276" spans="1:27" x14ac:dyDescent="0.3">
      <c r="A276" s="2">
        <v>45722</v>
      </c>
      <c r="B276" t="s">
        <v>0</v>
      </c>
      <c r="C276" t="s">
        <v>8</v>
      </c>
      <c r="D276">
        <v>5</v>
      </c>
      <c r="E276">
        <v>89.03</v>
      </c>
      <c r="F276" t="s">
        <v>14</v>
      </c>
      <c r="G276" t="s">
        <v>16</v>
      </c>
      <c r="H276">
        <v>0.1</v>
      </c>
      <c r="I276" t="s">
        <v>20</v>
      </c>
      <c r="J276">
        <v>400.63499999999999</v>
      </c>
      <c r="K276" t="s">
        <v>27</v>
      </c>
      <c r="L276" t="s">
        <v>31</v>
      </c>
      <c r="M276">
        <v>0</v>
      </c>
      <c r="N276" t="s">
        <v>349</v>
      </c>
      <c r="O276" t="s">
        <v>1849</v>
      </c>
      <c r="P276">
        <v>22.42</v>
      </c>
      <c r="Q276">
        <f t="shared" si="4"/>
        <v>80.126999999999995</v>
      </c>
      <c r="R276">
        <v>378.21499999999997</v>
      </c>
      <c r="S276" s="2">
        <v>45722</v>
      </c>
      <c r="T276" s="2">
        <v>45732</v>
      </c>
      <c r="U276" t="s">
        <v>33</v>
      </c>
      <c r="V276">
        <v>6</v>
      </c>
      <c r="W276">
        <v>3</v>
      </c>
      <c r="X276" t="s">
        <v>44</v>
      </c>
      <c r="Y276">
        <v>2025</v>
      </c>
      <c r="Z276">
        <v>1</v>
      </c>
      <c r="AA276">
        <v>10</v>
      </c>
    </row>
    <row r="277" spans="1:27" x14ac:dyDescent="0.3">
      <c r="A277" s="2">
        <v>45136</v>
      </c>
      <c r="B277" t="s">
        <v>3</v>
      </c>
      <c r="C277" t="s">
        <v>6</v>
      </c>
      <c r="D277">
        <v>17</v>
      </c>
      <c r="E277">
        <v>6.88</v>
      </c>
      <c r="F277" t="s">
        <v>13</v>
      </c>
      <c r="G277" t="s">
        <v>17</v>
      </c>
      <c r="H277">
        <v>0.1</v>
      </c>
      <c r="I277" t="s">
        <v>20</v>
      </c>
      <c r="J277">
        <v>105.264</v>
      </c>
      <c r="K277" t="s">
        <v>25</v>
      </c>
      <c r="L277" t="s">
        <v>32</v>
      </c>
      <c r="M277">
        <v>0</v>
      </c>
      <c r="N277" t="s">
        <v>350</v>
      </c>
      <c r="O277" t="s">
        <v>1850</v>
      </c>
      <c r="P277">
        <v>42.37</v>
      </c>
      <c r="Q277">
        <f t="shared" si="4"/>
        <v>6.1920000000000002</v>
      </c>
      <c r="R277">
        <v>62.893999999999998</v>
      </c>
      <c r="S277" s="2">
        <v>45136</v>
      </c>
      <c r="T277" s="2">
        <v>45146</v>
      </c>
      <c r="U277" t="s">
        <v>36</v>
      </c>
      <c r="V277">
        <v>29</v>
      </c>
      <c r="W277">
        <v>7</v>
      </c>
      <c r="X277" t="s">
        <v>46</v>
      </c>
      <c r="Y277">
        <v>2023</v>
      </c>
      <c r="Z277">
        <v>3</v>
      </c>
      <c r="AA277">
        <v>30</v>
      </c>
    </row>
    <row r="278" spans="1:27" x14ac:dyDescent="0.3">
      <c r="A278" s="2">
        <v>45133</v>
      </c>
      <c r="B278" t="s">
        <v>2</v>
      </c>
      <c r="C278" t="s">
        <v>11</v>
      </c>
      <c r="D278">
        <v>6</v>
      </c>
      <c r="E278">
        <v>355.26</v>
      </c>
      <c r="F278" t="s">
        <v>15</v>
      </c>
      <c r="G278" t="s">
        <v>17</v>
      </c>
      <c r="H278">
        <v>0.1</v>
      </c>
      <c r="I278" t="s">
        <v>23</v>
      </c>
      <c r="J278">
        <v>1918.404</v>
      </c>
      <c r="K278" t="s">
        <v>24</v>
      </c>
      <c r="L278" t="s">
        <v>31</v>
      </c>
      <c r="M278">
        <v>0</v>
      </c>
      <c r="N278" t="s">
        <v>351</v>
      </c>
      <c r="O278" t="s">
        <v>1851</v>
      </c>
      <c r="P278">
        <v>30.49</v>
      </c>
      <c r="Q278">
        <f t="shared" si="4"/>
        <v>319.73399999999998</v>
      </c>
      <c r="R278">
        <v>1887.914</v>
      </c>
      <c r="S278" s="2">
        <v>45133</v>
      </c>
      <c r="T278" s="2">
        <v>45136</v>
      </c>
      <c r="U278" t="s">
        <v>35</v>
      </c>
      <c r="V278">
        <v>26</v>
      </c>
      <c r="W278">
        <v>7</v>
      </c>
      <c r="X278" t="s">
        <v>46</v>
      </c>
      <c r="Y278">
        <v>2023</v>
      </c>
      <c r="Z278">
        <v>3</v>
      </c>
      <c r="AA278">
        <v>30</v>
      </c>
    </row>
    <row r="279" spans="1:27" x14ac:dyDescent="0.3">
      <c r="A279" s="2">
        <v>45392</v>
      </c>
      <c r="B279" t="s">
        <v>4</v>
      </c>
      <c r="C279" t="s">
        <v>10</v>
      </c>
      <c r="D279">
        <v>8</v>
      </c>
      <c r="E279">
        <v>294.76</v>
      </c>
      <c r="F279" t="s">
        <v>14</v>
      </c>
      <c r="G279" t="s">
        <v>17</v>
      </c>
      <c r="H279">
        <v>0.1</v>
      </c>
      <c r="I279" t="s">
        <v>22</v>
      </c>
      <c r="J279">
        <v>2122.2719999999999</v>
      </c>
      <c r="K279" t="s">
        <v>24</v>
      </c>
      <c r="L279" t="s">
        <v>30</v>
      </c>
      <c r="M279">
        <v>0</v>
      </c>
      <c r="N279" t="s">
        <v>352</v>
      </c>
      <c r="O279" t="s">
        <v>1852</v>
      </c>
      <c r="P279">
        <v>36.04</v>
      </c>
      <c r="Q279">
        <f t="shared" si="4"/>
        <v>265.28399999999999</v>
      </c>
      <c r="R279">
        <v>2086.232</v>
      </c>
      <c r="S279" s="2">
        <v>45392</v>
      </c>
      <c r="T279" s="2">
        <v>45395</v>
      </c>
      <c r="U279" t="s">
        <v>37</v>
      </c>
      <c r="V279">
        <v>10</v>
      </c>
      <c r="W279">
        <v>4</v>
      </c>
      <c r="X279" t="s">
        <v>45</v>
      </c>
      <c r="Y279">
        <v>2024</v>
      </c>
      <c r="Z279">
        <v>2</v>
      </c>
      <c r="AA279">
        <v>15</v>
      </c>
    </row>
    <row r="280" spans="1:27" x14ac:dyDescent="0.3">
      <c r="A280" s="2">
        <v>45681</v>
      </c>
      <c r="B280" t="s">
        <v>2</v>
      </c>
      <c r="C280" t="s">
        <v>7</v>
      </c>
      <c r="D280">
        <v>16</v>
      </c>
      <c r="E280">
        <v>60.69</v>
      </c>
      <c r="F280" t="s">
        <v>13</v>
      </c>
      <c r="G280" t="s">
        <v>16</v>
      </c>
      <c r="H280">
        <v>0</v>
      </c>
      <c r="I280" t="s">
        <v>21</v>
      </c>
      <c r="J280">
        <v>971.04</v>
      </c>
      <c r="K280" t="s">
        <v>26</v>
      </c>
      <c r="L280" t="s">
        <v>31</v>
      </c>
      <c r="M280">
        <v>0</v>
      </c>
      <c r="N280" t="s">
        <v>353</v>
      </c>
      <c r="O280" t="s">
        <v>1853</v>
      </c>
      <c r="P280">
        <v>7.03</v>
      </c>
      <c r="Q280">
        <f t="shared" si="4"/>
        <v>60.69</v>
      </c>
      <c r="R280">
        <v>964.01</v>
      </c>
      <c r="S280" s="2">
        <v>45681</v>
      </c>
      <c r="T280" s="2">
        <v>45684</v>
      </c>
      <c r="U280" t="s">
        <v>35</v>
      </c>
      <c r="V280">
        <v>24</v>
      </c>
      <c r="W280">
        <v>1</v>
      </c>
      <c r="X280" t="s">
        <v>42</v>
      </c>
      <c r="Y280">
        <v>2025</v>
      </c>
      <c r="Z280">
        <v>1</v>
      </c>
      <c r="AA280">
        <v>4</v>
      </c>
    </row>
    <row r="281" spans="1:27" x14ac:dyDescent="0.3">
      <c r="A281" s="2">
        <v>45774</v>
      </c>
      <c r="B281" t="s">
        <v>4</v>
      </c>
      <c r="C281" t="s">
        <v>5</v>
      </c>
      <c r="D281">
        <v>2</v>
      </c>
      <c r="E281">
        <v>559.63</v>
      </c>
      <c r="F281" t="s">
        <v>12</v>
      </c>
      <c r="G281" t="s">
        <v>16</v>
      </c>
      <c r="H281">
        <v>0.1</v>
      </c>
      <c r="I281" t="s">
        <v>22</v>
      </c>
      <c r="J281">
        <v>1007.3339999999999</v>
      </c>
      <c r="K281" t="s">
        <v>26</v>
      </c>
      <c r="L281" t="s">
        <v>31</v>
      </c>
      <c r="M281">
        <v>1</v>
      </c>
      <c r="N281" t="s">
        <v>354</v>
      </c>
      <c r="O281" t="s">
        <v>1854</v>
      </c>
      <c r="P281">
        <v>42.34</v>
      </c>
      <c r="Q281">
        <f t="shared" si="4"/>
        <v>503.66699999999997</v>
      </c>
      <c r="R281">
        <v>964.99399999999991</v>
      </c>
      <c r="S281" s="2">
        <v>45774</v>
      </c>
      <c r="T281" s="2">
        <v>45780</v>
      </c>
      <c r="U281" t="s">
        <v>37</v>
      </c>
      <c r="V281">
        <v>27</v>
      </c>
      <c r="W281">
        <v>4</v>
      </c>
      <c r="X281" t="s">
        <v>45</v>
      </c>
      <c r="Y281">
        <v>2025</v>
      </c>
      <c r="Z281">
        <v>2</v>
      </c>
      <c r="AA281">
        <v>17</v>
      </c>
    </row>
    <row r="282" spans="1:27" x14ac:dyDescent="0.3">
      <c r="A282" s="2">
        <v>45708</v>
      </c>
      <c r="B282" t="s">
        <v>0</v>
      </c>
      <c r="C282" t="s">
        <v>6</v>
      </c>
      <c r="D282">
        <v>4</v>
      </c>
      <c r="E282">
        <v>232.66</v>
      </c>
      <c r="F282" t="s">
        <v>12</v>
      </c>
      <c r="G282" t="s">
        <v>16</v>
      </c>
      <c r="H282">
        <v>0.1</v>
      </c>
      <c r="I282" t="s">
        <v>20</v>
      </c>
      <c r="J282">
        <v>837.57600000000002</v>
      </c>
      <c r="K282" t="s">
        <v>24</v>
      </c>
      <c r="L282" t="s">
        <v>31</v>
      </c>
      <c r="M282">
        <v>0</v>
      </c>
      <c r="N282" t="s">
        <v>355</v>
      </c>
      <c r="O282" t="s">
        <v>1855</v>
      </c>
      <c r="P282">
        <v>11.88</v>
      </c>
      <c r="Q282">
        <f t="shared" si="4"/>
        <v>209.39400000000001</v>
      </c>
      <c r="R282">
        <v>825.69600000000003</v>
      </c>
      <c r="S282" s="2">
        <v>45708</v>
      </c>
      <c r="T282" s="2">
        <v>45711</v>
      </c>
      <c r="U282" t="s">
        <v>33</v>
      </c>
      <c r="V282">
        <v>20</v>
      </c>
      <c r="W282">
        <v>2</v>
      </c>
      <c r="X282" t="s">
        <v>38</v>
      </c>
      <c r="Y282">
        <v>2025</v>
      </c>
      <c r="Z282">
        <v>1</v>
      </c>
      <c r="AA282">
        <v>8</v>
      </c>
    </row>
    <row r="283" spans="1:27" x14ac:dyDescent="0.3">
      <c r="A283" s="2">
        <v>45183</v>
      </c>
      <c r="B283" t="s">
        <v>2</v>
      </c>
      <c r="C283" t="s">
        <v>11</v>
      </c>
      <c r="D283">
        <v>10</v>
      </c>
      <c r="E283">
        <v>230.87</v>
      </c>
      <c r="F283" t="s">
        <v>13</v>
      </c>
      <c r="G283" t="s">
        <v>17</v>
      </c>
      <c r="H283">
        <v>0.15</v>
      </c>
      <c r="I283" t="s">
        <v>23</v>
      </c>
      <c r="J283">
        <v>1962.395</v>
      </c>
      <c r="K283" t="s">
        <v>27</v>
      </c>
      <c r="L283" t="s">
        <v>30</v>
      </c>
      <c r="M283">
        <v>0</v>
      </c>
      <c r="N283" t="s">
        <v>356</v>
      </c>
      <c r="O283" t="s">
        <v>1856</v>
      </c>
      <c r="P283">
        <v>28.33</v>
      </c>
      <c r="Q283">
        <f t="shared" si="4"/>
        <v>196.23949999999999</v>
      </c>
      <c r="R283">
        <v>1934.0650000000001</v>
      </c>
      <c r="S283" s="2">
        <v>45183</v>
      </c>
      <c r="T283" s="2">
        <v>45188</v>
      </c>
      <c r="U283" t="s">
        <v>35</v>
      </c>
      <c r="V283">
        <v>14</v>
      </c>
      <c r="W283">
        <v>9</v>
      </c>
      <c r="X283" t="s">
        <v>49</v>
      </c>
      <c r="Y283">
        <v>2023</v>
      </c>
      <c r="Z283">
        <v>3</v>
      </c>
      <c r="AA283">
        <v>37</v>
      </c>
    </row>
    <row r="284" spans="1:27" x14ac:dyDescent="0.3">
      <c r="A284" s="2">
        <v>45399</v>
      </c>
      <c r="B284" t="s">
        <v>4</v>
      </c>
      <c r="C284" t="s">
        <v>10</v>
      </c>
      <c r="D284">
        <v>7</v>
      </c>
      <c r="E284">
        <v>353.9</v>
      </c>
      <c r="F284" t="s">
        <v>14</v>
      </c>
      <c r="G284" t="s">
        <v>16</v>
      </c>
      <c r="H284">
        <v>0.15</v>
      </c>
      <c r="I284" t="s">
        <v>19</v>
      </c>
      <c r="J284">
        <v>2105.7049999999999</v>
      </c>
      <c r="K284" t="s">
        <v>27</v>
      </c>
      <c r="L284" t="s">
        <v>30</v>
      </c>
      <c r="M284">
        <v>1</v>
      </c>
      <c r="N284" t="s">
        <v>357</v>
      </c>
      <c r="O284" t="s">
        <v>1857</v>
      </c>
      <c r="P284">
        <v>15.74</v>
      </c>
      <c r="Q284">
        <f t="shared" si="4"/>
        <v>300.815</v>
      </c>
      <c r="R284">
        <v>2089.9650000000001</v>
      </c>
      <c r="S284" s="2">
        <v>45399</v>
      </c>
      <c r="T284" s="2">
        <v>45409</v>
      </c>
      <c r="U284" t="s">
        <v>37</v>
      </c>
      <c r="V284">
        <v>17</v>
      </c>
      <c r="W284">
        <v>4</v>
      </c>
      <c r="X284" t="s">
        <v>45</v>
      </c>
      <c r="Y284">
        <v>2024</v>
      </c>
      <c r="Z284">
        <v>2</v>
      </c>
      <c r="AA284">
        <v>16</v>
      </c>
    </row>
    <row r="285" spans="1:27" x14ac:dyDescent="0.3">
      <c r="A285" s="2">
        <v>45610</v>
      </c>
      <c r="B285" t="s">
        <v>3</v>
      </c>
      <c r="C285" t="s">
        <v>10</v>
      </c>
      <c r="D285">
        <v>12</v>
      </c>
      <c r="E285">
        <v>561.07000000000005</v>
      </c>
      <c r="F285" t="s">
        <v>13</v>
      </c>
      <c r="G285" t="s">
        <v>17</v>
      </c>
      <c r="H285">
        <v>0</v>
      </c>
      <c r="I285" t="s">
        <v>19</v>
      </c>
      <c r="J285">
        <v>6732.84</v>
      </c>
      <c r="K285" t="s">
        <v>25</v>
      </c>
      <c r="L285" t="s">
        <v>32</v>
      </c>
      <c r="M285">
        <v>0</v>
      </c>
      <c r="N285" t="s">
        <v>358</v>
      </c>
      <c r="O285" t="s">
        <v>1858</v>
      </c>
      <c r="P285">
        <v>35.020000000000003</v>
      </c>
      <c r="Q285">
        <f t="shared" si="4"/>
        <v>561.07000000000005</v>
      </c>
      <c r="R285">
        <v>6697.82</v>
      </c>
      <c r="S285" s="2">
        <v>45610</v>
      </c>
      <c r="T285" s="2">
        <v>45614</v>
      </c>
      <c r="U285" t="s">
        <v>36</v>
      </c>
      <c r="V285">
        <v>14</v>
      </c>
      <c r="W285">
        <v>11</v>
      </c>
      <c r="X285" t="s">
        <v>47</v>
      </c>
      <c r="Y285">
        <v>2024</v>
      </c>
      <c r="Z285">
        <v>4</v>
      </c>
      <c r="AA285">
        <v>46</v>
      </c>
    </row>
    <row r="286" spans="1:27" x14ac:dyDescent="0.3">
      <c r="A286" s="2">
        <v>45498</v>
      </c>
      <c r="B286" t="s">
        <v>2</v>
      </c>
      <c r="C286" t="s">
        <v>8</v>
      </c>
      <c r="D286">
        <v>15</v>
      </c>
      <c r="E286">
        <v>247.21</v>
      </c>
      <c r="F286" t="s">
        <v>15</v>
      </c>
      <c r="G286" t="s">
        <v>16</v>
      </c>
      <c r="H286">
        <v>0.1</v>
      </c>
      <c r="I286" t="s">
        <v>23</v>
      </c>
      <c r="J286">
        <v>3337.335</v>
      </c>
      <c r="K286" t="s">
        <v>25</v>
      </c>
      <c r="L286" t="s">
        <v>32</v>
      </c>
      <c r="M286">
        <v>0</v>
      </c>
      <c r="N286" t="s">
        <v>359</v>
      </c>
      <c r="O286" t="s">
        <v>1859</v>
      </c>
      <c r="P286">
        <v>45.42</v>
      </c>
      <c r="Q286">
        <f t="shared" si="4"/>
        <v>222.489</v>
      </c>
      <c r="R286">
        <v>3291.915</v>
      </c>
      <c r="S286" s="2">
        <v>45498</v>
      </c>
      <c r="T286" s="2">
        <v>45500</v>
      </c>
      <c r="U286" t="s">
        <v>35</v>
      </c>
      <c r="V286">
        <v>25</v>
      </c>
      <c r="W286">
        <v>7</v>
      </c>
      <c r="X286" t="s">
        <v>46</v>
      </c>
      <c r="Y286">
        <v>2024</v>
      </c>
      <c r="Z286">
        <v>3</v>
      </c>
      <c r="AA286">
        <v>30</v>
      </c>
    </row>
    <row r="287" spans="1:27" x14ac:dyDescent="0.3">
      <c r="A287" s="2">
        <v>45509</v>
      </c>
      <c r="B287" t="s">
        <v>0</v>
      </c>
      <c r="C287" t="s">
        <v>6</v>
      </c>
      <c r="D287">
        <v>19</v>
      </c>
      <c r="E287">
        <v>271.22000000000003</v>
      </c>
      <c r="F287" t="s">
        <v>13</v>
      </c>
      <c r="G287" t="s">
        <v>16</v>
      </c>
      <c r="H287">
        <v>0.1</v>
      </c>
      <c r="I287" t="s">
        <v>19</v>
      </c>
      <c r="J287">
        <v>4637.8620000000001</v>
      </c>
      <c r="K287" t="s">
        <v>26</v>
      </c>
      <c r="L287" t="s">
        <v>31</v>
      </c>
      <c r="M287">
        <v>0</v>
      </c>
      <c r="N287" t="s">
        <v>360</v>
      </c>
      <c r="O287" t="s">
        <v>1860</v>
      </c>
      <c r="P287">
        <v>35.33</v>
      </c>
      <c r="Q287">
        <f t="shared" si="4"/>
        <v>244.09800000000001</v>
      </c>
      <c r="R287">
        <v>4602.5320000000002</v>
      </c>
      <c r="S287" s="2">
        <v>45509</v>
      </c>
      <c r="T287" s="2">
        <v>45519</v>
      </c>
      <c r="U287" t="s">
        <v>33</v>
      </c>
      <c r="V287">
        <v>5</v>
      </c>
      <c r="W287">
        <v>8</v>
      </c>
      <c r="X287" t="s">
        <v>48</v>
      </c>
      <c r="Y287">
        <v>2024</v>
      </c>
      <c r="Z287">
        <v>3</v>
      </c>
      <c r="AA287">
        <v>32</v>
      </c>
    </row>
    <row r="288" spans="1:27" x14ac:dyDescent="0.3">
      <c r="A288" s="2">
        <v>45680</v>
      </c>
      <c r="B288" t="s">
        <v>4</v>
      </c>
      <c r="C288" t="s">
        <v>5</v>
      </c>
      <c r="D288">
        <v>6</v>
      </c>
      <c r="E288">
        <v>532.54</v>
      </c>
      <c r="F288" t="s">
        <v>13</v>
      </c>
      <c r="G288" t="s">
        <v>16</v>
      </c>
      <c r="H288">
        <v>0</v>
      </c>
      <c r="I288" t="s">
        <v>22</v>
      </c>
      <c r="J288">
        <v>3195.24</v>
      </c>
      <c r="K288" t="s">
        <v>27</v>
      </c>
      <c r="L288" t="s">
        <v>32</v>
      </c>
      <c r="M288">
        <v>1</v>
      </c>
      <c r="N288" t="s">
        <v>361</v>
      </c>
      <c r="O288" t="s">
        <v>1861</v>
      </c>
      <c r="P288">
        <v>25.09</v>
      </c>
      <c r="Q288">
        <f t="shared" si="4"/>
        <v>532.54</v>
      </c>
      <c r="R288">
        <v>3170.1499999999996</v>
      </c>
      <c r="S288" s="2">
        <v>45680</v>
      </c>
      <c r="T288" s="2">
        <v>45690</v>
      </c>
      <c r="U288" t="s">
        <v>37</v>
      </c>
      <c r="V288">
        <v>23</v>
      </c>
      <c r="W288">
        <v>1</v>
      </c>
      <c r="X288" t="s">
        <v>42</v>
      </c>
      <c r="Y288">
        <v>2025</v>
      </c>
      <c r="Z288">
        <v>1</v>
      </c>
      <c r="AA288">
        <v>4</v>
      </c>
    </row>
    <row r="289" spans="1:27" x14ac:dyDescent="0.3">
      <c r="A289" s="2">
        <v>45774</v>
      </c>
      <c r="B289" t="s">
        <v>4</v>
      </c>
      <c r="C289" t="s">
        <v>11</v>
      </c>
      <c r="D289">
        <v>16</v>
      </c>
      <c r="E289">
        <v>329.54</v>
      </c>
      <c r="F289" t="s">
        <v>13</v>
      </c>
      <c r="G289" t="s">
        <v>16</v>
      </c>
      <c r="H289">
        <v>0.15</v>
      </c>
      <c r="I289" t="s">
        <v>23</v>
      </c>
      <c r="J289">
        <v>4481.7440000000006</v>
      </c>
      <c r="K289" t="s">
        <v>27</v>
      </c>
      <c r="L289" t="s">
        <v>29</v>
      </c>
      <c r="M289">
        <v>1</v>
      </c>
      <c r="N289" t="s">
        <v>362</v>
      </c>
      <c r="O289" t="s">
        <v>1862</v>
      </c>
      <c r="P289">
        <v>39.39</v>
      </c>
      <c r="Q289">
        <f t="shared" si="4"/>
        <v>280.10900000000004</v>
      </c>
      <c r="R289">
        <v>4442.3540000000003</v>
      </c>
      <c r="S289" s="2">
        <v>45774</v>
      </c>
      <c r="T289" s="2">
        <v>45780</v>
      </c>
      <c r="U289" t="s">
        <v>37</v>
      </c>
      <c r="V289">
        <v>27</v>
      </c>
      <c r="W289">
        <v>4</v>
      </c>
      <c r="X289" t="s">
        <v>45</v>
      </c>
      <c r="Y289">
        <v>2025</v>
      </c>
      <c r="Z289">
        <v>2</v>
      </c>
      <c r="AA289">
        <v>17</v>
      </c>
    </row>
    <row r="290" spans="1:27" x14ac:dyDescent="0.3">
      <c r="A290" s="2">
        <v>45555</v>
      </c>
      <c r="B290" t="s">
        <v>1</v>
      </c>
      <c r="C290" t="s">
        <v>6</v>
      </c>
      <c r="D290">
        <v>6</v>
      </c>
      <c r="E290">
        <v>170.1</v>
      </c>
      <c r="F290" t="s">
        <v>13</v>
      </c>
      <c r="G290" t="s">
        <v>17</v>
      </c>
      <c r="H290">
        <v>0</v>
      </c>
      <c r="I290" t="s">
        <v>18</v>
      </c>
      <c r="J290">
        <v>1020.6</v>
      </c>
      <c r="K290" t="s">
        <v>25</v>
      </c>
      <c r="L290" t="s">
        <v>29</v>
      </c>
      <c r="M290">
        <v>0</v>
      </c>
      <c r="N290" t="s">
        <v>363</v>
      </c>
      <c r="O290" t="s">
        <v>1863</v>
      </c>
      <c r="P290">
        <v>38.61</v>
      </c>
      <c r="Q290">
        <f t="shared" si="4"/>
        <v>170.1</v>
      </c>
      <c r="R290">
        <v>981.99</v>
      </c>
      <c r="S290" s="2">
        <v>45555</v>
      </c>
      <c r="T290" s="2">
        <v>45558</v>
      </c>
      <c r="U290" t="s">
        <v>34</v>
      </c>
      <c r="V290">
        <v>20</v>
      </c>
      <c r="W290">
        <v>9</v>
      </c>
      <c r="X290" t="s">
        <v>49</v>
      </c>
      <c r="Y290">
        <v>2024</v>
      </c>
      <c r="Z290">
        <v>3</v>
      </c>
      <c r="AA290">
        <v>38</v>
      </c>
    </row>
    <row r="291" spans="1:27" x14ac:dyDescent="0.3">
      <c r="A291" s="2">
        <v>45177</v>
      </c>
      <c r="B291" t="s">
        <v>4</v>
      </c>
      <c r="C291" t="s">
        <v>5</v>
      </c>
      <c r="D291">
        <v>19</v>
      </c>
      <c r="E291">
        <v>212.83</v>
      </c>
      <c r="F291" t="s">
        <v>15</v>
      </c>
      <c r="G291" t="s">
        <v>16</v>
      </c>
      <c r="H291">
        <v>0.15</v>
      </c>
      <c r="I291" t="s">
        <v>21</v>
      </c>
      <c r="J291">
        <v>3437.2044999999998</v>
      </c>
      <c r="K291" t="s">
        <v>24</v>
      </c>
      <c r="L291" t="s">
        <v>31</v>
      </c>
      <c r="M291">
        <v>0</v>
      </c>
      <c r="N291" t="s">
        <v>364</v>
      </c>
      <c r="O291" t="s">
        <v>1864</v>
      </c>
      <c r="P291">
        <v>42.88</v>
      </c>
      <c r="Q291">
        <f t="shared" si="4"/>
        <v>180.90549999999999</v>
      </c>
      <c r="R291">
        <v>3394.3244999999997</v>
      </c>
      <c r="S291" s="2">
        <v>45177</v>
      </c>
      <c r="T291" s="2">
        <v>45184</v>
      </c>
      <c r="U291" t="s">
        <v>37</v>
      </c>
      <c r="V291">
        <v>8</v>
      </c>
      <c r="W291">
        <v>9</v>
      </c>
      <c r="X291" t="s">
        <v>49</v>
      </c>
      <c r="Y291">
        <v>2023</v>
      </c>
      <c r="Z291">
        <v>3</v>
      </c>
      <c r="AA291">
        <v>36</v>
      </c>
    </row>
    <row r="292" spans="1:27" x14ac:dyDescent="0.3">
      <c r="A292" s="2">
        <v>45767</v>
      </c>
      <c r="B292" t="s">
        <v>1</v>
      </c>
      <c r="C292" t="s">
        <v>5</v>
      </c>
      <c r="D292">
        <v>5</v>
      </c>
      <c r="E292">
        <v>578.91999999999996</v>
      </c>
      <c r="F292" t="s">
        <v>13</v>
      </c>
      <c r="G292" t="s">
        <v>16</v>
      </c>
      <c r="H292">
        <v>0</v>
      </c>
      <c r="I292" t="s">
        <v>23</v>
      </c>
      <c r="J292">
        <v>2894.6</v>
      </c>
      <c r="K292" t="s">
        <v>26</v>
      </c>
      <c r="L292" t="s">
        <v>32</v>
      </c>
      <c r="M292">
        <v>1</v>
      </c>
      <c r="N292" t="s">
        <v>365</v>
      </c>
      <c r="O292" t="s">
        <v>1865</v>
      </c>
      <c r="P292">
        <v>44.09</v>
      </c>
      <c r="Q292">
        <f t="shared" si="4"/>
        <v>578.91999999999996</v>
      </c>
      <c r="R292">
        <v>2850.5099999999998</v>
      </c>
      <c r="S292" s="2">
        <v>45767</v>
      </c>
      <c r="T292" s="2">
        <v>45775</v>
      </c>
      <c r="U292" t="s">
        <v>34</v>
      </c>
      <c r="V292">
        <v>20</v>
      </c>
      <c r="W292">
        <v>4</v>
      </c>
      <c r="X292" t="s">
        <v>45</v>
      </c>
      <c r="Y292">
        <v>2025</v>
      </c>
      <c r="Z292">
        <v>2</v>
      </c>
      <c r="AA292">
        <v>16</v>
      </c>
    </row>
    <row r="293" spans="1:27" x14ac:dyDescent="0.3">
      <c r="A293" s="2">
        <v>45463</v>
      </c>
      <c r="B293" t="s">
        <v>2</v>
      </c>
      <c r="C293" t="s">
        <v>6</v>
      </c>
      <c r="D293">
        <v>3</v>
      </c>
      <c r="E293">
        <v>456.92</v>
      </c>
      <c r="F293" t="s">
        <v>14</v>
      </c>
      <c r="G293" t="s">
        <v>17</v>
      </c>
      <c r="H293">
        <v>0.1</v>
      </c>
      <c r="I293" t="s">
        <v>20</v>
      </c>
      <c r="J293">
        <v>1233.684</v>
      </c>
      <c r="K293" t="s">
        <v>25</v>
      </c>
      <c r="L293" t="s">
        <v>29</v>
      </c>
      <c r="M293">
        <v>0</v>
      </c>
      <c r="N293" t="s">
        <v>366</v>
      </c>
      <c r="O293" t="s">
        <v>1866</v>
      </c>
      <c r="P293">
        <v>17.57</v>
      </c>
      <c r="Q293">
        <f t="shared" si="4"/>
        <v>411.22800000000001</v>
      </c>
      <c r="R293">
        <v>1216.114</v>
      </c>
      <c r="S293" s="2">
        <v>45463</v>
      </c>
      <c r="T293" s="2">
        <v>45470</v>
      </c>
      <c r="U293" t="s">
        <v>35</v>
      </c>
      <c r="V293">
        <v>20</v>
      </c>
      <c r="W293">
        <v>6</v>
      </c>
      <c r="X293" t="s">
        <v>41</v>
      </c>
      <c r="Y293">
        <v>2024</v>
      </c>
      <c r="Z293">
        <v>2</v>
      </c>
      <c r="AA293">
        <v>25</v>
      </c>
    </row>
    <row r="294" spans="1:27" x14ac:dyDescent="0.3">
      <c r="A294" s="2">
        <v>44937</v>
      </c>
      <c r="B294" t="s">
        <v>0</v>
      </c>
      <c r="C294" t="s">
        <v>10</v>
      </c>
      <c r="D294">
        <v>12</v>
      </c>
      <c r="E294">
        <v>521.53</v>
      </c>
      <c r="F294" t="s">
        <v>15</v>
      </c>
      <c r="G294" t="s">
        <v>17</v>
      </c>
      <c r="H294">
        <v>0</v>
      </c>
      <c r="I294" t="s">
        <v>18</v>
      </c>
      <c r="J294">
        <v>6258.36</v>
      </c>
      <c r="K294" t="s">
        <v>26</v>
      </c>
      <c r="L294" t="s">
        <v>30</v>
      </c>
      <c r="M294">
        <v>1</v>
      </c>
      <c r="N294" t="s">
        <v>367</v>
      </c>
      <c r="O294" t="s">
        <v>1867</v>
      </c>
      <c r="P294">
        <v>49.59</v>
      </c>
      <c r="Q294">
        <f t="shared" si="4"/>
        <v>521.53</v>
      </c>
      <c r="R294">
        <v>6208.7699999999995</v>
      </c>
      <c r="S294" s="2">
        <v>44937</v>
      </c>
      <c r="T294" s="2">
        <v>44946</v>
      </c>
      <c r="U294" t="s">
        <v>33</v>
      </c>
      <c r="V294">
        <v>11</v>
      </c>
      <c r="W294">
        <v>1</v>
      </c>
      <c r="X294" t="s">
        <v>42</v>
      </c>
      <c r="Y294">
        <v>2023</v>
      </c>
      <c r="Z294">
        <v>1</v>
      </c>
      <c r="AA294">
        <v>2</v>
      </c>
    </row>
    <row r="295" spans="1:27" x14ac:dyDescent="0.3">
      <c r="A295" s="2">
        <v>45111</v>
      </c>
      <c r="B295" t="s">
        <v>2</v>
      </c>
      <c r="C295" t="s">
        <v>7</v>
      </c>
      <c r="D295">
        <v>17</v>
      </c>
      <c r="E295">
        <v>468.19</v>
      </c>
      <c r="F295" t="s">
        <v>15</v>
      </c>
      <c r="G295" t="s">
        <v>17</v>
      </c>
      <c r="H295">
        <v>0.05</v>
      </c>
      <c r="I295" t="s">
        <v>22</v>
      </c>
      <c r="J295">
        <v>7561.2684999999992</v>
      </c>
      <c r="K295" t="s">
        <v>28</v>
      </c>
      <c r="L295" t="s">
        <v>32</v>
      </c>
      <c r="M295">
        <v>0</v>
      </c>
      <c r="N295" t="s">
        <v>368</v>
      </c>
      <c r="O295" t="s">
        <v>1868</v>
      </c>
      <c r="P295">
        <v>13.84</v>
      </c>
      <c r="Q295">
        <f t="shared" si="4"/>
        <v>444.78049999999996</v>
      </c>
      <c r="R295">
        <v>7547.4284999999991</v>
      </c>
      <c r="S295" s="2">
        <v>45111</v>
      </c>
      <c r="T295" s="2">
        <v>45114</v>
      </c>
      <c r="U295" t="s">
        <v>35</v>
      </c>
      <c r="V295">
        <v>4</v>
      </c>
      <c r="W295">
        <v>7</v>
      </c>
      <c r="X295" t="s">
        <v>46</v>
      </c>
      <c r="Y295">
        <v>2023</v>
      </c>
      <c r="Z295">
        <v>3</v>
      </c>
      <c r="AA295">
        <v>27</v>
      </c>
    </row>
    <row r="296" spans="1:27" x14ac:dyDescent="0.3">
      <c r="A296" s="2">
        <v>45724</v>
      </c>
      <c r="B296" t="s">
        <v>3</v>
      </c>
      <c r="C296" t="s">
        <v>9</v>
      </c>
      <c r="D296">
        <v>9</v>
      </c>
      <c r="E296">
        <v>8.81</v>
      </c>
      <c r="F296" t="s">
        <v>15</v>
      </c>
      <c r="G296" t="s">
        <v>17</v>
      </c>
      <c r="H296">
        <v>0.15</v>
      </c>
      <c r="I296" t="s">
        <v>19</v>
      </c>
      <c r="J296">
        <v>67.396500000000003</v>
      </c>
      <c r="K296" t="s">
        <v>24</v>
      </c>
      <c r="L296" t="s">
        <v>30</v>
      </c>
      <c r="M296">
        <v>0</v>
      </c>
      <c r="N296" t="s">
        <v>369</v>
      </c>
      <c r="O296" t="s">
        <v>1869</v>
      </c>
      <c r="P296">
        <v>42.7</v>
      </c>
      <c r="Q296">
        <f t="shared" si="4"/>
        <v>7.4885000000000002</v>
      </c>
      <c r="R296">
        <v>24.6965</v>
      </c>
      <c r="S296" s="2">
        <v>45724</v>
      </c>
      <c r="T296" s="2">
        <v>45734</v>
      </c>
      <c r="U296" t="s">
        <v>36</v>
      </c>
      <c r="V296">
        <v>8</v>
      </c>
      <c r="W296">
        <v>3</v>
      </c>
      <c r="X296" t="s">
        <v>44</v>
      </c>
      <c r="Y296">
        <v>2025</v>
      </c>
      <c r="Z296">
        <v>1</v>
      </c>
      <c r="AA296">
        <v>10</v>
      </c>
    </row>
    <row r="297" spans="1:27" x14ac:dyDescent="0.3">
      <c r="A297" s="2">
        <v>45698</v>
      </c>
      <c r="B297" t="s">
        <v>1</v>
      </c>
      <c r="C297" t="s">
        <v>8</v>
      </c>
      <c r="D297">
        <v>6</v>
      </c>
      <c r="E297">
        <v>521.1</v>
      </c>
      <c r="F297" t="s">
        <v>13</v>
      </c>
      <c r="G297" t="s">
        <v>16</v>
      </c>
      <c r="H297">
        <v>0.15</v>
      </c>
      <c r="I297" t="s">
        <v>20</v>
      </c>
      <c r="J297">
        <v>2657.61</v>
      </c>
      <c r="K297" t="s">
        <v>28</v>
      </c>
      <c r="L297" t="s">
        <v>32</v>
      </c>
      <c r="M297">
        <v>0</v>
      </c>
      <c r="N297" t="s">
        <v>370</v>
      </c>
      <c r="O297" t="s">
        <v>1870</v>
      </c>
      <c r="P297">
        <v>31.14</v>
      </c>
      <c r="Q297">
        <f t="shared" si="4"/>
        <v>442.935</v>
      </c>
      <c r="R297">
        <v>2626.4700000000003</v>
      </c>
      <c r="S297" s="2">
        <v>45698</v>
      </c>
      <c r="T297" s="2">
        <v>45700</v>
      </c>
      <c r="U297" t="s">
        <v>34</v>
      </c>
      <c r="V297">
        <v>10</v>
      </c>
      <c r="W297">
        <v>2</v>
      </c>
      <c r="X297" t="s">
        <v>38</v>
      </c>
      <c r="Y297">
        <v>2025</v>
      </c>
      <c r="Z297">
        <v>1</v>
      </c>
      <c r="AA297">
        <v>7</v>
      </c>
    </row>
    <row r="298" spans="1:27" x14ac:dyDescent="0.3">
      <c r="A298" s="2">
        <v>45733</v>
      </c>
      <c r="B298" t="s">
        <v>4</v>
      </c>
      <c r="C298" t="s">
        <v>9</v>
      </c>
      <c r="D298">
        <v>10</v>
      </c>
      <c r="E298">
        <v>289.91000000000003</v>
      </c>
      <c r="F298" t="s">
        <v>14</v>
      </c>
      <c r="G298" t="s">
        <v>17</v>
      </c>
      <c r="H298">
        <v>0.1</v>
      </c>
      <c r="I298" t="s">
        <v>22</v>
      </c>
      <c r="J298">
        <v>2609.190000000001</v>
      </c>
      <c r="K298" t="s">
        <v>28</v>
      </c>
      <c r="L298" t="s">
        <v>30</v>
      </c>
      <c r="M298">
        <v>0</v>
      </c>
      <c r="N298" t="s">
        <v>371</v>
      </c>
      <c r="O298" t="s">
        <v>1871</v>
      </c>
      <c r="P298">
        <v>32.96</v>
      </c>
      <c r="Q298">
        <f t="shared" si="4"/>
        <v>260.9190000000001</v>
      </c>
      <c r="R298">
        <v>2576.2300000000009</v>
      </c>
      <c r="S298" s="2">
        <v>45733</v>
      </c>
      <c r="T298" s="2">
        <v>45737</v>
      </c>
      <c r="U298" t="s">
        <v>37</v>
      </c>
      <c r="V298">
        <v>17</v>
      </c>
      <c r="W298">
        <v>3</v>
      </c>
      <c r="X298" t="s">
        <v>44</v>
      </c>
      <c r="Y298">
        <v>2025</v>
      </c>
      <c r="Z298">
        <v>1</v>
      </c>
      <c r="AA298">
        <v>12</v>
      </c>
    </row>
    <row r="299" spans="1:27" x14ac:dyDescent="0.3">
      <c r="A299" s="2">
        <v>45239</v>
      </c>
      <c r="B299" t="s">
        <v>0</v>
      </c>
      <c r="C299" t="s">
        <v>11</v>
      </c>
      <c r="D299">
        <v>3</v>
      </c>
      <c r="E299">
        <v>142.27000000000001</v>
      </c>
      <c r="F299" t="s">
        <v>15</v>
      </c>
      <c r="G299" t="s">
        <v>17</v>
      </c>
      <c r="H299">
        <v>0.05</v>
      </c>
      <c r="I299" t="s">
        <v>23</v>
      </c>
      <c r="J299">
        <v>405.46949999999998</v>
      </c>
      <c r="K299" t="s">
        <v>24</v>
      </c>
      <c r="L299" t="s">
        <v>30</v>
      </c>
      <c r="M299">
        <v>0</v>
      </c>
      <c r="N299" t="s">
        <v>372</v>
      </c>
      <c r="O299" t="s">
        <v>1872</v>
      </c>
      <c r="P299">
        <v>32.799999999999997</v>
      </c>
      <c r="Q299">
        <f t="shared" si="4"/>
        <v>135.15649999999999</v>
      </c>
      <c r="R299">
        <v>372.66949999999997</v>
      </c>
      <c r="S299" s="2">
        <v>45239</v>
      </c>
      <c r="T299" s="2">
        <v>45245</v>
      </c>
      <c r="U299" t="s">
        <v>33</v>
      </c>
      <c r="V299">
        <v>9</v>
      </c>
      <c r="W299">
        <v>11</v>
      </c>
      <c r="X299" t="s">
        <v>47</v>
      </c>
      <c r="Y299">
        <v>2023</v>
      </c>
      <c r="Z299">
        <v>4</v>
      </c>
      <c r="AA299">
        <v>45</v>
      </c>
    </row>
    <row r="300" spans="1:27" x14ac:dyDescent="0.3">
      <c r="A300" s="2">
        <v>45260</v>
      </c>
      <c r="B300" t="s">
        <v>3</v>
      </c>
      <c r="C300" t="s">
        <v>11</v>
      </c>
      <c r="D300">
        <v>15</v>
      </c>
      <c r="E300">
        <v>354.09</v>
      </c>
      <c r="F300" t="s">
        <v>12</v>
      </c>
      <c r="G300" t="s">
        <v>17</v>
      </c>
      <c r="H300">
        <v>0.05</v>
      </c>
      <c r="I300" t="s">
        <v>21</v>
      </c>
      <c r="J300">
        <v>5045.7824999999993</v>
      </c>
      <c r="K300" t="s">
        <v>24</v>
      </c>
      <c r="L300" t="s">
        <v>32</v>
      </c>
      <c r="M300">
        <v>1</v>
      </c>
      <c r="N300" t="s">
        <v>373</v>
      </c>
      <c r="O300" t="s">
        <v>1873</v>
      </c>
      <c r="P300">
        <v>25.3</v>
      </c>
      <c r="Q300">
        <f t="shared" si="4"/>
        <v>336.38549999999998</v>
      </c>
      <c r="R300">
        <v>5020.4824999999992</v>
      </c>
      <c r="S300" s="2">
        <v>45260</v>
      </c>
      <c r="T300" s="2">
        <v>45268</v>
      </c>
      <c r="U300" t="s">
        <v>36</v>
      </c>
      <c r="V300">
        <v>30</v>
      </c>
      <c r="W300">
        <v>11</v>
      </c>
      <c r="X300" t="s">
        <v>47</v>
      </c>
      <c r="Y300">
        <v>2023</v>
      </c>
      <c r="Z300">
        <v>4</v>
      </c>
      <c r="AA300">
        <v>48</v>
      </c>
    </row>
    <row r="301" spans="1:27" x14ac:dyDescent="0.3">
      <c r="A301" s="2">
        <v>45519</v>
      </c>
      <c r="B301" t="s">
        <v>1</v>
      </c>
      <c r="C301" t="s">
        <v>10</v>
      </c>
      <c r="D301">
        <v>20</v>
      </c>
      <c r="E301">
        <v>358.57</v>
      </c>
      <c r="F301" t="s">
        <v>12</v>
      </c>
      <c r="G301" t="s">
        <v>16</v>
      </c>
      <c r="H301">
        <v>0</v>
      </c>
      <c r="I301" t="s">
        <v>19</v>
      </c>
      <c r="J301">
        <v>7171.4</v>
      </c>
      <c r="K301" t="s">
        <v>27</v>
      </c>
      <c r="L301" t="s">
        <v>29</v>
      </c>
      <c r="M301">
        <v>1</v>
      </c>
      <c r="N301" t="s">
        <v>374</v>
      </c>
      <c r="O301" t="s">
        <v>1874</v>
      </c>
      <c r="P301">
        <v>21.11</v>
      </c>
      <c r="Q301">
        <f t="shared" si="4"/>
        <v>358.57</v>
      </c>
      <c r="R301">
        <v>7150.29</v>
      </c>
      <c r="S301" s="2">
        <v>45519</v>
      </c>
      <c r="T301" s="2">
        <v>45524</v>
      </c>
      <c r="U301" t="s">
        <v>34</v>
      </c>
      <c r="V301">
        <v>15</v>
      </c>
      <c r="W301">
        <v>8</v>
      </c>
      <c r="X301" t="s">
        <v>48</v>
      </c>
      <c r="Y301">
        <v>2024</v>
      </c>
      <c r="Z301">
        <v>3</v>
      </c>
      <c r="AA301">
        <v>33</v>
      </c>
    </row>
    <row r="302" spans="1:27" x14ac:dyDescent="0.3">
      <c r="A302" s="2">
        <v>45006</v>
      </c>
      <c r="B302" t="s">
        <v>4</v>
      </c>
      <c r="C302" t="s">
        <v>10</v>
      </c>
      <c r="D302">
        <v>16</v>
      </c>
      <c r="E302">
        <v>33.18</v>
      </c>
      <c r="F302" t="s">
        <v>14</v>
      </c>
      <c r="G302" t="s">
        <v>17</v>
      </c>
      <c r="H302">
        <v>0.05</v>
      </c>
      <c r="I302" t="s">
        <v>18</v>
      </c>
      <c r="J302">
        <v>504.33600000000001</v>
      </c>
      <c r="K302" t="s">
        <v>24</v>
      </c>
      <c r="L302" t="s">
        <v>30</v>
      </c>
      <c r="M302">
        <v>0</v>
      </c>
      <c r="N302" t="s">
        <v>375</v>
      </c>
      <c r="O302" t="s">
        <v>1875</v>
      </c>
      <c r="P302">
        <v>22.94</v>
      </c>
      <c r="Q302">
        <f t="shared" si="4"/>
        <v>31.521000000000001</v>
      </c>
      <c r="R302">
        <v>481.39600000000002</v>
      </c>
      <c r="S302" s="2">
        <v>45006</v>
      </c>
      <c r="T302" s="2">
        <v>45011</v>
      </c>
      <c r="U302" t="s">
        <v>37</v>
      </c>
      <c r="V302">
        <v>21</v>
      </c>
      <c r="W302">
        <v>3</v>
      </c>
      <c r="X302" t="s">
        <v>44</v>
      </c>
      <c r="Y302">
        <v>2023</v>
      </c>
      <c r="Z302">
        <v>1</v>
      </c>
      <c r="AA302">
        <v>12</v>
      </c>
    </row>
    <row r="303" spans="1:27" x14ac:dyDescent="0.3">
      <c r="A303" s="2">
        <v>45225</v>
      </c>
      <c r="B303" t="s">
        <v>4</v>
      </c>
      <c r="C303" t="s">
        <v>9</v>
      </c>
      <c r="D303">
        <v>2</v>
      </c>
      <c r="E303">
        <v>124.4</v>
      </c>
      <c r="F303" t="s">
        <v>12</v>
      </c>
      <c r="G303" t="s">
        <v>17</v>
      </c>
      <c r="H303">
        <v>0</v>
      </c>
      <c r="I303" t="s">
        <v>18</v>
      </c>
      <c r="J303">
        <v>248.8</v>
      </c>
      <c r="K303" t="s">
        <v>24</v>
      </c>
      <c r="L303" t="s">
        <v>32</v>
      </c>
      <c r="M303">
        <v>0</v>
      </c>
      <c r="N303" t="s">
        <v>376</v>
      </c>
      <c r="O303" t="s">
        <v>1876</v>
      </c>
      <c r="P303">
        <v>37.049999999999997</v>
      </c>
      <c r="Q303">
        <f t="shared" si="4"/>
        <v>124.4</v>
      </c>
      <c r="R303">
        <v>211.75</v>
      </c>
      <c r="S303" s="2">
        <v>45225</v>
      </c>
      <c r="T303" s="2">
        <v>45230</v>
      </c>
      <c r="U303" t="s">
        <v>37</v>
      </c>
      <c r="V303">
        <v>26</v>
      </c>
      <c r="W303">
        <v>10</v>
      </c>
      <c r="X303" t="s">
        <v>43</v>
      </c>
      <c r="Y303">
        <v>2023</v>
      </c>
      <c r="Z303">
        <v>4</v>
      </c>
      <c r="AA303">
        <v>43</v>
      </c>
    </row>
    <row r="304" spans="1:27" x14ac:dyDescent="0.3">
      <c r="A304" s="2">
        <v>45233</v>
      </c>
      <c r="B304" t="s">
        <v>4</v>
      </c>
      <c r="C304" t="s">
        <v>6</v>
      </c>
      <c r="D304">
        <v>12</v>
      </c>
      <c r="E304">
        <v>17.760000000000002</v>
      </c>
      <c r="F304" t="s">
        <v>15</v>
      </c>
      <c r="G304" t="s">
        <v>17</v>
      </c>
      <c r="H304">
        <v>0.1</v>
      </c>
      <c r="I304" t="s">
        <v>21</v>
      </c>
      <c r="J304">
        <v>191.80799999999999</v>
      </c>
      <c r="K304" t="s">
        <v>24</v>
      </c>
      <c r="L304" t="s">
        <v>29</v>
      </c>
      <c r="M304">
        <v>0</v>
      </c>
      <c r="N304" t="s">
        <v>377</v>
      </c>
      <c r="O304" t="s">
        <v>1877</v>
      </c>
      <c r="P304">
        <v>12.18</v>
      </c>
      <c r="Q304">
        <f t="shared" si="4"/>
        <v>15.984</v>
      </c>
      <c r="R304">
        <v>179.62799999999999</v>
      </c>
      <c r="S304" s="2">
        <v>45233</v>
      </c>
      <c r="T304" s="2">
        <v>45241</v>
      </c>
      <c r="U304" t="s">
        <v>37</v>
      </c>
      <c r="V304">
        <v>3</v>
      </c>
      <c r="W304">
        <v>11</v>
      </c>
      <c r="X304" t="s">
        <v>47</v>
      </c>
      <c r="Y304">
        <v>2023</v>
      </c>
      <c r="Z304">
        <v>4</v>
      </c>
      <c r="AA304">
        <v>44</v>
      </c>
    </row>
    <row r="305" spans="1:27" x14ac:dyDescent="0.3">
      <c r="A305" s="2">
        <v>45687</v>
      </c>
      <c r="B305" t="s">
        <v>2</v>
      </c>
      <c r="C305" t="s">
        <v>8</v>
      </c>
      <c r="D305">
        <v>16</v>
      </c>
      <c r="E305">
        <v>345.53</v>
      </c>
      <c r="F305" t="s">
        <v>14</v>
      </c>
      <c r="G305" t="s">
        <v>17</v>
      </c>
      <c r="H305">
        <v>0.15</v>
      </c>
      <c r="I305" t="s">
        <v>20</v>
      </c>
      <c r="J305">
        <v>4699.2079999999996</v>
      </c>
      <c r="K305" t="s">
        <v>25</v>
      </c>
      <c r="L305" t="s">
        <v>30</v>
      </c>
      <c r="M305">
        <v>0</v>
      </c>
      <c r="N305" t="s">
        <v>378</v>
      </c>
      <c r="O305" t="s">
        <v>1878</v>
      </c>
      <c r="P305">
        <v>13.43</v>
      </c>
      <c r="Q305">
        <f t="shared" si="4"/>
        <v>293.70049999999998</v>
      </c>
      <c r="R305">
        <v>4685.7779999999993</v>
      </c>
      <c r="S305" s="2">
        <v>45687</v>
      </c>
      <c r="T305" s="2">
        <v>45693</v>
      </c>
      <c r="U305" t="s">
        <v>35</v>
      </c>
      <c r="V305">
        <v>30</v>
      </c>
      <c r="W305">
        <v>1</v>
      </c>
      <c r="X305" t="s">
        <v>42</v>
      </c>
      <c r="Y305">
        <v>2025</v>
      </c>
      <c r="Z305">
        <v>1</v>
      </c>
      <c r="AA305">
        <v>5</v>
      </c>
    </row>
    <row r="306" spans="1:27" x14ac:dyDescent="0.3">
      <c r="A306" s="2">
        <v>45316</v>
      </c>
      <c r="B306" t="s">
        <v>4</v>
      </c>
      <c r="C306" t="s">
        <v>5</v>
      </c>
      <c r="D306">
        <v>13</v>
      </c>
      <c r="E306">
        <v>453.48</v>
      </c>
      <c r="F306" t="s">
        <v>13</v>
      </c>
      <c r="G306" t="s">
        <v>16</v>
      </c>
      <c r="H306">
        <v>0.05</v>
      </c>
      <c r="I306" t="s">
        <v>19</v>
      </c>
      <c r="J306">
        <v>5600.4779999999992</v>
      </c>
      <c r="K306" t="s">
        <v>25</v>
      </c>
      <c r="L306" t="s">
        <v>30</v>
      </c>
      <c r="M306">
        <v>0</v>
      </c>
      <c r="N306" t="s">
        <v>379</v>
      </c>
      <c r="O306" t="s">
        <v>1879</v>
      </c>
      <c r="P306">
        <v>46.28</v>
      </c>
      <c r="Q306">
        <f t="shared" si="4"/>
        <v>430.80599999999993</v>
      </c>
      <c r="R306">
        <v>5554.1979999999994</v>
      </c>
      <c r="S306" s="2">
        <v>45316</v>
      </c>
      <c r="T306" s="2">
        <v>45325</v>
      </c>
      <c r="U306" t="s">
        <v>37</v>
      </c>
      <c r="V306">
        <v>25</v>
      </c>
      <c r="W306">
        <v>1</v>
      </c>
      <c r="X306" t="s">
        <v>42</v>
      </c>
      <c r="Y306">
        <v>2024</v>
      </c>
      <c r="Z306">
        <v>1</v>
      </c>
      <c r="AA306">
        <v>4</v>
      </c>
    </row>
    <row r="307" spans="1:27" x14ac:dyDescent="0.3">
      <c r="A307" s="2">
        <v>45745</v>
      </c>
      <c r="B307" t="s">
        <v>1</v>
      </c>
      <c r="C307" t="s">
        <v>5</v>
      </c>
      <c r="D307">
        <v>10</v>
      </c>
      <c r="E307">
        <v>277.74</v>
      </c>
      <c r="F307" t="s">
        <v>12</v>
      </c>
      <c r="G307" t="s">
        <v>17</v>
      </c>
      <c r="H307">
        <v>0.15</v>
      </c>
      <c r="I307" t="s">
        <v>21</v>
      </c>
      <c r="J307">
        <v>2360.79</v>
      </c>
      <c r="K307" t="s">
        <v>25</v>
      </c>
      <c r="L307" t="s">
        <v>30</v>
      </c>
      <c r="M307">
        <v>1</v>
      </c>
      <c r="N307" t="s">
        <v>380</v>
      </c>
      <c r="O307" t="s">
        <v>1880</v>
      </c>
      <c r="P307">
        <v>35.020000000000003</v>
      </c>
      <c r="Q307">
        <f t="shared" si="4"/>
        <v>236.07900000000001</v>
      </c>
      <c r="R307">
        <v>2325.77</v>
      </c>
      <c r="S307" s="2">
        <v>45745</v>
      </c>
      <c r="T307" s="2">
        <v>45749</v>
      </c>
      <c r="U307" t="s">
        <v>34</v>
      </c>
      <c r="V307">
        <v>29</v>
      </c>
      <c r="W307">
        <v>3</v>
      </c>
      <c r="X307" t="s">
        <v>44</v>
      </c>
      <c r="Y307">
        <v>2025</v>
      </c>
      <c r="Z307">
        <v>1</v>
      </c>
      <c r="AA307">
        <v>13</v>
      </c>
    </row>
    <row r="308" spans="1:27" x14ac:dyDescent="0.3">
      <c r="A308" s="2">
        <v>45598</v>
      </c>
      <c r="B308" t="s">
        <v>3</v>
      </c>
      <c r="C308" t="s">
        <v>8</v>
      </c>
      <c r="D308">
        <v>16</v>
      </c>
      <c r="E308">
        <v>89.76</v>
      </c>
      <c r="F308" t="s">
        <v>13</v>
      </c>
      <c r="G308" t="s">
        <v>16</v>
      </c>
      <c r="H308">
        <v>0</v>
      </c>
      <c r="I308" t="s">
        <v>19</v>
      </c>
      <c r="J308">
        <v>1436.16</v>
      </c>
      <c r="K308" t="s">
        <v>27</v>
      </c>
      <c r="L308" t="s">
        <v>31</v>
      </c>
      <c r="M308">
        <v>1</v>
      </c>
      <c r="N308" t="s">
        <v>381</v>
      </c>
      <c r="O308" t="s">
        <v>1881</v>
      </c>
      <c r="P308">
        <v>44.69</v>
      </c>
      <c r="Q308">
        <f t="shared" si="4"/>
        <v>89.76</v>
      </c>
      <c r="R308">
        <v>1391.47</v>
      </c>
      <c r="S308" s="2">
        <v>45598</v>
      </c>
      <c r="T308" s="2">
        <v>45605</v>
      </c>
      <c r="U308" t="s">
        <v>36</v>
      </c>
      <c r="V308">
        <v>2</v>
      </c>
      <c r="W308">
        <v>11</v>
      </c>
      <c r="X308" t="s">
        <v>47</v>
      </c>
      <c r="Y308">
        <v>2024</v>
      </c>
      <c r="Z308">
        <v>4</v>
      </c>
      <c r="AA308">
        <v>44</v>
      </c>
    </row>
    <row r="309" spans="1:27" x14ac:dyDescent="0.3">
      <c r="A309" s="2">
        <v>45473</v>
      </c>
      <c r="B309" t="s">
        <v>3</v>
      </c>
      <c r="C309" t="s">
        <v>8</v>
      </c>
      <c r="D309">
        <v>11</v>
      </c>
      <c r="E309">
        <v>535.37</v>
      </c>
      <c r="F309" t="s">
        <v>15</v>
      </c>
      <c r="G309" t="s">
        <v>16</v>
      </c>
      <c r="H309">
        <v>0</v>
      </c>
      <c r="I309" t="s">
        <v>20</v>
      </c>
      <c r="J309">
        <v>5889.07</v>
      </c>
      <c r="K309" t="s">
        <v>28</v>
      </c>
      <c r="L309" t="s">
        <v>32</v>
      </c>
      <c r="M309">
        <v>0</v>
      </c>
      <c r="N309" t="s">
        <v>382</v>
      </c>
      <c r="O309" t="s">
        <v>1882</v>
      </c>
      <c r="P309">
        <v>35.96</v>
      </c>
      <c r="Q309">
        <f t="shared" si="4"/>
        <v>535.37</v>
      </c>
      <c r="R309">
        <v>5853.11</v>
      </c>
      <c r="S309" s="2">
        <v>45473</v>
      </c>
      <c r="T309" s="2">
        <v>45482</v>
      </c>
      <c r="U309" t="s">
        <v>36</v>
      </c>
      <c r="V309">
        <v>30</v>
      </c>
      <c r="W309">
        <v>6</v>
      </c>
      <c r="X309" t="s">
        <v>41</v>
      </c>
      <c r="Y309">
        <v>2024</v>
      </c>
      <c r="Z309">
        <v>2</v>
      </c>
      <c r="AA309">
        <v>26</v>
      </c>
    </row>
    <row r="310" spans="1:27" x14ac:dyDescent="0.3">
      <c r="A310" s="2">
        <v>44937</v>
      </c>
      <c r="B310" t="s">
        <v>1</v>
      </c>
      <c r="C310" t="s">
        <v>10</v>
      </c>
      <c r="D310">
        <v>9</v>
      </c>
      <c r="E310">
        <v>15.58</v>
      </c>
      <c r="F310" t="s">
        <v>15</v>
      </c>
      <c r="G310" t="s">
        <v>17</v>
      </c>
      <c r="H310">
        <v>0.1</v>
      </c>
      <c r="I310" t="s">
        <v>20</v>
      </c>
      <c r="J310">
        <v>126.19799999999999</v>
      </c>
      <c r="K310" t="s">
        <v>25</v>
      </c>
      <c r="L310" t="s">
        <v>29</v>
      </c>
      <c r="M310">
        <v>1</v>
      </c>
      <c r="N310" t="s">
        <v>383</v>
      </c>
      <c r="O310" t="s">
        <v>1883</v>
      </c>
      <c r="P310">
        <v>27.81</v>
      </c>
      <c r="Q310">
        <f t="shared" si="4"/>
        <v>14.021999999999998</v>
      </c>
      <c r="R310">
        <v>98.387999999999991</v>
      </c>
      <c r="S310" s="2">
        <v>44937</v>
      </c>
      <c r="T310" s="2">
        <v>44945</v>
      </c>
      <c r="U310" t="s">
        <v>34</v>
      </c>
      <c r="V310">
        <v>11</v>
      </c>
      <c r="W310">
        <v>1</v>
      </c>
      <c r="X310" t="s">
        <v>42</v>
      </c>
      <c r="Y310">
        <v>2023</v>
      </c>
      <c r="Z310">
        <v>1</v>
      </c>
      <c r="AA310">
        <v>2</v>
      </c>
    </row>
    <row r="311" spans="1:27" x14ac:dyDescent="0.3">
      <c r="A311" s="2">
        <v>45813</v>
      </c>
      <c r="B311" t="s">
        <v>2</v>
      </c>
      <c r="C311" t="s">
        <v>7</v>
      </c>
      <c r="D311">
        <v>13</v>
      </c>
      <c r="E311">
        <v>466.54</v>
      </c>
      <c r="F311" t="s">
        <v>14</v>
      </c>
      <c r="G311" t="s">
        <v>16</v>
      </c>
      <c r="H311">
        <v>0</v>
      </c>
      <c r="I311" t="s">
        <v>18</v>
      </c>
      <c r="J311">
        <v>6065.02</v>
      </c>
      <c r="K311" t="s">
        <v>28</v>
      </c>
      <c r="L311" t="s">
        <v>29</v>
      </c>
      <c r="M311">
        <v>0</v>
      </c>
      <c r="N311" t="s">
        <v>384</v>
      </c>
      <c r="O311" t="s">
        <v>1884</v>
      </c>
      <c r="P311">
        <v>18.63</v>
      </c>
      <c r="Q311">
        <f t="shared" si="4"/>
        <v>466.54</v>
      </c>
      <c r="R311">
        <v>6046.39</v>
      </c>
      <c r="S311" s="2">
        <v>45813</v>
      </c>
      <c r="T311" s="2">
        <v>45822</v>
      </c>
      <c r="U311" t="s">
        <v>35</v>
      </c>
      <c r="V311">
        <v>5</v>
      </c>
      <c r="W311">
        <v>6</v>
      </c>
      <c r="X311" t="s">
        <v>41</v>
      </c>
      <c r="Y311">
        <v>2025</v>
      </c>
      <c r="Z311">
        <v>2</v>
      </c>
      <c r="AA311">
        <v>23</v>
      </c>
    </row>
    <row r="312" spans="1:27" x14ac:dyDescent="0.3">
      <c r="A312" s="2">
        <v>45372</v>
      </c>
      <c r="B312" t="s">
        <v>2</v>
      </c>
      <c r="C312" t="s">
        <v>9</v>
      </c>
      <c r="D312">
        <v>16</v>
      </c>
      <c r="E312">
        <v>593</v>
      </c>
      <c r="F312" t="s">
        <v>15</v>
      </c>
      <c r="G312" t="s">
        <v>17</v>
      </c>
      <c r="H312">
        <v>0.1</v>
      </c>
      <c r="I312" t="s">
        <v>18</v>
      </c>
      <c r="J312">
        <v>8539.2000000000007</v>
      </c>
      <c r="K312" t="s">
        <v>25</v>
      </c>
      <c r="L312" t="s">
        <v>30</v>
      </c>
      <c r="M312">
        <v>0</v>
      </c>
      <c r="N312" t="s">
        <v>385</v>
      </c>
      <c r="O312" t="s">
        <v>1885</v>
      </c>
      <c r="P312">
        <v>18.77</v>
      </c>
      <c r="Q312">
        <f t="shared" si="4"/>
        <v>533.70000000000005</v>
      </c>
      <c r="R312">
        <v>8520.43</v>
      </c>
      <c r="S312" s="2">
        <v>45372</v>
      </c>
      <c r="T312" s="2">
        <v>45375</v>
      </c>
      <c r="U312" t="s">
        <v>35</v>
      </c>
      <c r="V312">
        <v>21</v>
      </c>
      <c r="W312">
        <v>3</v>
      </c>
      <c r="X312" t="s">
        <v>44</v>
      </c>
      <c r="Y312">
        <v>2024</v>
      </c>
      <c r="Z312">
        <v>1</v>
      </c>
      <c r="AA312">
        <v>12</v>
      </c>
    </row>
    <row r="313" spans="1:27" x14ac:dyDescent="0.3">
      <c r="A313" s="2">
        <v>45169</v>
      </c>
      <c r="B313" t="s">
        <v>1</v>
      </c>
      <c r="C313" t="s">
        <v>7</v>
      </c>
      <c r="D313">
        <v>6</v>
      </c>
      <c r="E313">
        <v>567.36</v>
      </c>
      <c r="F313" t="s">
        <v>14</v>
      </c>
      <c r="G313" t="s">
        <v>16</v>
      </c>
      <c r="H313">
        <v>0.05</v>
      </c>
      <c r="I313" t="s">
        <v>19</v>
      </c>
      <c r="J313">
        <v>3233.9520000000002</v>
      </c>
      <c r="K313" t="s">
        <v>25</v>
      </c>
      <c r="L313" t="s">
        <v>31</v>
      </c>
      <c r="M313">
        <v>0</v>
      </c>
      <c r="N313" t="s">
        <v>386</v>
      </c>
      <c r="O313" t="s">
        <v>1886</v>
      </c>
      <c r="P313">
        <v>45.98</v>
      </c>
      <c r="Q313">
        <f t="shared" si="4"/>
        <v>538.99200000000008</v>
      </c>
      <c r="R313">
        <v>3187.9720000000002</v>
      </c>
      <c r="S313" s="2">
        <v>45169</v>
      </c>
      <c r="T313" s="2">
        <v>45177</v>
      </c>
      <c r="U313" t="s">
        <v>34</v>
      </c>
      <c r="V313">
        <v>31</v>
      </c>
      <c r="W313">
        <v>8</v>
      </c>
      <c r="X313" t="s">
        <v>48</v>
      </c>
      <c r="Y313">
        <v>2023</v>
      </c>
      <c r="Z313">
        <v>3</v>
      </c>
      <c r="AA313">
        <v>35</v>
      </c>
    </row>
    <row r="314" spans="1:27" x14ac:dyDescent="0.3">
      <c r="A314" s="2">
        <v>45572</v>
      </c>
      <c r="B314" t="s">
        <v>1</v>
      </c>
      <c r="C314" t="s">
        <v>6</v>
      </c>
      <c r="D314">
        <v>17</v>
      </c>
      <c r="E314">
        <v>523.04</v>
      </c>
      <c r="F314" t="s">
        <v>13</v>
      </c>
      <c r="G314" t="s">
        <v>17</v>
      </c>
      <c r="H314">
        <v>0.05</v>
      </c>
      <c r="I314" t="s">
        <v>18</v>
      </c>
      <c r="J314">
        <v>8447.0959999999995</v>
      </c>
      <c r="K314" t="s">
        <v>27</v>
      </c>
      <c r="L314" t="s">
        <v>29</v>
      </c>
      <c r="M314">
        <v>0</v>
      </c>
      <c r="N314" t="s">
        <v>387</v>
      </c>
      <c r="O314" t="s">
        <v>1887</v>
      </c>
      <c r="P314">
        <v>37.380000000000003</v>
      </c>
      <c r="Q314">
        <f t="shared" si="4"/>
        <v>496.88799999999998</v>
      </c>
      <c r="R314">
        <v>8409.7160000000003</v>
      </c>
      <c r="S314" s="2">
        <v>45572</v>
      </c>
      <c r="T314" s="2">
        <v>45582</v>
      </c>
      <c r="U314" t="s">
        <v>34</v>
      </c>
      <c r="V314">
        <v>7</v>
      </c>
      <c r="W314">
        <v>10</v>
      </c>
      <c r="X314" t="s">
        <v>43</v>
      </c>
      <c r="Y314">
        <v>2024</v>
      </c>
      <c r="Z314">
        <v>4</v>
      </c>
      <c r="AA314">
        <v>41</v>
      </c>
    </row>
    <row r="315" spans="1:27" x14ac:dyDescent="0.3">
      <c r="A315" s="2">
        <v>45028</v>
      </c>
      <c r="B315" t="s">
        <v>2</v>
      </c>
      <c r="C315" t="s">
        <v>5</v>
      </c>
      <c r="D315">
        <v>17</v>
      </c>
      <c r="E315">
        <v>376.4</v>
      </c>
      <c r="F315" t="s">
        <v>14</v>
      </c>
      <c r="G315" t="s">
        <v>16</v>
      </c>
      <c r="H315">
        <v>0</v>
      </c>
      <c r="I315" t="s">
        <v>19</v>
      </c>
      <c r="J315">
        <v>6398.7999999999993</v>
      </c>
      <c r="K315" t="s">
        <v>27</v>
      </c>
      <c r="L315" t="s">
        <v>29</v>
      </c>
      <c r="M315">
        <v>0</v>
      </c>
      <c r="N315" t="s">
        <v>388</v>
      </c>
      <c r="O315" t="s">
        <v>1888</v>
      </c>
      <c r="P315">
        <v>33.380000000000003</v>
      </c>
      <c r="Q315">
        <f t="shared" si="4"/>
        <v>376.4</v>
      </c>
      <c r="R315">
        <v>6365.4199999999992</v>
      </c>
      <c r="S315" s="2">
        <v>45028</v>
      </c>
      <c r="T315" s="2">
        <v>45031</v>
      </c>
      <c r="U315" t="s">
        <v>35</v>
      </c>
      <c r="V315">
        <v>12</v>
      </c>
      <c r="W315">
        <v>4</v>
      </c>
      <c r="X315" t="s">
        <v>45</v>
      </c>
      <c r="Y315">
        <v>2023</v>
      </c>
      <c r="Z315">
        <v>2</v>
      </c>
      <c r="AA315">
        <v>15</v>
      </c>
    </row>
    <row r="316" spans="1:27" x14ac:dyDescent="0.3">
      <c r="A316" s="2">
        <v>45236</v>
      </c>
      <c r="B316" t="s">
        <v>1</v>
      </c>
      <c r="C316" t="s">
        <v>11</v>
      </c>
      <c r="D316">
        <v>5</v>
      </c>
      <c r="E316">
        <v>95.19</v>
      </c>
      <c r="F316" t="s">
        <v>13</v>
      </c>
      <c r="G316" t="s">
        <v>17</v>
      </c>
      <c r="H316">
        <v>0.15</v>
      </c>
      <c r="I316" t="s">
        <v>20</v>
      </c>
      <c r="J316">
        <v>404.5575</v>
      </c>
      <c r="K316" t="s">
        <v>26</v>
      </c>
      <c r="L316" t="s">
        <v>31</v>
      </c>
      <c r="M316">
        <v>0</v>
      </c>
      <c r="N316" t="s">
        <v>389</v>
      </c>
      <c r="O316" t="s">
        <v>1889</v>
      </c>
      <c r="P316">
        <v>48.55</v>
      </c>
      <c r="Q316">
        <f t="shared" si="4"/>
        <v>80.911500000000004</v>
      </c>
      <c r="R316">
        <v>356.00749999999999</v>
      </c>
      <c r="S316" s="2">
        <v>45236</v>
      </c>
      <c r="T316" s="2">
        <v>45246</v>
      </c>
      <c r="U316" t="s">
        <v>34</v>
      </c>
      <c r="V316">
        <v>6</v>
      </c>
      <c r="W316">
        <v>11</v>
      </c>
      <c r="X316" t="s">
        <v>47</v>
      </c>
      <c r="Y316">
        <v>2023</v>
      </c>
      <c r="Z316">
        <v>4</v>
      </c>
      <c r="AA316">
        <v>45</v>
      </c>
    </row>
    <row r="317" spans="1:27" x14ac:dyDescent="0.3">
      <c r="A317" s="2">
        <v>45044</v>
      </c>
      <c r="B317" t="s">
        <v>4</v>
      </c>
      <c r="C317" t="s">
        <v>7</v>
      </c>
      <c r="D317">
        <v>2</v>
      </c>
      <c r="E317">
        <v>210.71</v>
      </c>
      <c r="F317" t="s">
        <v>15</v>
      </c>
      <c r="G317" t="s">
        <v>16</v>
      </c>
      <c r="H317">
        <v>0.15</v>
      </c>
      <c r="I317" t="s">
        <v>22</v>
      </c>
      <c r="J317">
        <v>358.20699999999999</v>
      </c>
      <c r="K317" t="s">
        <v>26</v>
      </c>
      <c r="L317" t="s">
        <v>30</v>
      </c>
      <c r="M317">
        <v>0</v>
      </c>
      <c r="N317" t="s">
        <v>390</v>
      </c>
      <c r="O317" t="s">
        <v>1890</v>
      </c>
      <c r="P317">
        <v>7.78</v>
      </c>
      <c r="Q317">
        <f t="shared" si="4"/>
        <v>179.1035</v>
      </c>
      <c r="R317">
        <v>350.42700000000002</v>
      </c>
      <c r="S317" s="2">
        <v>45044</v>
      </c>
      <c r="T317" s="2">
        <v>45054</v>
      </c>
      <c r="U317" t="s">
        <v>37</v>
      </c>
      <c r="V317">
        <v>28</v>
      </c>
      <c r="W317">
        <v>4</v>
      </c>
      <c r="X317" t="s">
        <v>45</v>
      </c>
      <c r="Y317">
        <v>2023</v>
      </c>
      <c r="Z317">
        <v>2</v>
      </c>
      <c r="AA317">
        <v>17</v>
      </c>
    </row>
    <row r="318" spans="1:27" x14ac:dyDescent="0.3">
      <c r="A318" s="2">
        <v>45278</v>
      </c>
      <c r="B318" t="s">
        <v>4</v>
      </c>
      <c r="C318" t="s">
        <v>11</v>
      </c>
      <c r="D318">
        <v>7</v>
      </c>
      <c r="E318">
        <v>393.39</v>
      </c>
      <c r="F318" t="s">
        <v>12</v>
      </c>
      <c r="G318" t="s">
        <v>17</v>
      </c>
      <c r="H318">
        <v>0.1</v>
      </c>
      <c r="I318" t="s">
        <v>19</v>
      </c>
      <c r="J318">
        <v>2478.357</v>
      </c>
      <c r="K318" t="s">
        <v>28</v>
      </c>
      <c r="L318" t="s">
        <v>30</v>
      </c>
      <c r="M318">
        <v>0</v>
      </c>
      <c r="N318" t="s">
        <v>391</v>
      </c>
      <c r="O318" t="s">
        <v>1891</v>
      </c>
      <c r="P318">
        <v>34.35</v>
      </c>
      <c r="Q318">
        <f t="shared" si="4"/>
        <v>354.05099999999999</v>
      </c>
      <c r="R318">
        <v>2444.0070000000001</v>
      </c>
      <c r="S318" s="2">
        <v>45278</v>
      </c>
      <c r="T318" s="2">
        <v>45281</v>
      </c>
      <c r="U318" t="s">
        <v>37</v>
      </c>
      <c r="V318">
        <v>18</v>
      </c>
      <c r="W318">
        <v>12</v>
      </c>
      <c r="X318" t="s">
        <v>39</v>
      </c>
      <c r="Y318">
        <v>2023</v>
      </c>
      <c r="Z318">
        <v>4</v>
      </c>
      <c r="AA318">
        <v>51</v>
      </c>
    </row>
    <row r="319" spans="1:27" x14ac:dyDescent="0.3">
      <c r="A319" s="2">
        <v>45575</v>
      </c>
      <c r="B319" t="s">
        <v>1</v>
      </c>
      <c r="C319" t="s">
        <v>6</v>
      </c>
      <c r="D319">
        <v>13</v>
      </c>
      <c r="E319">
        <v>114.03</v>
      </c>
      <c r="F319" t="s">
        <v>13</v>
      </c>
      <c r="G319" t="s">
        <v>17</v>
      </c>
      <c r="H319">
        <v>0</v>
      </c>
      <c r="I319" t="s">
        <v>23</v>
      </c>
      <c r="J319">
        <v>1482.39</v>
      </c>
      <c r="K319" t="s">
        <v>28</v>
      </c>
      <c r="L319" t="s">
        <v>32</v>
      </c>
      <c r="M319">
        <v>0</v>
      </c>
      <c r="N319" t="s">
        <v>392</v>
      </c>
      <c r="O319" t="s">
        <v>1892</v>
      </c>
      <c r="P319">
        <v>43.81</v>
      </c>
      <c r="Q319">
        <f t="shared" si="4"/>
        <v>114.03</v>
      </c>
      <c r="R319">
        <v>1438.5800000000002</v>
      </c>
      <c r="S319" s="2">
        <v>45575</v>
      </c>
      <c r="T319" s="2">
        <v>45581</v>
      </c>
      <c r="U319" t="s">
        <v>34</v>
      </c>
      <c r="V319">
        <v>10</v>
      </c>
      <c r="W319">
        <v>10</v>
      </c>
      <c r="X319" t="s">
        <v>43</v>
      </c>
      <c r="Y319">
        <v>2024</v>
      </c>
      <c r="Z319">
        <v>4</v>
      </c>
      <c r="AA319">
        <v>41</v>
      </c>
    </row>
    <row r="320" spans="1:27" x14ac:dyDescent="0.3">
      <c r="A320" s="2">
        <v>44962</v>
      </c>
      <c r="B320" t="s">
        <v>2</v>
      </c>
      <c r="C320" t="s">
        <v>10</v>
      </c>
      <c r="D320">
        <v>18</v>
      </c>
      <c r="E320">
        <v>336.48</v>
      </c>
      <c r="F320" t="s">
        <v>12</v>
      </c>
      <c r="G320" t="s">
        <v>17</v>
      </c>
      <c r="H320">
        <v>0</v>
      </c>
      <c r="I320" t="s">
        <v>20</v>
      </c>
      <c r="J320">
        <v>6056.64</v>
      </c>
      <c r="K320" t="s">
        <v>24</v>
      </c>
      <c r="L320" t="s">
        <v>31</v>
      </c>
      <c r="M320">
        <v>0</v>
      </c>
      <c r="N320" t="s">
        <v>393</v>
      </c>
      <c r="O320" t="s">
        <v>1893</v>
      </c>
      <c r="P320">
        <v>18.59</v>
      </c>
      <c r="Q320">
        <f t="shared" si="4"/>
        <v>336.48</v>
      </c>
      <c r="R320">
        <v>6038.05</v>
      </c>
      <c r="S320" s="2">
        <v>44962</v>
      </c>
      <c r="T320" s="2">
        <v>44964</v>
      </c>
      <c r="U320" t="s">
        <v>35</v>
      </c>
      <c r="V320">
        <v>5</v>
      </c>
      <c r="W320">
        <v>2</v>
      </c>
      <c r="X320" t="s">
        <v>38</v>
      </c>
      <c r="Y320">
        <v>2023</v>
      </c>
      <c r="Z320">
        <v>1</v>
      </c>
      <c r="AA320">
        <v>5</v>
      </c>
    </row>
    <row r="321" spans="1:27" x14ac:dyDescent="0.3">
      <c r="A321" s="2">
        <v>45508</v>
      </c>
      <c r="B321" t="s">
        <v>3</v>
      </c>
      <c r="C321" t="s">
        <v>9</v>
      </c>
      <c r="D321">
        <v>9</v>
      </c>
      <c r="E321">
        <v>24.44</v>
      </c>
      <c r="F321" t="s">
        <v>14</v>
      </c>
      <c r="G321" t="s">
        <v>16</v>
      </c>
      <c r="H321">
        <v>0.15</v>
      </c>
      <c r="I321" t="s">
        <v>18</v>
      </c>
      <c r="J321">
        <v>186.96600000000001</v>
      </c>
      <c r="K321" t="s">
        <v>25</v>
      </c>
      <c r="L321" t="s">
        <v>30</v>
      </c>
      <c r="M321">
        <v>1</v>
      </c>
      <c r="N321" t="s">
        <v>394</v>
      </c>
      <c r="O321" t="s">
        <v>1894</v>
      </c>
      <c r="P321">
        <v>22.06</v>
      </c>
      <c r="Q321">
        <f t="shared" si="4"/>
        <v>20.774000000000001</v>
      </c>
      <c r="R321">
        <v>164.90600000000001</v>
      </c>
      <c r="S321" s="2">
        <v>45508</v>
      </c>
      <c r="T321" s="2">
        <v>45518</v>
      </c>
      <c r="U321" t="s">
        <v>36</v>
      </c>
      <c r="V321">
        <v>4</v>
      </c>
      <c r="W321">
        <v>8</v>
      </c>
      <c r="X321" t="s">
        <v>48</v>
      </c>
      <c r="Y321">
        <v>2024</v>
      </c>
      <c r="Z321">
        <v>3</v>
      </c>
      <c r="AA321">
        <v>31</v>
      </c>
    </row>
    <row r="322" spans="1:27" x14ac:dyDescent="0.3">
      <c r="A322" s="2">
        <v>45588</v>
      </c>
      <c r="B322" t="s">
        <v>3</v>
      </c>
      <c r="C322" t="s">
        <v>10</v>
      </c>
      <c r="D322">
        <v>12</v>
      </c>
      <c r="E322">
        <v>352.2</v>
      </c>
      <c r="F322" t="s">
        <v>13</v>
      </c>
      <c r="G322" t="s">
        <v>17</v>
      </c>
      <c r="H322">
        <v>0.05</v>
      </c>
      <c r="I322" t="s">
        <v>18</v>
      </c>
      <c r="J322">
        <v>4015.079999999999</v>
      </c>
      <c r="K322" t="s">
        <v>26</v>
      </c>
      <c r="L322" t="s">
        <v>31</v>
      </c>
      <c r="M322">
        <v>0</v>
      </c>
      <c r="N322" t="s">
        <v>395</v>
      </c>
      <c r="O322" t="s">
        <v>1895</v>
      </c>
      <c r="P322">
        <v>18.39</v>
      </c>
      <c r="Q322">
        <f t="shared" si="4"/>
        <v>334.58999999999992</v>
      </c>
      <c r="R322">
        <v>3996.6899999999991</v>
      </c>
      <c r="S322" s="2">
        <v>45588</v>
      </c>
      <c r="T322" s="2">
        <v>45597</v>
      </c>
      <c r="U322" t="s">
        <v>36</v>
      </c>
      <c r="V322">
        <v>23</v>
      </c>
      <c r="W322">
        <v>10</v>
      </c>
      <c r="X322" t="s">
        <v>43</v>
      </c>
      <c r="Y322">
        <v>2024</v>
      </c>
      <c r="Z322">
        <v>4</v>
      </c>
      <c r="AA322">
        <v>43</v>
      </c>
    </row>
    <row r="323" spans="1:27" x14ac:dyDescent="0.3">
      <c r="A323" s="2">
        <v>45335</v>
      </c>
      <c r="B323" t="s">
        <v>4</v>
      </c>
      <c r="C323" t="s">
        <v>9</v>
      </c>
      <c r="D323">
        <v>7</v>
      </c>
      <c r="E323">
        <v>353.99</v>
      </c>
      <c r="F323" t="s">
        <v>14</v>
      </c>
      <c r="G323" t="s">
        <v>16</v>
      </c>
      <c r="H323">
        <v>0.05</v>
      </c>
      <c r="I323" t="s">
        <v>21</v>
      </c>
      <c r="J323">
        <v>2354.0335</v>
      </c>
      <c r="K323" t="s">
        <v>25</v>
      </c>
      <c r="L323" t="s">
        <v>29</v>
      </c>
      <c r="M323">
        <v>0</v>
      </c>
      <c r="N323" t="s">
        <v>396</v>
      </c>
      <c r="O323" t="s">
        <v>1896</v>
      </c>
      <c r="P323">
        <v>5.93</v>
      </c>
      <c r="Q323">
        <f t="shared" ref="Q323:Q386" si="5">J323/D323</f>
        <v>336.29050000000001</v>
      </c>
      <c r="R323">
        <v>2348.1035000000002</v>
      </c>
      <c r="S323" s="2">
        <v>45335</v>
      </c>
      <c r="T323" s="2">
        <v>45342</v>
      </c>
      <c r="U323" t="s">
        <v>37</v>
      </c>
      <c r="V323">
        <v>13</v>
      </c>
      <c r="W323">
        <v>2</v>
      </c>
      <c r="X323" t="s">
        <v>38</v>
      </c>
      <c r="Y323">
        <v>2024</v>
      </c>
      <c r="Z323">
        <v>1</v>
      </c>
      <c r="AA323">
        <v>7</v>
      </c>
    </row>
    <row r="324" spans="1:27" x14ac:dyDescent="0.3">
      <c r="A324" s="2">
        <v>45446</v>
      </c>
      <c r="B324" t="s">
        <v>1</v>
      </c>
      <c r="C324" t="s">
        <v>10</v>
      </c>
      <c r="D324">
        <v>15</v>
      </c>
      <c r="E324">
        <v>10.220000000000001</v>
      </c>
      <c r="F324" t="s">
        <v>14</v>
      </c>
      <c r="G324" t="s">
        <v>17</v>
      </c>
      <c r="H324">
        <v>0</v>
      </c>
      <c r="I324" t="s">
        <v>19</v>
      </c>
      <c r="J324">
        <v>153.30000000000001</v>
      </c>
      <c r="K324" t="s">
        <v>25</v>
      </c>
      <c r="L324" t="s">
        <v>29</v>
      </c>
      <c r="M324">
        <v>0</v>
      </c>
      <c r="N324" t="s">
        <v>397</v>
      </c>
      <c r="O324" t="s">
        <v>1897</v>
      </c>
      <c r="P324">
        <v>36.270000000000003</v>
      </c>
      <c r="Q324">
        <f t="shared" si="5"/>
        <v>10.220000000000001</v>
      </c>
      <c r="R324">
        <v>117.03</v>
      </c>
      <c r="S324" s="2">
        <v>45446</v>
      </c>
      <c r="T324" s="2">
        <v>45450</v>
      </c>
      <c r="U324" t="s">
        <v>34</v>
      </c>
      <c r="V324">
        <v>3</v>
      </c>
      <c r="W324">
        <v>6</v>
      </c>
      <c r="X324" t="s">
        <v>41</v>
      </c>
      <c r="Y324">
        <v>2024</v>
      </c>
      <c r="Z324">
        <v>2</v>
      </c>
      <c r="AA324">
        <v>23</v>
      </c>
    </row>
    <row r="325" spans="1:27" x14ac:dyDescent="0.3">
      <c r="A325" s="2">
        <v>45030</v>
      </c>
      <c r="B325" t="s">
        <v>1</v>
      </c>
      <c r="C325" t="s">
        <v>11</v>
      </c>
      <c r="D325">
        <v>17</v>
      </c>
      <c r="E325">
        <v>464.16</v>
      </c>
      <c r="F325" t="s">
        <v>13</v>
      </c>
      <c r="G325" t="s">
        <v>17</v>
      </c>
      <c r="H325">
        <v>0.15</v>
      </c>
      <c r="I325" t="s">
        <v>21</v>
      </c>
      <c r="J325">
        <v>6707.1120000000001</v>
      </c>
      <c r="K325" t="s">
        <v>27</v>
      </c>
      <c r="L325" t="s">
        <v>29</v>
      </c>
      <c r="M325">
        <v>1</v>
      </c>
      <c r="N325" t="s">
        <v>398</v>
      </c>
      <c r="O325" t="s">
        <v>1898</v>
      </c>
      <c r="P325">
        <v>46.83</v>
      </c>
      <c r="Q325">
        <f t="shared" si="5"/>
        <v>394.536</v>
      </c>
      <c r="R325">
        <v>6660.2820000000002</v>
      </c>
      <c r="S325" s="2">
        <v>45030</v>
      </c>
      <c r="T325" s="2">
        <v>45034</v>
      </c>
      <c r="U325" t="s">
        <v>34</v>
      </c>
      <c r="V325">
        <v>14</v>
      </c>
      <c r="W325">
        <v>4</v>
      </c>
      <c r="X325" t="s">
        <v>45</v>
      </c>
      <c r="Y325">
        <v>2023</v>
      </c>
      <c r="Z325">
        <v>2</v>
      </c>
      <c r="AA325">
        <v>15</v>
      </c>
    </row>
    <row r="326" spans="1:27" x14ac:dyDescent="0.3">
      <c r="A326" s="2">
        <v>45584</v>
      </c>
      <c r="B326" t="s">
        <v>3</v>
      </c>
      <c r="C326" t="s">
        <v>5</v>
      </c>
      <c r="D326">
        <v>16</v>
      </c>
      <c r="E326">
        <v>436.31</v>
      </c>
      <c r="F326" t="s">
        <v>14</v>
      </c>
      <c r="G326" t="s">
        <v>17</v>
      </c>
      <c r="H326">
        <v>0.05</v>
      </c>
      <c r="I326" t="s">
        <v>22</v>
      </c>
      <c r="J326">
        <v>6631.9119999999994</v>
      </c>
      <c r="K326" t="s">
        <v>24</v>
      </c>
      <c r="L326" t="s">
        <v>32</v>
      </c>
      <c r="M326">
        <v>0</v>
      </c>
      <c r="N326" t="s">
        <v>399</v>
      </c>
      <c r="O326" t="s">
        <v>1899</v>
      </c>
      <c r="P326">
        <v>47.61</v>
      </c>
      <c r="Q326">
        <f t="shared" si="5"/>
        <v>414.49449999999996</v>
      </c>
      <c r="R326">
        <v>6584.3019999999997</v>
      </c>
      <c r="S326" s="2">
        <v>45584</v>
      </c>
      <c r="T326" s="2">
        <v>45588</v>
      </c>
      <c r="U326" t="s">
        <v>36</v>
      </c>
      <c r="V326">
        <v>19</v>
      </c>
      <c r="W326">
        <v>10</v>
      </c>
      <c r="X326" t="s">
        <v>43</v>
      </c>
      <c r="Y326">
        <v>2024</v>
      </c>
      <c r="Z326">
        <v>4</v>
      </c>
      <c r="AA326">
        <v>42</v>
      </c>
    </row>
    <row r="327" spans="1:27" x14ac:dyDescent="0.3">
      <c r="A327" s="2">
        <v>45278</v>
      </c>
      <c r="B327" t="s">
        <v>1</v>
      </c>
      <c r="C327" t="s">
        <v>5</v>
      </c>
      <c r="D327">
        <v>9</v>
      </c>
      <c r="E327">
        <v>219.93</v>
      </c>
      <c r="F327" t="s">
        <v>12</v>
      </c>
      <c r="G327" t="s">
        <v>16</v>
      </c>
      <c r="H327">
        <v>0.05</v>
      </c>
      <c r="I327" t="s">
        <v>23</v>
      </c>
      <c r="J327">
        <v>1880.4014999999999</v>
      </c>
      <c r="K327" t="s">
        <v>25</v>
      </c>
      <c r="L327" t="s">
        <v>29</v>
      </c>
      <c r="M327">
        <v>0</v>
      </c>
      <c r="N327" t="s">
        <v>400</v>
      </c>
      <c r="O327" t="s">
        <v>1900</v>
      </c>
      <c r="P327">
        <v>44.78</v>
      </c>
      <c r="Q327">
        <f t="shared" si="5"/>
        <v>208.93349999999998</v>
      </c>
      <c r="R327">
        <v>1835.6215</v>
      </c>
      <c r="S327" s="2">
        <v>45278</v>
      </c>
      <c r="T327" s="2">
        <v>45282</v>
      </c>
      <c r="U327" t="s">
        <v>34</v>
      </c>
      <c r="V327">
        <v>18</v>
      </c>
      <c r="W327">
        <v>12</v>
      </c>
      <c r="X327" t="s">
        <v>39</v>
      </c>
      <c r="Y327">
        <v>2023</v>
      </c>
      <c r="Z327">
        <v>4</v>
      </c>
      <c r="AA327">
        <v>51</v>
      </c>
    </row>
    <row r="328" spans="1:27" x14ac:dyDescent="0.3">
      <c r="A328" s="2">
        <v>45169</v>
      </c>
      <c r="B328" t="s">
        <v>2</v>
      </c>
      <c r="C328" t="s">
        <v>5</v>
      </c>
      <c r="D328">
        <v>5</v>
      </c>
      <c r="E328">
        <v>311.22000000000003</v>
      </c>
      <c r="F328" t="s">
        <v>13</v>
      </c>
      <c r="G328" t="s">
        <v>16</v>
      </c>
      <c r="H328">
        <v>0.15</v>
      </c>
      <c r="I328" t="s">
        <v>22</v>
      </c>
      <c r="J328">
        <v>1322.6849999999999</v>
      </c>
      <c r="K328" t="s">
        <v>28</v>
      </c>
      <c r="L328" t="s">
        <v>29</v>
      </c>
      <c r="M328">
        <v>0</v>
      </c>
      <c r="N328" t="s">
        <v>401</v>
      </c>
      <c r="O328" t="s">
        <v>1901</v>
      </c>
      <c r="P328">
        <v>36.979999999999997</v>
      </c>
      <c r="Q328">
        <f t="shared" si="5"/>
        <v>264.53699999999998</v>
      </c>
      <c r="R328">
        <v>1285.7049999999999</v>
      </c>
      <c r="S328" s="2">
        <v>45169</v>
      </c>
      <c r="T328" s="2">
        <v>45175</v>
      </c>
      <c r="U328" t="s">
        <v>35</v>
      </c>
      <c r="V328">
        <v>31</v>
      </c>
      <c r="W328">
        <v>8</v>
      </c>
      <c r="X328" t="s">
        <v>48</v>
      </c>
      <c r="Y328">
        <v>2023</v>
      </c>
      <c r="Z328">
        <v>3</v>
      </c>
      <c r="AA328">
        <v>35</v>
      </c>
    </row>
    <row r="329" spans="1:27" x14ac:dyDescent="0.3">
      <c r="A329" s="2">
        <v>45188</v>
      </c>
      <c r="B329" t="s">
        <v>1</v>
      </c>
      <c r="C329" t="s">
        <v>5</v>
      </c>
      <c r="D329">
        <v>4</v>
      </c>
      <c r="E329">
        <v>547.55999999999995</v>
      </c>
      <c r="F329" t="s">
        <v>15</v>
      </c>
      <c r="G329" t="s">
        <v>17</v>
      </c>
      <c r="H329">
        <v>0.15</v>
      </c>
      <c r="I329" t="s">
        <v>20</v>
      </c>
      <c r="J329">
        <v>1861.704</v>
      </c>
      <c r="K329" t="s">
        <v>25</v>
      </c>
      <c r="L329" t="s">
        <v>32</v>
      </c>
      <c r="M329">
        <v>0</v>
      </c>
      <c r="N329" t="s">
        <v>402</v>
      </c>
      <c r="O329" t="s">
        <v>1902</v>
      </c>
      <c r="P329">
        <v>25.88</v>
      </c>
      <c r="Q329">
        <f t="shared" si="5"/>
        <v>465.42599999999999</v>
      </c>
      <c r="R329">
        <v>1835.8239999999998</v>
      </c>
      <c r="S329" s="2">
        <v>45188</v>
      </c>
      <c r="T329" s="2">
        <v>45195</v>
      </c>
      <c r="U329" t="s">
        <v>34</v>
      </c>
      <c r="V329">
        <v>19</v>
      </c>
      <c r="W329">
        <v>9</v>
      </c>
      <c r="X329" t="s">
        <v>49</v>
      </c>
      <c r="Y329">
        <v>2023</v>
      </c>
      <c r="Z329">
        <v>3</v>
      </c>
      <c r="AA329">
        <v>38</v>
      </c>
    </row>
    <row r="330" spans="1:27" x14ac:dyDescent="0.3">
      <c r="A330" s="2">
        <v>44984</v>
      </c>
      <c r="B330" t="s">
        <v>3</v>
      </c>
      <c r="C330" t="s">
        <v>5</v>
      </c>
      <c r="D330">
        <v>9</v>
      </c>
      <c r="E330">
        <v>52.69</v>
      </c>
      <c r="F330" t="s">
        <v>15</v>
      </c>
      <c r="G330" t="s">
        <v>17</v>
      </c>
      <c r="H330">
        <v>0.15</v>
      </c>
      <c r="I330" t="s">
        <v>22</v>
      </c>
      <c r="J330">
        <v>403.07850000000002</v>
      </c>
      <c r="K330" t="s">
        <v>24</v>
      </c>
      <c r="L330" t="s">
        <v>30</v>
      </c>
      <c r="M330">
        <v>0</v>
      </c>
      <c r="N330" t="s">
        <v>403</v>
      </c>
      <c r="O330" t="s">
        <v>1903</v>
      </c>
      <c r="P330">
        <v>14.59</v>
      </c>
      <c r="Q330">
        <f t="shared" si="5"/>
        <v>44.786500000000004</v>
      </c>
      <c r="R330">
        <v>388.48850000000004</v>
      </c>
      <c r="S330" s="2">
        <v>44984</v>
      </c>
      <c r="T330" s="2">
        <v>44989</v>
      </c>
      <c r="U330" t="s">
        <v>36</v>
      </c>
      <c r="V330">
        <v>27</v>
      </c>
      <c r="W330">
        <v>2</v>
      </c>
      <c r="X330" t="s">
        <v>38</v>
      </c>
      <c r="Y330">
        <v>2023</v>
      </c>
      <c r="Z330">
        <v>1</v>
      </c>
      <c r="AA330">
        <v>9</v>
      </c>
    </row>
    <row r="331" spans="1:27" x14ac:dyDescent="0.3">
      <c r="A331" s="2">
        <v>45319</v>
      </c>
      <c r="B331" t="s">
        <v>1</v>
      </c>
      <c r="C331" t="s">
        <v>10</v>
      </c>
      <c r="D331">
        <v>9</v>
      </c>
      <c r="E331">
        <v>434.74</v>
      </c>
      <c r="F331" t="s">
        <v>15</v>
      </c>
      <c r="G331" t="s">
        <v>16</v>
      </c>
      <c r="H331">
        <v>0.1</v>
      </c>
      <c r="I331" t="s">
        <v>23</v>
      </c>
      <c r="J331">
        <v>3521.3939999999998</v>
      </c>
      <c r="K331" t="s">
        <v>24</v>
      </c>
      <c r="L331" t="s">
        <v>30</v>
      </c>
      <c r="M331">
        <v>0</v>
      </c>
      <c r="N331" t="s">
        <v>404</v>
      </c>
      <c r="O331" t="s">
        <v>1904</v>
      </c>
      <c r="P331">
        <v>20.11</v>
      </c>
      <c r="Q331">
        <f t="shared" si="5"/>
        <v>391.26599999999996</v>
      </c>
      <c r="R331">
        <v>3501.2839999999997</v>
      </c>
      <c r="S331" s="2">
        <v>45319</v>
      </c>
      <c r="T331" s="2">
        <v>45322</v>
      </c>
      <c r="U331" t="s">
        <v>34</v>
      </c>
      <c r="V331">
        <v>28</v>
      </c>
      <c r="W331">
        <v>1</v>
      </c>
      <c r="X331" t="s">
        <v>42</v>
      </c>
      <c r="Y331">
        <v>2024</v>
      </c>
      <c r="Z331">
        <v>1</v>
      </c>
      <c r="AA331">
        <v>4</v>
      </c>
    </row>
    <row r="332" spans="1:27" x14ac:dyDescent="0.3">
      <c r="A332" s="2">
        <v>45783</v>
      </c>
      <c r="B332" t="s">
        <v>1</v>
      </c>
      <c r="C332" t="s">
        <v>9</v>
      </c>
      <c r="D332">
        <v>9</v>
      </c>
      <c r="E332">
        <v>124.17</v>
      </c>
      <c r="F332" t="s">
        <v>14</v>
      </c>
      <c r="G332" t="s">
        <v>16</v>
      </c>
      <c r="H332">
        <v>0</v>
      </c>
      <c r="I332" t="s">
        <v>18</v>
      </c>
      <c r="J332">
        <v>1117.53</v>
      </c>
      <c r="K332" t="s">
        <v>27</v>
      </c>
      <c r="L332" t="s">
        <v>31</v>
      </c>
      <c r="M332">
        <v>0</v>
      </c>
      <c r="N332" t="s">
        <v>405</v>
      </c>
      <c r="O332" t="s">
        <v>1905</v>
      </c>
      <c r="P332">
        <v>13.31</v>
      </c>
      <c r="Q332">
        <f t="shared" si="5"/>
        <v>124.17</v>
      </c>
      <c r="R332">
        <v>1104.22</v>
      </c>
      <c r="S332" s="2">
        <v>45783</v>
      </c>
      <c r="T332" s="2">
        <v>45787</v>
      </c>
      <c r="U332" t="s">
        <v>34</v>
      </c>
      <c r="V332">
        <v>6</v>
      </c>
      <c r="W332">
        <v>5</v>
      </c>
      <c r="X332" t="s">
        <v>40</v>
      </c>
      <c r="Y332">
        <v>2025</v>
      </c>
      <c r="Z332">
        <v>2</v>
      </c>
      <c r="AA332">
        <v>19</v>
      </c>
    </row>
    <row r="333" spans="1:27" x14ac:dyDescent="0.3">
      <c r="A333" s="2">
        <v>45548</v>
      </c>
      <c r="B333" t="s">
        <v>0</v>
      </c>
      <c r="C333" t="s">
        <v>9</v>
      </c>
      <c r="D333">
        <v>2</v>
      </c>
      <c r="E333">
        <v>375.48</v>
      </c>
      <c r="F333" t="s">
        <v>15</v>
      </c>
      <c r="G333" t="s">
        <v>17</v>
      </c>
      <c r="H333">
        <v>0.05</v>
      </c>
      <c r="I333" t="s">
        <v>22</v>
      </c>
      <c r="J333">
        <v>713.41200000000003</v>
      </c>
      <c r="K333" t="s">
        <v>26</v>
      </c>
      <c r="L333" t="s">
        <v>29</v>
      </c>
      <c r="M333">
        <v>0</v>
      </c>
      <c r="N333" t="s">
        <v>406</v>
      </c>
      <c r="O333" t="s">
        <v>1906</v>
      </c>
      <c r="P333">
        <v>26.39</v>
      </c>
      <c r="Q333">
        <f t="shared" si="5"/>
        <v>356.70600000000002</v>
      </c>
      <c r="R333">
        <v>687.02200000000005</v>
      </c>
      <c r="S333" s="2">
        <v>45548</v>
      </c>
      <c r="T333" s="2">
        <v>45550</v>
      </c>
      <c r="U333" t="s">
        <v>33</v>
      </c>
      <c r="V333">
        <v>13</v>
      </c>
      <c r="W333">
        <v>9</v>
      </c>
      <c r="X333" t="s">
        <v>49</v>
      </c>
      <c r="Y333">
        <v>2024</v>
      </c>
      <c r="Z333">
        <v>3</v>
      </c>
      <c r="AA333">
        <v>37</v>
      </c>
    </row>
    <row r="334" spans="1:27" x14ac:dyDescent="0.3">
      <c r="A334" s="2">
        <v>45071</v>
      </c>
      <c r="B334" t="s">
        <v>0</v>
      </c>
      <c r="C334" t="s">
        <v>11</v>
      </c>
      <c r="D334">
        <v>13</v>
      </c>
      <c r="E334">
        <v>211.06</v>
      </c>
      <c r="F334" t="s">
        <v>12</v>
      </c>
      <c r="G334" t="s">
        <v>17</v>
      </c>
      <c r="H334">
        <v>0.1</v>
      </c>
      <c r="I334" t="s">
        <v>23</v>
      </c>
      <c r="J334">
        <v>2469.402</v>
      </c>
      <c r="K334" t="s">
        <v>25</v>
      </c>
      <c r="L334" t="s">
        <v>32</v>
      </c>
      <c r="M334">
        <v>1</v>
      </c>
      <c r="N334" t="s">
        <v>407</v>
      </c>
      <c r="O334" t="s">
        <v>1907</v>
      </c>
      <c r="P334">
        <v>19.579999999999998</v>
      </c>
      <c r="Q334">
        <f t="shared" si="5"/>
        <v>189.95400000000001</v>
      </c>
      <c r="R334">
        <v>2449.8220000000001</v>
      </c>
      <c r="S334" s="2">
        <v>45071</v>
      </c>
      <c r="T334" s="2">
        <v>45075</v>
      </c>
      <c r="U334" t="s">
        <v>33</v>
      </c>
      <c r="V334">
        <v>25</v>
      </c>
      <c r="W334">
        <v>5</v>
      </c>
      <c r="X334" t="s">
        <v>40</v>
      </c>
      <c r="Y334">
        <v>2023</v>
      </c>
      <c r="Z334">
        <v>2</v>
      </c>
      <c r="AA334">
        <v>21</v>
      </c>
    </row>
    <row r="335" spans="1:27" x14ac:dyDescent="0.3">
      <c r="A335" s="2">
        <v>45561</v>
      </c>
      <c r="B335" t="s">
        <v>1</v>
      </c>
      <c r="C335" t="s">
        <v>10</v>
      </c>
      <c r="D335">
        <v>7</v>
      </c>
      <c r="E335">
        <v>88.87</v>
      </c>
      <c r="F335" t="s">
        <v>14</v>
      </c>
      <c r="G335" t="s">
        <v>17</v>
      </c>
      <c r="H335">
        <v>0</v>
      </c>
      <c r="I335" t="s">
        <v>19</v>
      </c>
      <c r="J335">
        <v>622.09</v>
      </c>
      <c r="K335" t="s">
        <v>24</v>
      </c>
      <c r="L335" t="s">
        <v>30</v>
      </c>
      <c r="M335">
        <v>0</v>
      </c>
      <c r="N335" t="s">
        <v>408</v>
      </c>
      <c r="O335" t="s">
        <v>1908</v>
      </c>
      <c r="P335">
        <v>8.36</v>
      </c>
      <c r="Q335">
        <f t="shared" si="5"/>
        <v>88.87</v>
      </c>
      <c r="R335">
        <v>613.73</v>
      </c>
      <c r="S335" s="2">
        <v>45561</v>
      </c>
      <c r="T335" s="2">
        <v>45566</v>
      </c>
      <c r="U335" t="s">
        <v>34</v>
      </c>
      <c r="V335">
        <v>26</v>
      </c>
      <c r="W335">
        <v>9</v>
      </c>
      <c r="X335" t="s">
        <v>49</v>
      </c>
      <c r="Y335">
        <v>2024</v>
      </c>
      <c r="Z335">
        <v>3</v>
      </c>
      <c r="AA335">
        <v>39</v>
      </c>
    </row>
    <row r="336" spans="1:27" x14ac:dyDescent="0.3">
      <c r="A336" s="2">
        <v>44970</v>
      </c>
      <c r="B336" t="s">
        <v>1</v>
      </c>
      <c r="C336" t="s">
        <v>6</v>
      </c>
      <c r="D336">
        <v>5</v>
      </c>
      <c r="E336">
        <v>254.24</v>
      </c>
      <c r="F336" t="s">
        <v>12</v>
      </c>
      <c r="G336" t="s">
        <v>16</v>
      </c>
      <c r="H336">
        <v>0.05</v>
      </c>
      <c r="I336" t="s">
        <v>23</v>
      </c>
      <c r="J336">
        <v>1207.6400000000001</v>
      </c>
      <c r="K336" t="s">
        <v>24</v>
      </c>
      <c r="L336" t="s">
        <v>32</v>
      </c>
      <c r="M336">
        <v>0</v>
      </c>
      <c r="N336" t="s">
        <v>409</v>
      </c>
      <c r="O336" t="s">
        <v>1909</v>
      </c>
      <c r="P336">
        <v>9.9700000000000006</v>
      </c>
      <c r="Q336">
        <f t="shared" si="5"/>
        <v>241.52800000000002</v>
      </c>
      <c r="R336">
        <v>1197.67</v>
      </c>
      <c r="S336" s="2">
        <v>44970</v>
      </c>
      <c r="T336" s="2">
        <v>44975</v>
      </c>
      <c r="U336" t="s">
        <v>34</v>
      </c>
      <c r="V336">
        <v>13</v>
      </c>
      <c r="W336">
        <v>2</v>
      </c>
      <c r="X336" t="s">
        <v>38</v>
      </c>
      <c r="Y336">
        <v>2023</v>
      </c>
      <c r="Z336">
        <v>1</v>
      </c>
      <c r="AA336">
        <v>7</v>
      </c>
    </row>
    <row r="337" spans="1:27" x14ac:dyDescent="0.3">
      <c r="A337" s="2">
        <v>45463</v>
      </c>
      <c r="B337" t="s">
        <v>3</v>
      </c>
      <c r="C337" t="s">
        <v>8</v>
      </c>
      <c r="D337">
        <v>5</v>
      </c>
      <c r="E337">
        <v>432.35</v>
      </c>
      <c r="F337" t="s">
        <v>14</v>
      </c>
      <c r="G337" t="s">
        <v>16</v>
      </c>
      <c r="H337">
        <v>0.1</v>
      </c>
      <c r="I337" t="s">
        <v>23</v>
      </c>
      <c r="J337">
        <v>1945.575</v>
      </c>
      <c r="K337" t="s">
        <v>25</v>
      </c>
      <c r="L337" t="s">
        <v>32</v>
      </c>
      <c r="M337">
        <v>1</v>
      </c>
      <c r="N337" t="s">
        <v>410</v>
      </c>
      <c r="O337" t="s">
        <v>1910</v>
      </c>
      <c r="P337">
        <v>41.48</v>
      </c>
      <c r="Q337">
        <f t="shared" si="5"/>
        <v>389.11500000000001</v>
      </c>
      <c r="R337">
        <v>1904.095</v>
      </c>
      <c r="S337" s="2">
        <v>45463</v>
      </c>
      <c r="T337" s="2">
        <v>45470</v>
      </c>
      <c r="U337" t="s">
        <v>36</v>
      </c>
      <c r="V337">
        <v>20</v>
      </c>
      <c r="W337">
        <v>6</v>
      </c>
      <c r="X337" t="s">
        <v>41</v>
      </c>
      <c r="Y337">
        <v>2024</v>
      </c>
      <c r="Z337">
        <v>2</v>
      </c>
      <c r="AA337">
        <v>25</v>
      </c>
    </row>
    <row r="338" spans="1:27" x14ac:dyDescent="0.3">
      <c r="A338" s="2">
        <v>45373</v>
      </c>
      <c r="B338" t="s">
        <v>4</v>
      </c>
      <c r="C338" t="s">
        <v>5</v>
      </c>
      <c r="D338">
        <v>19</v>
      </c>
      <c r="E338">
        <v>590</v>
      </c>
      <c r="F338" t="s">
        <v>15</v>
      </c>
      <c r="G338" t="s">
        <v>17</v>
      </c>
      <c r="H338">
        <v>0.05</v>
      </c>
      <c r="I338" t="s">
        <v>19</v>
      </c>
      <c r="J338">
        <v>10649.5</v>
      </c>
      <c r="K338" t="s">
        <v>24</v>
      </c>
      <c r="L338" t="s">
        <v>29</v>
      </c>
      <c r="M338">
        <v>0</v>
      </c>
      <c r="N338" t="s">
        <v>411</v>
      </c>
      <c r="O338" t="s">
        <v>1911</v>
      </c>
      <c r="P338">
        <v>5.91</v>
      </c>
      <c r="Q338">
        <f t="shared" si="5"/>
        <v>560.5</v>
      </c>
      <c r="R338">
        <v>10643.59</v>
      </c>
      <c r="S338" s="2">
        <v>45373</v>
      </c>
      <c r="T338" s="2">
        <v>45376</v>
      </c>
      <c r="U338" t="s">
        <v>37</v>
      </c>
      <c r="V338">
        <v>22</v>
      </c>
      <c r="W338">
        <v>3</v>
      </c>
      <c r="X338" t="s">
        <v>44</v>
      </c>
      <c r="Y338">
        <v>2024</v>
      </c>
      <c r="Z338">
        <v>1</v>
      </c>
      <c r="AA338">
        <v>12</v>
      </c>
    </row>
    <row r="339" spans="1:27" x14ac:dyDescent="0.3">
      <c r="A339" s="2">
        <v>45330</v>
      </c>
      <c r="B339" t="s">
        <v>4</v>
      </c>
      <c r="C339" t="s">
        <v>9</v>
      </c>
      <c r="D339">
        <v>11</v>
      </c>
      <c r="E339">
        <v>151.25</v>
      </c>
      <c r="F339" t="s">
        <v>12</v>
      </c>
      <c r="G339" t="s">
        <v>16</v>
      </c>
      <c r="H339">
        <v>0.1</v>
      </c>
      <c r="I339" t="s">
        <v>20</v>
      </c>
      <c r="J339">
        <v>1497.375</v>
      </c>
      <c r="K339" t="s">
        <v>26</v>
      </c>
      <c r="L339" t="s">
        <v>32</v>
      </c>
      <c r="M339">
        <v>1</v>
      </c>
      <c r="N339" t="s">
        <v>412</v>
      </c>
      <c r="O339" t="s">
        <v>1912</v>
      </c>
      <c r="P339">
        <v>22.65</v>
      </c>
      <c r="Q339">
        <f t="shared" si="5"/>
        <v>136.125</v>
      </c>
      <c r="R339">
        <v>1474.7249999999999</v>
      </c>
      <c r="S339" s="2">
        <v>45330</v>
      </c>
      <c r="T339" s="2">
        <v>45333</v>
      </c>
      <c r="U339" t="s">
        <v>37</v>
      </c>
      <c r="V339">
        <v>8</v>
      </c>
      <c r="W339">
        <v>2</v>
      </c>
      <c r="X339" t="s">
        <v>38</v>
      </c>
      <c r="Y339">
        <v>2024</v>
      </c>
      <c r="Z339">
        <v>1</v>
      </c>
      <c r="AA339">
        <v>6</v>
      </c>
    </row>
    <row r="340" spans="1:27" x14ac:dyDescent="0.3">
      <c r="A340" s="2">
        <v>45444</v>
      </c>
      <c r="B340" t="s">
        <v>0</v>
      </c>
      <c r="C340" t="s">
        <v>7</v>
      </c>
      <c r="D340">
        <v>3</v>
      </c>
      <c r="E340">
        <v>204.79</v>
      </c>
      <c r="F340" t="s">
        <v>12</v>
      </c>
      <c r="G340" t="s">
        <v>17</v>
      </c>
      <c r="H340">
        <v>0.1</v>
      </c>
      <c r="I340" t="s">
        <v>20</v>
      </c>
      <c r="J340">
        <v>552.93299999999999</v>
      </c>
      <c r="K340" t="s">
        <v>24</v>
      </c>
      <c r="L340" t="s">
        <v>29</v>
      </c>
      <c r="M340">
        <v>1</v>
      </c>
      <c r="N340" t="s">
        <v>413</v>
      </c>
      <c r="O340" t="s">
        <v>1913</v>
      </c>
      <c r="P340">
        <v>7.72</v>
      </c>
      <c r="Q340">
        <f t="shared" si="5"/>
        <v>184.31100000000001</v>
      </c>
      <c r="R340">
        <v>545.21299999999997</v>
      </c>
      <c r="S340" s="2">
        <v>45444</v>
      </c>
      <c r="T340" s="2">
        <v>45447</v>
      </c>
      <c r="U340" t="s">
        <v>33</v>
      </c>
      <c r="V340">
        <v>1</v>
      </c>
      <c r="W340">
        <v>6</v>
      </c>
      <c r="X340" t="s">
        <v>41</v>
      </c>
      <c r="Y340">
        <v>2024</v>
      </c>
      <c r="Z340">
        <v>2</v>
      </c>
      <c r="AA340">
        <v>22</v>
      </c>
    </row>
    <row r="341" spans="1:27" x14ac:dyDescent="0.3">
      <c r="A341" s="2">
        <v>45438</v>
      </c>
      <c r="B341" t="s">
        <v>2</v>
      </c>
      <c r="C341" t="s">
        <v>5</v>
      </c>
      <c r="D341">
        <v>16</v>
      </c>
      <c r="E341">
        <v>586.52</v>
      </c>
      <c r="F341" t="s">
        <v>14</v>
      </c>
      <c r="G341" t="s">
        <v>16</v>
      </c>
      <c r="H341">
        <v>0</v>
      </c>
      <c r="I341" t="s">
        <v>22</v>
      </c>
      <c r="J341">
        <v>9384.32</v>
      </c>
      <c r="K341" t="s">
        <v>26</v>
      </c>
      <c r="L341" t="s">
        <v>31</v>
      </c>
      <c r="M341">
        <v>1</v>
      </c>
      <c r="N341" t="s">
        <v>414</v>
      </c>
      <c r="O341" t="s">
        <v>1914</v>
      </c>
      <c r="P341">
        <v>17.059999999999999</v>
      </c>
      <c r="Q341">
        <f t="shared" si="5"/>
        <v>586.52</v>
      </c>
      <c r="R341">
        <v>9367.26</v>
      </c>
      <c r="S341" s="2">
        <v>45438</v>
      </c>
      <c r="T341" s="2">
        <v>45444</v>
      </c>
      <c r="U341" t="s">
        <v>35</v>
      </c>
      <c r="V341">
        <v>26</v>
      </c>
      <c r="W341">
        <v>5</v>
      </c>
      <c r="X341" t="s">
        <v>40</v>
      </c>
      <c r="Y341">
        <v>2024</v>
      </c>
      <c r="Z341">
        <v>2</v>
      </c>
      <c r="AA341">
        <v>21</v>
      </c>
    </row>
    <row r="342" spans="1:27" x14ac:dyDescent="0.3">
      <c r="A342" s="2">
        <v>45468</v>
      </c>
      <c r="B342" t="s">
        <v>0</v>
      </c>
      <c r="C342" t="s">
        <v>11</v>
      </c>
      <c r="D342">
        <v>16</v>
      </c>
      <c r="E342">
        <v>104.83</v>
      </c>
      <c r="F342" t="s">
        <v>13</v>
      </c>
      <c r="G342" t="s">
        <v>16</v>
      </c>
      <c r="H342">
        <v>0</v>
      </c>
      <c r="I342" t="s">
        <v>21</v>
      </c>
      <c r="J342">
        <v>1677.28</v>
      </c>
      <c r="K342" t="s">
        <v>25</v>
      </c>
      <c r="L342" t="s">
        <v>29</v>
      </c>
      <c r="M342">
        <v>0</v>
      </c>
      <c r="N342" t="s">
        <v>415</v>
      </c>
      <c r="O342" t="s">
        <v>1915</v>
      </c>
      <c r="P342">
        <v>33.99</v>
      </c>
      <c r="Q342">
        <f t="shared" si="5"/>
        <v>104.83</v>
      </c>
      <c r="R342">
        <v>1643.29</v>
      </c>
      <c r="S342" s="2">
        <v>45468</v>
      </c>
      <c r="T342" s="2">
        <v>45473</v>
      </c>
      <c r="U342" t="s">
        <v>33</v>
      </c>
      <c r="V342">
        <v>25</v>
      </c>
      <c r="W342">
        <v>6</v>
      </c>
      <c r="X342" t="s">
        <v>41</v>
      </c>
      <c r="Y342">
        <v>2024</v>
      </c>
      <c r="Z342">
        <v>2</v>
      </c>
      <c r="AA342">
        <v>26</v>
      </c>
    </row>
    <row r="343" spans="1:27" x14ac:dyDescent="0.3">
      <c r="A343" s="2">
        <v>45320</v>
      </c>
      <c r="B343" t="s">
        <v>3</v>
      </c>
      <c r="C343" t="s">
        <v>11</v>
      </c>
      <c r="D343">
        <v>16</v>
      </c>
      <c r="E343">
        <v>598.48</v>
      </c>
      <c r="F343" t="s">
        <v>13</v>
      </c>
      <c r="G343" t="s">
        <v>17</v>
      </c>
      <c r="H343">
        <v>0.1</v>
      </c>
      <c r="I343" t="s">
        <v>20</v>
      </c>
      <c r="J343">
        <v>8618.112000000001</v>
      </c>
      <c r="K343" t="s">
        <v>28</v>
      </c>
      <c r="L343" t="s">
        <v>32</v>
      </c>
      <c r="M343">
        <v>0</v>
      </c>
      <c r="N343" t="s">
        <v>416</v>
      </c>
      <c r="O343" t="s">
        <v>1916</v>
      </c>
      <c r="P343">
        <v>47.86</v>
      </c>
      <c r="Q343">
        <f t="shared" si="5"/>
        <v>538.63200000000006</v>
      </c>
      <c r="R343">
        <v>8570.2520000000004</v>
      </c>
      <c r="S343" s="2">
        <v>45320</v>
      </c>
      <c r="T343" s="2">
        <v>45329</v>
      </c>
      <c r="U343" t="s">
        <v>36</v>
      </c>
      <c r="V343">
        <v>29</v>
      </c>
      <c r="W343">
        <v>1</v>
      </c>
      <c r="X343" t="s">
        <v>42</v>
      </c>
      <c r="Y343">
        <v>2024</v>
      </c>
      <c r="Z343">
        <v>1</v>
      </c>
      <c r="AA343">
        <v>5</v>
      </c>
    </row>
    <row r="344" spans="1:27" x14ac:dyDescent="0.3">
      <c r="A344" s="2">
        <v>45633</v>
      </c>
      <c r="B344" t="s">
        <v>1</v>
      </c>
      <c r="C344" t="s">
        <v>8</v>
      </c>
      <c r="D344">
        <v>8</v>
      </c>
      <c r="E344">
        <v>367.89</v>
      </c>
      <c r="F344" t="s">
        <v>12</v>
      </c>
      <c r="G344" t="s">
        <v>17</v>
      </c>
      <c r="H344">
        <v>0.05</v>
      </c>
      <c r="I344" t="s">
        <v>19</v>
      </c>
      <c r="J344">
        <v>2795.9639999999999</v>
      </c>
      <c r="K344" t="s">
        <v>28</v>
      </c>
      <c r="L344" t="s">
        <v>29</v>
      </c>
      <c r="M344">
        <v>0</v>
      </c>
      <c r="N344" t="s">
        <v>417</v>
      </c>
      <c r="O344" t="s">
        <v>1917</v>
      </c>
      <c r="P344">
        <v>18.100000000000001</v>
      </c>
      <c r="Q344">
        <f t="shared" si="5"/>
        <v>349.49549999999999</v>
      </c>
      <c r="R344">
        <v>2777.864</v>
      </c>
      <c r="S344" s="2">
        <v>45633</v>
      </c>
      <c r="T344" s="2">
        <v>45635</v>
      </c>
      <c r="U344" t="s">
        <v>34</v>
      </c>
      <c r="V344">
        <v>7</v>
      </c>
      <c r="W344">
        <v>12</v>
      </c>
      <c r="X344" t="s">
        <v>39</v>
      </c>
      <c r="Y344">
        <v>2024</v>
      </c>
      <c r="Z344">
        <v>4</v>
      </c>
      <c r="AA344">
        <v>49</v>
      </c>
    </row>
    <row r="345" spans="1:27" x14ac:dyDescent="0.3">
      <c r="A345" s="2">
        <v>45251</v>
      </c>
      <c r="B345" t="s">
        <v>4</v>
      </c>
      <c r="C345" t="s">
        <v>8</v>
      </c>
      <c r="D345">
        <v>10</v>
      </c>
      <c r="E345">
        <v>333.35</v>
      </c>
      <c r="F345" t="s">
        <v>13</v>
      </c>
      <c r="G345" t="s">
        <v>17</v>
      </c>
      <c r="H345">
        <v>0.15</v>
      </c>
      <c r="I345" t="s">
        <v>19</v>
      </c>
      <c r="J345">
        <v>2833.4749999999999</v>
      </c>
      <c r="K345" t="s">
        <v>27</v>
      </c>
      <c r="L345" t="s">
        <v>29</v>
      </c>
      <c r="M345">
        <v>0</v>
      </c>
      <c r="N345" t="s">
        <v>418</v>
      </c>
      <c r="O345" t="s">
        <v>1918</v>
      </c>
      <c r="P345">
        <v>39.35</v>
      </c>
      <c r="Q345">
        <f t="shared" si="5"/>
        <v>283.34749999999997</v>
      </c>
      <c r="R345">
        <v>2794.125</v>
      </c>
      <c r="S345" s="2">
        <v>45251</v>
      </c>
      <c r="T345" s="2">
        <v>45256</v>
      </c>
      <c r="U345" t="s">
        <v>37</v>
      </c>
      <c r="V345">
        <v>21</v>
      </c>
      <c r="W345">
        <v>11</v>
      </c>
      <c r="X345" t="s">
        <v>47</v>
      </c>
      <c r="Y345">
        <v>2023</v>
      </c>
      <c r="Z345">
        <v>4</v>
      </c>
      <c r="AA345">
        <v>47</v>
      </c>
    </row>
    <row r="346" spans="1:27" x14ac:dyDescent="0.3">
      <c r="A346" s="2">
        <v>45642</v>
      </c>
      <c r="B346" t="s">
        <v>2</v>
      </c>
      <c r="C346" t="s">
        <v>8</v>
      </c>
      <c r="D346">
        <v>8</v>
      </c>
      <c r="E346">
        <v>378.88</v>
      </c>
      <c r="F346" t="s">
        <v>13</v>
      </c>
      <c r="G346" t="s">
        <v>16</v>
      </c>
      <c r="H346">
        <v>0.1</v>
      </c>
      <c r="I346" t="s">
        <v>20</v>
      </c>
      <c r="J346">
        <v>2727.9360000000001</v>
      </c>
      <c r="K346" t="s">
        <v>27</v>
      </c>
      <c r="L346" t="s">
        <v>31</v>
      </c>
      <c r="M346">
        <v>1</v>
      </c>
      <c r="N346" t="s">
        <v>419</v>
      </c>
      <c r="O346" t="s">
        <v>1919</v>
      </c>
      <c r="P346">
        <v>5.22</v>
      </c>
      <c r="Q346">
        <f t="shared" si="5"/>
        <v>340.99200000000002</v>
      </c>
      <c r="R346">
        <v>2722.7160000000003</v>
      </c>
      <c r="S346" s="2">
        <v>45642</v>
      </c>
      <c r="T346" s="2">
        <v>45650</v>
      </c>
      <c r="U346" t="s">
        <v>35</v>
      </c>
      <c r="V346">
        <v>16</v>
      </c>
      <c r="W346">
        <v>12</v>
      </c>
      <c r="X346" t="s">
        <v>39</v>
      </c>
      <c r="Y346">
        <v>2024</v>
      </c>
      <c r="Z346">
        <v>4</v>
      </c>
      <c r="AA346">
        <v>51</v>
      </c>
    </row>
    <row r="347" spans="1:27" x14ac:dyDescent="0.3">
      <c r="A347" s="2">
        <v>45143</v>
      </c>
      <c r="B347" t="s">
        <v>3</v>
      </c>
      <c r="C347" t="s">
        <v>9</v>
      </c>
      <c r="D347">
        <v>12</v>
      </c>
      <c r="E347">
        <v>169.2</v>
      </c>
      <c r="F347" t="s">
        <v>14</v>
      </c>
      <c r="G347" t="s">
        <v>17</v>
      </c>
      <c r="H347">
        <v>0.05</v>
      </c>
      <c r="I347" t="s">
        <v>22</v>
      </c>
      <c r="J347">
        <v>1928.88</v>
      </c>
      <c r="K347" t="s">
        <v>25</v>
      </c>
      <c r="L347" t="s">
        <v>30</v>
      </c>
      <c r="M347">
        <v>0</v>
      </c>
      <c r="N347" t="s">
        <v>420</v>
      </c>
      <c r="O347" t="s">
        <v>1920</v>
      </c>
      <c r="P347">
        <v>28.65</v>
      </c>
      <c r="Q347">
        <f t="shared" si="5"/>
        <v>160.74</v>
      </c>
      <c r="R347">
        <v>1900.23</v>
      </c>
      <c r="S347" s="2">
        <v>45143</v>
      </c>
      <c r="T347" s="2">
        <v>45153</v>
      </c>
      <c r="U347" t="s">
        <v>36</v>
      </c>
      <c r="V347">
        <v>5</v>
      </c>
      <c r="W347">
        <v>8</v>
      </c>
      <c r="X347" t="s">
        <v>48</v>
      </c>
      <c r="Y347">
        <v>2023</v>
      </c>
      <c r="Z347">
        <v>3</v>
      </c>
      <c r="AA347">
        <v>31</v>
      </c>
    </row>
    <row r="348" spans="1:27" x14ac:dyDescent="0.3">
      <c r="A348" s="2">
        <v>45168</v>
      </c>
      <c r="B348" t="s">
        <v>3</v>
      </c>
      <c r="C348" t="s">
        <v>8</v>
      </c>
      <c r="D348">
        <v>7</v>
      </c>
      <c r="E348">
        <v>103.03</v>
      </c>
      <c r="F348" t="s">
        <v>15</v>
      </c>
      <c r="G348" t="s">
        <v>17</v>
      </c>
      <c r="H348">
        <v>0.1</v>
      </c>
      <c r="I348" t="s">
        <v>23</v>
      </c>
      <c r="J348">
        <v>649.08900000000006</v>
      </c>
      <c r="K348" t="s">
        <v>24</v>
      </c>
      <c r="L348" t="s">
        <v>29</v>
      </c>
      <c r="M348">
        <v>1</v>
      </c>
      <c r="N348" t="s">
        <v>421</v>
      </c>
      <c r="O348" t="s">
        <v>1921</v>
      </c>
      <c r="P348">
        <v>5.29</v>
      </c>
      <c r="Q348">
        <f t="shared" si="5"/>
        <v>92.727000000000004</v>
      </c>
      <c r="R348">
        <v>643.79900000000009</v>
      </c>
      <c r="S348" s="2">
        <v>45168</v>
      </c>
      <c r="T348" s="2">
        <v>45175</v>
      </c>
      <c r="U348" t="s">
        <v>36</v>
      </c>
      <c r="V348">
        <v>30</v>
      </c>
      <c r="W348">
        <v>8</v>
      </c>
      <c r="X348" t="s">
        <v>48</v>
      </c>
      <c r="Y348">
        <v>2023</v>
      </c>
      <c r="Z348">
        <v>3</v>
      </c>
      <c r="AA348">
        <v>35</v>
      </c>
    </row>
    <row r="349" spans="1:27" x14ac:dyDescent="0.3">
      <c r="A349" s="2">
        <v>45741</v>
      </c>
      <c r="B349" t="s">
        <v>0</v>
      </c>
      <c r="C349" t="s">
        <v>11</v>
      </c>
      <c r="D349">
        <v>3</v>
      </c>
      <c r="E349">
        <v>378.74</v>
      </c>
      <c r="F349" t="s">
        <v>15</v>
      </c>
      <c r="G349" t="s">
        <v>16</v>
      </c>
      <c r="H349">
        <v>0.15</v>
      </c>
      <c r="I349" t="s">
        <v>20</v>
      </c>
      <c r="J349">
        <v>965.78700000000003</v>
      </c>
      <c r="K349" t="s">
        <v>24</v>
      </c>
      <c r="L349" t="s">
        <v>30</v>
      </c>
      <c r="M349">
        <v>0</v>
      </c>
      <c r="N349" t="s">
        <v>422</v>
      </c>
      <c r="O349" t="s">
        <v>1922</v>
      </c>
      <c r="P349">
        <v>8.2200000000000006</v>
      </c>
      <c r="Q349">
        <f t="shared" si="5"/>
        <v>321.92900000000003</v>
      </c>
      <c r="R349">
        <v>957.56700000000001</v>
      </c>
      <c r="S349" s="2">
        <v>45741</v>
      </c>
      <c r="T349" s="2">
        <v>45743</v>
      </c>
      <c r="U349" t="s">
        <v>33</v>
      </c>
      <c r="V349">
        <v>25</v>
      </c>
      <c r="W349">
        <v>3</v>
      </c>
      <c r="X349" t="s">
        <v>44</v>
      </c>
      <c r="Y349">
        <v>2025</v>
      </c>
      <c r="Z349">
        <v>1</v>
      </c>
      <c r="AA349">
        <v>13</v>
      </c>
    </row>
    <row r="350" spans="1:27" x14ac:dyDescent="0.3">
      <c r="A350" s="2">
        <v>45639</v>
      </c>
      <c r="B350" t="s">
        <v>2</v>
      </c>
      <c r="C350" t="s">
        <v>6</v>
      </c>
      <c r="D350">
        <v>15</v>
      </c>
      <c r="E350">
        <v>27.21</v>
      </c>
      <c r="F350" t="s">
        <v>14</v>
      </c>
      <c r="G350" t="s">
        <v>16</v>
      </c>
      <c r="H350">
        <v>0</v>
      </c>
      <c r="I350" t="s">
        <v>19</v>
      </c>
      <c r="J350">
        <v>408.15</v>
      </c>
      <c r="K350" t="s">
        <v>24</v>
      </c>
      <c r="L350" t="s">
        <v>31</v>
      </c>
      <c r="M350">
        <v>0</v>
      </c>
      <c r="N350" t="s">
        <v>423</v>
      </c>
      <c r="O350" t="s">
        <v>1923</v>
      </c>
      <c r="P350">
        <v>43.69</v>
      </c>
      <c r="Q350">
        <f t="shared" si="5"/>
        <v>27.209999999999997</v>
      </c>
      <c r="R350">
        <v>364.46</v>
      </c>
      <c r="S350" s="2">
        <v>45639</v>
      </c>
      <c r="T350" s="2">
        <v>45648</v>
      </c>
      <c r="U350" t="s">
        <v>35</v>
      </c>
      <c r="V350">
        <v>13</v>
      </c>
      <c r="W350">
        <v>12</v>
      </c>
      <c r="X350" t="s">
        <v>39</v>
      </c>
      <c r="Y350">
        <v>2024</v>
      </c>
      <c r="Z350">
        <v>4</v>
      </c>
      <c r="AA350">
        <v>50</v>
      </c>
    </row>
    <row r="351" spans="1:27" x14ac:dyDescent="0.3">
      <c r="A351" s="2">
        <v>45176</v>
      </c>
      <c r="B351" t="s">
        <v>3</v>
      </c>
      <c r="C351" t="s">
        <v>6</v>
      </c>
      <c r="D351">
        <v>14</v>
      </c>
      <c r="E351">
        <v>52.09</v>
      </c>
      <c r="F351" t="s">
        <v>13</v>
      </c>
      <c r="G351" t="s">
        <v>17</v>
      </c>
      <c r="H351">
        <v>0</v>
      </c>
      <c r="I351" t="s">
        <v>23</v>
      </c>
      <c r="J351">
        <v>729.26</v>
      </c>
      <c r="K351" t="s">
        <v>25</v>
      </c>
      <c r="L351" t="s">
        <v>32</v>
      </c>
      <c r="M351">
        <v>1</v>
      </c>
      <c r="N351" t="s">
        <v>424</v>
      </c>
      <c r="O351" t="s">
        <v>1924</v>
      </c>
      <c r="P351">
        <v>48.02</v>
      </c>
      <c r="Q351">
        <f t="shared" si="5"/>
        <v>52.089999999999996</v>
      </c>
      <c r="R351">
        <v>681.24</v>
      </c>
      <c r="S351" s="2">
        <v>45176</v>
      </c>
      <c r="T351" s="2">
        <v>45183</v>
      </c>
      <c r="U351" t="s">
        <v>36</v>
      </c>
      <c r="V351">
        <v>7</v>
      </c>
      <c r="W351">
        <v>9</v>
      </c>
      <c r="X351" t="s">
        <v>49</v>
      </c>
      <c r="Y351">
        <v>2023</v>
      </c>
      <c r="Z351">
        <v>3</v>
      </c>
      <c r="AA351">
        <v>36</v>
      </c>
    </row>
    <row r="352" spans="1:27" x14ac:dyDescent="0.3">
      <c r="A352" s="2">
        <v>45272</v>
      </c>
      <c r="B352" t="s">
        <v>2</v>
      </c>
      <c r="C352" t="s">
        <v>9</v>
      </c>
      <c r="D352">
        <v>7</v>
      </c>
      <c r="E352">
        <v>570.01</v>
      </c>
      <c r="F352" t="s">
        <v>14</v>
      </c>
      <c r="G352" t="s">
        <v>16</v>
      </c>
      <c r="H352">
        <v>0</v>
      </c>
      <c r="I352" t="s">
        <v>21</v>
      </c>
      <c r="J352">
        <v>3990.07</v>
      </c>
      <c r="K352" t="s">
        <v>26</v>
      </c>
      <c r="L352" t="s">
        <v>31</v>
      </c>
      <c r="M352">
        <v>0</v>
      </c>
      <c r="N352" t="s">
        <v>425</v>
      </c>
      <c r="O352" t="s">
        <v>1925</v>
      </c>
      <c r="P352">
        <v>42.33</v>
      </c>
      <c r="Q352">
        <f t="shared" si="5"/>
        <v>570.01</v>
      </c>
      <c r="R352">
        <v>3947.7400000000002</v>
      </c>
      <c r="S352" s="2">
        <v>45272</v>
      </c>
      <c r="T352" s="2">
        <v>45281</v>
      </c>
      <c r="U352" t="s">
        <v>35</v>
      </c>
      <c r="V352">
        <v>12</v>
      </c>
      <c r="W352">
        <v>12</v>
      </c>
      <c r="X352" t="s">
        <v>39</v>
      </c>
      <c r="Y352">
        <v>2023</v>
      </c>
      <c r="Z352">
        <v>4</v>
      </c>
      <c r="AA352">
        <v>50</v>
      </c>
    </row>
    <row r="353" spans="1:27" x14ac:dyDescent="0.3">
      <c r="A353" s="2">
        <v>45407</v>
      </c>
      <c r="B353" t="s">
        <v>0</v>
      </c>
      <c r="C353" t="s">
        <v>9</v>
      </c>
      <c r="D353">
        <v>19</v>
      </c>
      <c r="E353">
        <v>526.23</v>
      </c>
      <c r="F353" t="s">
        <v>12</v>
      </c>
      <c r="G353" t="s">
        <v>17</v>
      </c>
      <c r="H353">
        <v>0</v>
      </c>
      <c r="I353" t="s">
        <v>23</v>
      </c>
      <c r="J353">
        <v>9998.3700000000008</v>
      </c>
      <c r="K353" t="s">
        <v>26</v>
      </c>
      <c r="L353" t="s">
        <v>31</v>
      </c>
      <c r="M353">
        <v>0</v>
      </c>
      <c r="N353" t="s">
        <v>426</v>
      </c>
      <c r="O353" t="s">
        <v>1926</v>
      </c>
      <c r="P353">
        <v>32.770000000000003</v>
      </c>
      <c r="Q353">
        <f t="shared" si="5"/>
        <v>526.23</v>
      </c>
      <c r="R353">
        <v>9965.6</v>
      </c>
      <c r="S353" s="2">
        <v>45407</v>
      </c>
      <c r="T353" s="2">
        <v>45417</v>
      </c>
      <c r="U353" t="s">
        <v>33</v>
      </c>
      <c r="V353">
        <v>25</v>
      </c>
      <c r="W353">
        <v>4</v>
      </c>
      <c r="X353" t="s">
        <v>45</v>
      </c>
      <c r="Y353">
        <v>2024</v>
      </c>
      <c r="Z353">
        <v>2</v>
      </c>
      <c r="AA353">
        <v>17</v>
      </c>
    </row>
    <row r="354" spans="1:27" x14ac:dyDescent="0.3">
      <c r="A354" s="2">
        <v>45781</v>
      </c>
      <c r="B354" t="s">
        <v>2</v>
      </c>
      <c r="C354" t="s">
        <v>5</v>
      </c>
      <c r="D354">
        <v>8</v>
      </c>
      <c r="E354">
        <v>294.51</v>
      </c>
      <c r="F354" t="s">
        <v>13</v>
      </c>
      <c r="G354" t="s">
        <v>16</v>
      </c>
      <c r="H354">
        <v>0.15</v>
      </c>
      <c r="I354" t="s">
        <v>22</v>
      </c>
      <c r="J354">
        <v>2002.6679999999999</v>
      </c>
      <c r="K354" t="s">
        <v>25</v>
      </c>
      <c r="L354" t="s">
        <v>32</v>
      </c>
      <c r="M354">
        <v>0</v>
      </c>
      <c r="N354" t="s">
        <v>427</v>
      </c>
      <c r="O354" t="s">
        <v>1927</v>
      </c>
      <c r="P354">
        <v>10.46</v>
      </c>
      <c r="Q354">
        <f t="shared" si="5"/>
        <v>250.33349999999999</v>
      </c>
      <c r="R354">
        <v>1992.2079999999999</v>
      </c>
      <c r="S354" s="2">
        <v>45781</v>
      </c>
      <c r="T354" s="2">
        <v>45784</v>
      </c>
      <c r="U354" t="s">
        <v>35</v>
      </c>
      <c r="V354">
        <v>4</v>
      </c>
      <c r="W354">
        <v>5</v>
      </c>
      <c r="X354" t="s">
        <v>40</v>
      </c>
      <c r="Y354">
        <v>2025</v>
      </c>
      <c r="Z354">
        <v>2</v>
      </c>
      <c r="AA354">
        <v>18</v>
      </c>
    </row>
    <row r="355" spans="1:27" x14ac:dyDescent="0.3">
      <c r="A355" s="2">
        <v>45185</v>
      </c>
      <c r="B355" t="s">
        <v>1</v>
      </c>
      <c r="C355" t="s">
        <v>9</v>
      </c>
      <c r="D355">
        <v>18</v>
      </c>
      <c r="E355">
        <v>448.27</v>
      </c>
      <c r="F355" t="s">
        <v>14</v>
      </c>
      <c r="G355" t="s">
        <v>16</v>
      </c>
      <c r="H355">
        <v>0.05</v>
      </c>
      <c r="I355" t="s">
        <v>22</v>
      </c>
      <c r="J355">
        <v>7665.4169999999986</v>
      </c>
      <c r="K355" t="s">
        <v>26</v>
      </c>
      <c r="L355" t="s">
        <v>30</v>
      </c>
      <c r="M355">
        <v>0</v>
      </c>
      <c r="N355" t="s">
        <v>428</v>
      </c>
      <c r="O355" t="s">
        <v>1928</v>
      </c>
      <c r="P355">
        <v>47.56</v>
      </c>
      <c r="Q355">
        <f t="shared" si="5"/>
        <v>425.85649999999993</v>
      </c>
      <c r="R355">
        <v>7617.8569999999982</v>
      </c>
      <c r="S355" s="2">
        <v>45185</v>
      </c>
      <c r="T355" s="2">
        <v>45189</v>
      </c>
      <c r="U355" t="s">
        <v>34</v>
      </c>
      <c r="V355">
        <v>16</v>
      </c>
      <c r="W355">
        <v>9</v>
      </c>
      <c r="X355" t="s">
        <v>49</v>
      </c>
      <c r="Y355">
        <v>2023</v>
      </c>
      <c r="Z355">
        <v>3</v>
      </c>
      <c r="AA355">
        <v>37</v>
      </c>
    </row>
    <row r="356" spans="1:27" x14ac:dyDescent="0.3">
      <c r="A356" s="2">
        <v>45588</v>
      </c>
      <c r="B356" t="s">
        <v>4</v>
      </c>
      <c r="C356" t="s">
        <v>7</v>
      </c>
      <c r="D356">
        <v>17</v>
      </c>
      <c r="E356">
        <v>583.88</v>
      </c>
      <c r="F356" t="s">
        <v>15</v>
      </c>
      <c r="G356" t="s">
        <v>17</v>
      </c>
      <c r="H356">
        <v>0.1</v>
      </c>
      <c r="I356" t="s">
        <v>19</v>
      </c>
      <c r="J356">
        <v>8933.3639999999996</v>
      </c>
      <c r="K356" t="s">
        <v>26</v>
      </c>
      <c r="L356" t="s">
        <v>31</v>
      </c>
      <c r="M356">
        <v>0</v>
      </c>
      <c r="N356" t="s">
        <v>429</v>
      </c>
      <c r="O356" t="s">
        <v>1929</v>
      </c>
      <c r="P356">
        <v>37.53</v>
      </c>
      <c r="Q356">
        <f t="shared" si="5"/>
        <v>525.49199999999996</v>
      </c>
      <c r="R356">
        <v>8895.8339999999989</v>
      </c>
      <c r="S356" s="2">
        <v>45588</v>
      </c>
      <c r="T356" s="2">
        <v>45591</v>
      </c>
      <c r="U356" t="s">
        <v>37</v>
      </c>
      <c r="V356">
        <v>23</v>
      </c>
      <c r="W356">
        <v>10</v>
      </c>
      <c r="X356" t="s">
        <v>43</v>
      </c>
      <c r="Y356">
        <v>2024</v>
      </c>
      <c r="Z356">
        <v>4</v>
      </c>
      <c r="AA356">
        <v>43</v>
      </c>
    </row>
    <row r="357" spans="1:27" x14ac:dyDescent="0.3">
      <c r="A357" s="2">
        <v>45049</v>
      </c>
      <c r="B357" t="s">
        <v>2</v>
      </c>
      <c r="C357" t="s">
        <v>7</v>
      </c>
      <c r="D357">
        <v>2</v>
      </c>
      <c r="E357">
        <v>97.5</v>
      </c>
      <c r="F357" t="s">
        <v>15</v>
      </c>
      <c r="G357" t="s">
        <v>17</v>
      </c>
      <c r="H357">
        <v>0.1</v>
      </c>
      <c r="I357" t="s">
        <v>19</v>
      </c>
      <c r="J357">
        <v>175.5</v>
      </c>
      <c r="K357" t="s">
        <v>28</v>
      </c>
      <c r="L357" t="s">
        <v>32</v>
      </c>
      <c r="M357">
        <v>1</v>
      </c>
      <c r="N357" t="s">
        <v>430</v>
      </c>
      <c r="O357" t="s">
        <v>1930</v>
      </c>
      <c r="P357">
        <v>46.37</v>
      </c>
      <c r="Q357">
        <f t="shared" si="5"/>
        <v>87.75</v>
      </c>
      <c r="R357">
        <v>129.13</v>
      </c>
      <c r="S357" s="2">
        <v>45049</v>
      </c>
      <c r="T357" s="2">
        <v>45052</v>
      </c>
      <c r="U357" t="s">
        <v>35</v>
      </c>
      <c r="V357">
        <v>3</v>
      </c>
      <c r="W357">
        <v>5</v>
      </c>
      <c r="X357" t="s">
        <v>40</v>
      </c>
      <c r="Y357">
        <v>2023</v>
      </c>
      <c r="Z357">
        <v>2</v>
      </c>
      <c r="AA357">
        <v>18</v>
      </c>
    </row>
    <row r="358" spans="1:27" x14ac:dyDescent="0.3">
      <c r="A358" s="2">
        <v>45734</v>
      </c>
      <c r="B358" t="s">
        <v>2</v>
      </c>
      <c r="C358" t="s">
        <v>11</v>
      </c>
      <c r="D358">
        <v>16</v>
      </c>
      <c r="E358">
        <v>420.79</v>
      </c>
      <c r="F358" t="s">
        <v>12</v>
      </c>
      <c r="G358" t="s">
        <v>16</v>
      </c>
      <c r="H358">
        <v>0.15</v>
      </c>
      <c r="I358" t="s">
        <v>21</v>
      </c>
      <c r="J358">
        <v>5722.7439999999997</v>
      </c>
      <c r="K358" t="s">
        <v>28</v>
      </c>
      <c r="L358" t="s">
        <v>29</v>
      </c>
      <c r="M358">
        <v>1</v>
      </c>
      <c r="N358" t="s">
        <v>431</v>
      </c>
      <c r="O358" t="s">
        <v>1931</v>
      </c>
      <c r="P358">
        <v>22.13</v>
      </c>
      <c r="Q358">
        <f t="shared" si="5"/>
        <v>357.67149999999998</v>
      </c>
      <c r="R358">
        <v>5700.6139999999996</v>
      </c>
      <c r="S358" s="2">
        <v>45734</v>
      </c>
      <c r="T358" s="2">
        <v>45741</v>
      </c>
      <c r="U358" t="s">
        <v>35</v>
      </c>
      <c r="V358">
        <v>18</v>
      </c>
      <c r="W358">
        <v>3</v>
      </c>
      <c r="X358" t="s">
        <v>44</v>
      </c>
      <c r="Y358">
        <v>2025</v>
      </c>
      <c r="Z358">
        <v>1</v>
      </c>
      <c r="AA358">
        <v>12</v>
      </c>
    </row>
    <row r="359" spans="1:27" x14ac:dyDescent="0.3">
      <c r="A359" s="2">
        <v>45163</v>
      </c>
      <c r="B359" t="s">
        <v>4</v>
      </c>
      <c r="C359" t="s">
        <v>8</v>
      </c>
      <c r="D359">
        <v>13</v>
      </c>
      <c r="E359">
        <v>513.17999999999995</v>
      </c>
      <c r="F359" t="s">
        <v>12</v>
      </c>
      <c r="G359" t="s">
        <v>17</v>
      </c>
      <c r="H359">
        <v>0</v>
      </c>
      <c r="I359" t="s">
        <v>18</v>
      </c>
      <c r="J359">
        <v>6671.3399999999992</v>
      </c>
      <c r="K359" t="s">
        <v>26</v>
      </c>
      <c r="L359" t="s">
        <v>29</v>
      </c>
      <c r="M359">
        <v>0</v>
      </c>
      <c r="N359" t="s">
        <v>432</v>
      </c>
      <c r="O359" t="s">
        <v>1932</v>
      </c>
      <c r="P359">
        <v>10.57</v>
      </c>
      <c r="Q359">
        <f t="shared" si="5"/>
        <v>513.17999999999995</v>
      </c>
      <c r="R359">
        <v>6660.7699999999995</v>
      </c>
      <c r="S359" s="2">
        <v>45163</v>
      </c>
      <c r="T359" s="2">
        <v>45165</v>
      </c>
      <c r="U359" t="s">
        <v>37</v>
      </c>
      <c r="V359">
        <v>25</v>
      </c>
      <c r="W359">
        <v>8</v>
      </c>
      <c r="X359" t="s">
        <v>48</v>
      </c>
      <c r="Y359">
        <v>2023</v>
      </c>
      <c r="Z359">
        <v>3</v>
      </c>
      <c r="AA359">
        <v>34</v>
      </c>
    </row>
    <row r="360" spans="1:27" x14ac:dyDescent="0.3">
      <c r="A360" s="2">
        <v>45120</v>
      </c>
      <c r="B360" t="s">
        <v>2</v>
      </c>
      <c r="C360" t="s">
        <v>9</v>
      </c>
      <c r="D360">
        <v>19</v>
      </c>
      <c r="E360">
        <v>475.64</v>
      </c>
      <c r="F360" t="s">
        <v>14</v>
      </c>
      <c r="G360" t="s">
        <v>17</v>
      </c>
      <c r="H360">
        <v>0.1</v>
      </c>
      <c r="I360" t="s">
        <v>20</v>
      </c>
      <c r="J360">
        <v>8133.4440000000004</v>
      </c>
      <c r="K360" t="s">
        <v>28</v>
      </c>
      <c r="L360" t="s">
        <v>31</v>
      </c>
      <c r="M360">
        <v>1</v>
      </c>
      <c r="N360" t="s">
        <v>433</v>
      </c>
      <c r="O360" t="s">
        <v>1933</v>
      </c>
      <c r="P360">
        <v>11.17</v>
      </c>
      <c r="Q360">
        <f t="shared" si="5"/>
        <v>428.07600000000002</v>
      </c>
      <c r="R360">
        <v>8122.2740000000003</v>
      </c>
      <c r="S360" s="2">
        <v>45120</v>
      </c>
      <c r="T360" s="2">
        <v>45124</v>
      </c>
      <c r="U360" t="s">
        <v>35</v>
      </c>
      <c r="V360">
        <v>13</v>
      </c>
      <c r="W360">
        <v>7</v>
      </c>
      <c r="X360" t="s">
        <v>46</v>
      </c>
      <c r="Y360">
        <v>2023</v>
      </c>
      <c r="Z360">
        <v>3</v>
      </c>
      <c r="AA360">
        <v>28</v>
      </c>
    </row>
    <row r="361" spans="1:27" x14ac:dyDescent="0.3">
      <c r="A361" s="2">
        <v>45713</v>
      </c>
      <c r="B361" t="s">
        <v>2</v>
      </c>
      <c r="C361" t="s">
        <v>10</v>
      </c>
      <c r="D361">
        <v>13</v>
      </c>
      <c r="E361">
        <v>238.34</v>
      </c>
      <c r="F361" t="s">
        <v>14</v>
      </c>
      <c r="G361" t="s">
        <v>17</v>
      </c>
      <c r="H361">
        <v>0.1</v>
      </c>
      <c r="I361" t="s">
        <v>21</v>
      </c>
      <c r="J361">
        <v>2788.578</v>
      </c>
      <c r="K361" t="s">
        <v>26</v>
      </c>
      <c r="L361" t="s">
        <v>30</v>
      </c>
      <c r="M361">
        <v>1</v>
      </c>
      <c r="N361" t="s">
        <v>434</v>
      </c>
      <c r="O361" t="s">
        <v>1934</v>
      </c>
      <c r="P361">
        <v>7.9</v>
      </c>
      <c r="Q361">
        <f t="shared" si="5"/>
        <v>214.506</v>
      </c>
      <c r="R361">
        <v>2780.6779999999999</v>
      </c>
      <c r="S361" s="2">
        <v>45713</v>
      </c>
      <c r="T361" s="2">
        <v>45722</v>
      </c>
      <c r="U361" t="s">
        <v>35</v>
      </c>
      <c r="V361">
        <v>25</v>
      </c>
      <c r="W361">
        <v>2</v>
      </c>
      <c r="X361" t="s">
        <v>38</v>
      </c>
      <c r="Y361">
        <v>2025</v>
      </c>
      <c r="Z361">
        <v>1</v>
      </c>
      <c r="AA361">
        <v>9</v>
      </c>
    </row>
    <row r="362" spans="1:27" x14ac:dyDescent="0.3">
      <c r="A362" s="2">
        <v>45761</v>
      </c>
      <c r="B362" t="s">
        <v>3</v>
      </c>
      <c r="C362" t="s">
        <v>5</v>
      </c>
      <c r="D362">
        <v>14</v>
      </c>
      <c r="E362">
        <v>285.02999999999997</v>
      </c>
      <c r="F362" t="s">
        <v>12</v>
      </c>
      <c r="G362" t="s">
        <v>16</v>
      </c>
      <c r="H362">
        <v>0.1</v>
      </c>
      <c r="I362" t="s">
        <v>18</v>
      </c>
      <c r="J362">
        <v>3591.3780000000002</v>
      </c>
      <c r="K362" t="s">
        <v>26</v>
      </c>
      <c r="L362" t="s">
        <v>30</v>
      </c>
      <c r="M362">
        <v>0</v>
      </c>
      <c r="N362" t="s">
        <v>435</v>
      </c>
      <c r="O362" t="s">
        <v>1935</v>
      </c>
      <c r="P362">
        <v>41.5</v>
      </c>
      <c r="Q362">
        <f t="shared" si="5"/>
        <v>256.52699999999999</v>
      </c>
      <c r="R362">
        <v>3549.8780000000002</v>
      </c>
      <c r="S362" s="2">
        <v>45761</v>
      </c>
      <c r="T362" s="2">
        <v>45764</v>
      </c>
      <c r="U362" t="s">
        <v>36</v>
      </c>
      <c r="V362">
        <v>14</v>
      </c>
      <c r="W362">
        <v>4</v>
      </c>
      <c r="X362" t="s">
        <v>45</v>
      </c>
      <c r="Y362">
        <v>2025</v>
      </c>
      <c r="Z362">
        <v>2</v>
      </c>
      <c r="AA362">
        <v>16</v>
      </c>
    </row>
    <row r="363" spans="1:27" x14ac:dyDescent="0.3">
      <c r="A363" s="2">
        <v>45823</v>
      </c>
      <c r="B363" t="s">
        <v>3</v>
      </c>
      <c r="C363" t="s">
        <v>7</v>
      </c>
      <c r="D363">
        <v>5</v>
      </c>
      <c r="E363">
        <v>5.52</v>
      </c>
      <c r="F363" t="s">
        <v>14</v>
      </c>
      <c r="G363" t="s">
        <v>17</v>
      </c>
      <c r="H363">
        <v>0.05</v>
      </c>
      <c r="I363" t="s">
        <v>19</v>
      </c>
      <c r="J363">
        <v>26.22</v>
      </c>
      <c r="K363" t="s">
        <v>26</v>
      </c>
      <c r="L363" t="s">
        <v>29</v>
      </c>
      <c r="M363">
        <v>0</v>
      </c>
      <c r="N363" t="s">
        <v>436</v>
      </c>
      <c r="O363" t="s">
        <v>1936</v>
      </c>
      <c r="P363">
        <v>10.58</v>
      </c>
      <c r="Q363">
        <f t="shared" si="5"/>
        <v>5.2439999999999998</v>
      </c>
      <c r="R363">
        <v>15.639999999999999</v>
      </c>
      <c r="S363" s="2">
        <v>45823</v>
      </c>
      <c r="T363" s="2">
        <v>45826</v>
      </c>
      <c r="U363" t="s">
        <v>36</v>
      </c>
      <c r="V363">
        <v>15</v>
      </c>
      <c r="W363">
        <v>6</v>
      </c>
      <c r="X363" t="s">
        <v>41</v>
      </c>
      <c r="Y363">
        <v>2025</v>
      </c>
      <c r="Z363">
        <v>2</v>
      </c>
      <c r="AA363">
        <v>24</v>
      </c>
    </row>
    <row r="364" spans="1:27" x14ac:dyDescent="0.3">
      <c r="A364" s="2">
        <v>45587</v>
      </c>
      <c r="B364" t="s">
        <v>2</v>
      </c>
      <c r="C364" t="s">
        <v>9</v>
      </c>
      <c r="D364">
        <v>18</v>
      </c>
      <c r="E364">
        <v>396.25</v>
      </c>
      <c r="F364" t="s">
        <v>15</v>
      </c>
      <c r="G364" t="s">
        <v>17</v>
      </c>
      <c r="H364">
        <v>0.1</v>
      </c>
      <c r="I364" t="s">
        <v>20</v>
      </c>
      <c r="J364">
        <v>6419.25</v>
      </c>
      <c r="K364" t="s">
        <v>26</v>
      </c>
      <c r="L364" t="s">
        <v>29</v>
      </c>
      <c r="M364">
        <v>0</v>
      </c>
      <c r="N364" t="s">
        <v>437</v>
      </c>
      <c r="O364" t="s">
        <v>1937</v>
      </c>
      <c r="P364">
        <v>20.39</v>
      </c>
      <c r="Q364">
        <f t="shared" si="5"/>
        <v>356.625</v>
      </c>
      <c r="R364">
        <v>6398.86</v>
      </c>
      <c r="S364" s="2">
        <v>45587</v>
      </c>
      <c r="T364" s="2">
        <v>45592</v>
      </c>
      <c r="U364" t="s">
        <v>35</v>
      </c>
      <c r="V364">
        <v>22</v>
      </c>
      <c r="W364">
        <v>10</v>
      </c>
      <c r="X364" t="s">
        <v>43</v>
      </c>
      <c r="Y364">
        <v>2024</v>
      </c>
      <c r="Z364">
        <v>4</v>
      </c>
      <c r="AA364">
        <v>43</v>
      </c>
    </row>
    <row r="365" spans="1:27" x14ac:dyDescent="0.3">
      <c r="A365" s="2">
        <v>45097</v>
      </c>
      <c r="B365" t="s">
        <v>1</v>
      </c>
      <c r="C365" t="s">
        <v>5</v>
      </c>
      <c r="D365">
        <v>9</v>
      </c>
      <c r="E365">
        <v>282.8</v>
      </c>
      <c r="F365" t="s">
        <v>15</v>
      </c>
      <c r="G365" t="s">
        <v>16</v>
      </c>
      <c r="H365">
        <v>0.05</v>
      </c>
      <c r="I365" t="s">
        <v>18</v>
      </c>
      <c r="J365">
        <v>2417.94</v>
      </c>
      <c r="K365" t="s">
        <v>24</v>
      </c>
      <c r="L365" t="s">
        <v>32</v>
      </c>
      <c r="M365">
        <v>0</v>
      </c>
      <c r="N365" t="s">
        <v>438</v>
      </c>
      <c r="O365" t="s">
        <v>1938</v>
      </c>
      <c r="P365">
        <v>49.79</v>
      </c>
      <c r="Q365">
        <f t="shared" si="5"/>
        <v>268.66000000000003</v>
      </c>
      <c r="R365">
        <v>2368.15</v>
      </c>
      <c r="S365" s="2">
        <v>45097</v>
      </c>
      <c r="T365" s="2">
        <v>45102</v>
      </c>
      <c r="U365" t="s">
        <v>34</v>
      </c>
      <c r="V365">
        <v>20</v>
      </c>
      <c r="W365">
        <v>6</v>
      </c>
      <c r="X365" t="s">
        <v>41</v>
      </c>
      <c r="Y365">
        <v>2023</v>
      </c>
      <c r="Z365">
        <v>2</v>
      </c>
      <c r="AA365">
        <v>25</v>
      </c>
    </row>
    <row r="366" spans="1:27" x14ac:dyDescent="0.3">
      <c r="A366" s="2">
        <v>45721</v>
      </c>
      <c r="B366" t="s">
        <v>1</v>
      </c>
      <c r="C366" t="s">
        <v>6</v>
      </c>
      <c r="D366">
        <v>6</v>
      </c>
      <c r="E366">
        <v>525.42999999999995</v>
      </c>
      <c r="F366" t="s">
        <v>14</v>
      </c>
      <c r="G366" t="s">
        <v>16</v>
      </c>
      <c r="H366">
        <v>0.05</v>
      </c>
      <c r="I366" t="s">
        <v>19</v>
      </c>
      <c r="J366">
        <v>2994.951</v>
      </c>
      <c r="K366" t="s">
        <v>26</v>
      </c>
      <c r="L366" t="s">
        <v>32</v>
      </c>
      <c r="M366">
        <v>0</v>
      </c>
      <c r="N366" t="s">
        <v>439</v>
      </c>
      <c r="O366" t="s">
        <v>1939</v>
      </c>
      <c r="P366">
        <v>39.28</v>
      </c>
      <c r="Q366">
        <f t="shared" si="5"/>
        <v>499.1585</v>
      </c>
      <c r="R366">
        <v>2955.6709999999998</v>
      </c>
      <c r="S366" s="2">
        <v>45721</v>
      </c>
      <c r="T366" s="2">
        <v>45727</v>
      </c>
      <c r="U366" t="s">
        <v>34</v>
      </c>
      <c r="V366">
        <v>5</v>
      </c>
      <c r="W366">
        <v>3</v>
      </c>
      <c r="X366" t="s">
        <v>44</v>
      </c>
      <c r="Y366">
        <v>2025</v>
      </c>
      <c r="Z366">
        <v>1</v>
      </c>
      <c r="AA366">
        <v>10</v>
      </c>
    </row>
    <row r="367" spans="1:27" x14ac:dyDescent="0.3">
      <c r="A367" s="2">
        <v>45227</v>
      </c>
      <c r="B367" t="s">
        <v>4</v>
      </c>
      <c r="C367" t="s">
        <v>10</v>
      </c>
      <c r="D367">
        <v>15</v>
      </c>
      <c r="E367">
        <v>127.67</v>
      </c>
      <c r="F367" t="s">
        <v>15</v>
      </c>
      <c r="G367" t="s">
        <v>17</v>
      </c>
      <c r="H367">
        <v>0.1</v>
      </c>
      <c r="I367" t="s">
        <v>19</v>
      </c>
      <c r="J367">
        <v>1723.5450000000001</v>
      </c>
      <c r="K367" t="s">
        <v>27</v>
      </c>
      <c r="L367" t="s">
        <v>32</v>
      </c>
      <c r="M367">
        <v>0</v>
      </c>
      <c r="N367" t="s">
        <v>440</v>
      </c>
      <c r="O367" t="s">
        <v>1940</v>
      </c>
      <c r="P367">
        <v>48.77</v>
      </c>
      <c r="Q367">
        <f t="shared" si="5"/>
        <v>114.90300000000001</v>
      </c>
      <c r="R367">
        <v>1674.7750000000001</v>
      </c>
      <c r="S367" s="2">
        <v>45227</v>
      </c>
      <c r="T367" s="2">
        <v>45229</v>
      </c>
      <c r="U367" t="s">
        <v>37</v>
      </c>
      <c r="V367">
        <v>28</v>
      </c>
      <c r="W367">
        <v>10</v>
      </c>
      <c r="X367" t="s">
        <v>43</v>
      </c>
      <c r="Y367">
        <v>2023</v>
      </c>
      <c r="Z367">
        <v>4</v>
      </c>
      <c r="AA367">
        <v>43</v>
      </c>
    </row>
    <row r="368" spans="1:27" x14ac:dyDescent="0.3">
      <c r="A368" s="2">
        <v>45735</v>
      </c>
      <c r="B368" t="s">
        <v>3</v>
      </c>
      <c r="C368" t="s">
        <v>5</v>
      </c>
      <c r="D368">
        <v>17</v>
      </c>
      <c r="E368">
        <v>511.8</v>
      </c>
      <c r="F368" t="s">
        <v>12</v>
      </c>
      <c r="G368" t="s">
        <v>17</v>
      </c>
      <c r="H368">
        <v>0.05</v>
      </c>
      <c r="I368" t="s">
        <v>21</v>
      </c>
      <c r="J368">
        <v>8265.57</v>
      </c>
      <c r="K368" t="s">
        <v>26</v>
      </c>
      <c r="L368" t="s">
        <v>31</v>
      </c>
      <c r="M368">
        <v>1</v>
      </c>
      <c r="N368" t="s">
        <v>441</v>
      </c>
      <c r="O368" t="s">
        <v>1941</v>
      </c>
      <c r="P368">
        <v>13.33</v>
      </c>
      <c r="Q368">
        <f t="shared" si="5"/>
        <v>486.21</v>
      </c>
      <c r="R368">
        <v>8252.24</v>
      </c>
      <c r="S368" s="2">
        <v>45735</v>
      </c>
      <c r="T368" s="2">
        <v>45742</v>
      </c>
      <c r="U368" t="s">
        <v>36</v>
      </c>
      <c r="V368">
        <v>19</v>
      </c>
      <c r="W368">
        <v>3</v>
      </c>
      <c r="X368" t="s">
        <v>44</v>
      </c>
      <c r="Y368">
        <v>2025</v>
      </c>
      <c r="Z368">
        <v>1</v>
      </c>
      <c r="AA368">
        <v>12</v>
      </c>
    </row>
    <row r="369" spans="1:27" x14ac:dyDescent="0.3">
      <c r="A369" s="2">
        <v>45144</v>
      </c>
      <c r="B369" t="s">
        <v>4</v>
      </c>
      <c r="C369" t="s">
        <v>10</v>
      </c>
      <c r="D369">
        <v>4</v>
      </c>
      <c r="E369">
        <v>555.86</v>
      </c>
      <c r="F369" t="s">
        <v>14</v>
      </c>
      <c r="G369" t="s">
        <v>17</v>
      </c>
      <c r="H369">
        <v>0.05</v>
      </c>
      <c r="I369" t="s">
        <v>23</v>
      </c>
      <c r="J369">
        <v>2112.268</v>
      </c>
      <c r="K369" t="s">
        <v>28</v>
      </c>
      <c r="L369" t="s">
        <v>29</v>
      </c>
      <c r="M369">
        <v>0</v>
      </c>
      <c r="N369" t="s">
        <v>442</v>
      </c>
      <c r="O369" t="s">
        <v>1942</v>
      </c>
      <c r="P369">
        <v>28.92</v>
      </c>
      <c r="Q369">
        <f t="shared" si="5"/>
        <v>528.06700000000001</v>
      </c>
      <c r="R369">
        <v>2083.348</v>
      </c>
      <c r="S369" s="2">
        <v>45144</v>
      </c>
      <c r="T369" s="2">
        <v>45146</v>
      </c>
      <c r="U369" t="s">
        <v>37</v>
      </c>
      <c r="V369">
        <v>6</v>
      </c>
      <c r="W369">
        <v>8</v>
      </c>
      <c r="X369" t="s">
        <v>48</v>
      </c>
      <c r="Y369">
        <v>2023</v>
      </c>
      <c r="Z369">
        <v>3</v>
      </c>
      <c r="AA369">
        <v>31</v>
      </c>
    </row>
    <row r="370" spans="1:27" x14ac:dyDescent="0.3">
      <c r="A370" s="2">
        <v>45546</v>
      </c>
      <c r="B370" t="s">
        <v>3</v>
      </c>
      <c r="C370" t="s">
        <v>9</v>
      </c>
      <c r="D370">
        <v>15</v>
      </c>
      <c r="E370">
        <v>202.72</v>
      </c>
      <c r="F370" t="s">
        <v>15</v>
      </c>
      <c r="G370" t="s">
        <v>17</v>
      </c>
      <c r="H370">
        <v>0.05</v>
      </c>
      <c r="I370" t="s">
        <v>18</v>
      </c>
      <c r="J370">
        <v>2888.76</v>
      </c>
      <c r="K370" t="s">
        <v>27</v>
      </c>
      <c r="L370" t="s">
        <v>31</v>
      </c>
      <c r="M370">
        <v>1</v>
      </c>
      <c r="N370" t="s">
        <v>443</v>
      </c>
      <c r="O370" t="s">
        <v>1943</v>
      </c>
      <c r="P370">
        <v>41.61</v>
      </c>
      <c r="Q370">
        <f t="shared" si="5"/>
        <v>192.584</v>
      </c>
      <c r="R370">
        <v>2847.15</v>
      </c>
      <c r="S370" s="2">
        <v>45546</v>
      </c>
      <c r="T370" s="2">
        <v>45554</v>
      </c>
      <c r="U370" t="s">
        <v>36</v>
      </c>
      <c r="V370">
        <v>11</v>
      </c>
      <c r="W370">
        <v>9</v>
      </c>
      <c r="X370" t="s">
        <v>49</v>
      </c>
      <c r="Y370">
        <v>2024</v>
      </c>
      <c r="Z370">
        <v>3</v>
      </c>
      <c r="AA370">
        <v>37</v>
      </c>
    </row>
    <row r="371" spans="1:27" x14ac:dyDescent="0.3">
      <c r="A371" s="2">
        <v>45665</v>
      </c>
      <c r="B371" t="s">
        <v>3</v>
      </c>
      <c r="C371" t="s">
        <v>8</v>
      </c>
      <c r="D371">
        <v>4</v>
      </c>
      <c r="E371">
        <v>353.7</v>
      </c>
      <c r="F371" t="s">
        <v>13</v>
      </c>
      <c r="G371" t="s">
        <v>16</v>
      </c>
      <c r="H371">
        <v>0</v>
      </c>
      <c r="I371" t="s">
        <v>20</v>
      </c>
      <c r="J371">
        <v>1414.8</v>
      </c>
      <c r="K371" t="s">
        <v>26</v>
      </c>
      <c r="L371" t="s">
        <v>29</v>
      </c>
      <c r="M371">
        <v>0</v>
      </c>
      <c r="N371" t="s">
        <v>444</v>
      </c>
      <c r="O371" t="s">
        <v>1944</v>
      </c>
      <c r="P371">
        <v>41.98</v>
      </c>
      <c r="Q371">
        <f t="shared" si="5"/>
        <v>353.7</v>
      </c>
      <c r="R371">
        <v>1372.82</v>
      </c>
      <c r="S371" s="2">
        <v>45665</v>
      </c>
      <c r="T371" s="2">
        <v>45669</v>
      </c>
      <c r="U371" t="s">
        <v>36</v>
      </c>
      <c r="V371">
        <v>8</v>
      </c>
      <c r="W371">
        <v>1</v>
      </c>
      <c r="X371" t="s">
        <v>42</v>
      </c>
      <c r="Y371">
        <v>2025</v>
      </c>
      <c r="Z371">
        <v>1</v>
      </c>
      <c r="AA371">
        <v>2</v>
      </c>
    </row>
    <row r="372" spans="1:27" x14ac:dyDescent="0.3">
      <c r="A372" s="2">
        <v>45516</v>
      </c>
      <c r="B372" t="s">
        <v>3</v>
      </c>
      <c r="C372" t="s">
        <v>8</v>
      </c>
      <c r="D372">
        <v>3</v>
      </c>
      <c r="E372">
        <v>149.25</v>
      </c>
      <c r="F372" t="s">
        <v>15</v>
      </c>
      <c r="G372" t="s">
        <v>16</v>
      </c>
      <c r="H372">
        <v>0</v>
      </c>
      <c r="I372" t="s">
        <v>21</v>
      </c>
      <c r="J372">
        <v>447.75</v>
      </c>
      <c r="K372" t="s">
        <v>27</v>
      </c>
      <c r="L372" t="s">
        <v>32</v>
      </c>
      <c r="M372">
        <v>1</v>
      </c>
      <c r="N372" t="s">
        <v>445</v>
      </c>
      <c r="O372" t="s">
        <v>1945</v>
      </c>
      <c r="P372">
        <v>13.17</v>
      </c>
      <c r="Q372">
        <f t="shared" si="5"/>
        <v>149.25</v>
      </c>
      <c r="R372">
        <v>434.58</v>
      </c>
      <c r="S372" s="2">
        <v>45516</v>
      </c>
      <c r="T372" s="2">
        <v>45518</v>
      </c>
      <c r="U372" t="s">
        <v>36</v>
      </c>
      <c r="V372">
        <v>12</v>
      </c>
      <c r="W372">
        <v>8</v>
      </c>
      <c r="X372" t="s">
        <v>48</v>
      </c>
      <c r="Y372">
        <v>2024</v>
      </c>
      <c r="Z372">
        <v>3</v>
      </c>
      <c r="AA372">
        <v>33</v>
      </c>
    </row>
    <row r="373" spans="1:27" x14ac:dyDescent="0.3">
      <c r="A373" s="2">
        <v>45015</v>
      </c>
      <c r="B373" t="s">
        <v>2</v>
      </c>
      <c r="C373" t="s">
        <v>9</v>
      </c>
      <c r="D373">
        <v>19</v>
      </c>
      <c r="E373">
        <v>156.44</v>
      </c>
      <c r="F373" t="s">
        <v>14</v>
      </c>
      <c r="G373" t="s">
        <v>16</v>
      </c>
      <c r="H373">
        <v>0.1</v>
      </c>
      <c r="I373" t="s">
        <v>19</v>
      </c>
      <c r="J373">
        <v>2675.1239999999998</v>
      </c>
      <c r="K373" t="s">
        <v>24</v>
      </c>
      <c r="L373" t="s">
        <v>31</v>
      </c>
      <c r="M373">
        <v>0</v>
      </c>
      <c r="N373" t="s">
        <v>446</v>
      </c>
      <c r="O373" t="s">
        <v>1946</v>
      </c>
      <c r="P373">
        <v>19.440000000000001</v>
      </c>
      <c r="Q373">
        <f t="shared" si="5"/>
        <v>140.79599999999999</v>
      </c>
      <c r="R373">
        <v>2655.6839999999997</v>
      </c>
      <c r="S373" s="2">
        <v>45015</v>
      </c>
      <c r="T373" s="2">
        <v>45020</v>
      </c>
      <c r="U373" t="s">
        <v>35</v>
      </c>
      <c r="V373">
        <v>30</v>
      </c>
      <c r="W373">
        <v>3</v>
      </c>
      <c r="X373" t="s">
        <v>44</v>
      </c>
      <c r="Y373">
        <v>2023</v>
      </c>
      <c r="Z373">
        <v>1</v>
      </c>
      <c r="AA373">
        <v>13</v>
      </c>
    </row>
    <row r="374" spans="1:27" x14ac:dyDescent="0.3">
      <c r="A374" s="2">
        <v>44958</v>
      </c>
      <c r="B374" t="s">
        <v>3</v>
      </c>
      <c r="C374" t="s">
        <v>6</v>
      </c>
      <c r="D374">
        <v>7</v>
      </c>
      <c r="E374">
        <v>241.76</v>
      </c>
      <c r="F374" t="s">
        <v>15</v>
      </c>
      <c r="G374" t="s">
        <v>16</v>
      </c>
      <c r="H374">
        <v>0</v>
      </c>
      <c r="I374" t="s">
        <v>21</v>
      </c>
      <c r="J374">
        <v>1692.32</v>
      </c>
      <c r="K374" t="s">
        <v>24</v>
      </c>
      <c r="L374" t="s">
        <v>30</v>
      </c>
      <c r="M374">
        <v>0</v>
      </c>
      <c r="N374" t="s">
        <v>447</v>
      </c>
      <c r="O374" t="s">
        <v>1947</v>
      </c>
      <c r="P374">
        <v>48.13</v>
      </c>
      <c r="Q374">
        <f t="shared" si="5"/>
        <v>241.76</v>
      </c>
      <c r="R374">
        <v>1644.1899999999998</v>
      </c>
      <c r="S374" s="2">
        <v>44958</v>
      </c>
      <c r="T374" s="2">
        <v>44966</v>
      </c>
      <c r="U374" t="s">
        <v>36</v>
      </c>
      <c r="V374">
        <v>1</v>
      </c>
      <c r="W374">
        <v>2</v>
      </c>
      <c r="X374" t="s">
        <v>38</v>
      </c>
      <c r="Y374">
        <v>2023</v>
      </c>
      <c r="Z374">
        <v>1</v>
      </c>
      <c r="AA374">
        <v>5</v>
      </c>
    </row>
    <row r="375" spans="1:27" x14ac:dyDescent="0.3">
      <c r="A375" s="2">
        <v>45765</v>
      </c>
      <c r="B375" t="s">
        <v>2</v>
      </c>
      <c r="C375" t="s">
        <v>5</v>
      </c>
      <c r="D375">
        <v>20</v>
      </c>
      <c r="E375">
        <v>170.49</v>
      </c>
      <c r="F375" t="s">
        <v>13</v>
      </c>
      <c r="G375" t="s">
        <v>16</v>
      </c>
      <c r="H375">
        <v>0</v>
      </c>
      <c r="I375" t="s">
        <v>22</v>
      </c>
      <c r="J375">
        <v>3409.8</v>
      </c>
      <c r="K375" t="s">
        <v>24</v>
      </c>
      <c r="L375" t="s">
        <v>29</v>
      </c>
      <c r="M375">
        <v>0</v>
      </c>
      <c r="N375" t="s">
        <v>448</v>
      </c>
      <c r="O375" t="s">
        <v>1948</v>
      </c>
      <c r="P375">
        <v>19.739999999999998</v>
      </c>
      <c r="Q375">
        <f t="shared" si="5"/>
        <v>170.49</v>
      </c>
      <c r="R375">
        <v>3390.0600000000004</v>
      </c>
      <c r="S375" s="2">
        <v>45765</v>
      </c>
      <c r="T375" s="2">
        <v>45774</v>
      </c>
      <c r="U375" t="s">
        <v>35</v>
      </c>
      <c r="V375">
        <v>18</v>
      </c>
      <c r="W375">
        <v>4</v>
      </c>
      <c r="X375" t="s">
        <v>45</v>
      </c>
      <c r="Y375">
        <v>2025</v>
      </c>
      <c r="Z375">
        <v>2</v>
      </c>
      <c r="AA375">
        <v>16</v>
      </c>
    </row>
    <row r="376" spans="1:27" x14ac:dyDescent="0.3">
      <c r="A376" s="2">
        <v>45745</v>
      </c>
      <c r="B376" t="s">
        <v>3</v>
      </c>
      <c r="C376" t="s">
        <v>9</v>
      </c>
      <c r="D376">
        <v>11</v>
      </c>
      <c r="E376">
        <v>149.66999999999999</v>
      </c>
      <c r="F376" t="s">
        <v>14</v>
      </c>
      <c r="G376" t="s">
        <v>17</v>
      </c>
      <c r="H376">
        <v>0.1</v>
      </c>
      <c r="I376" t="s">
        <v>18</v>
      </c>
      <c r="J376">
        <v>1481.7329999999999</v>
      </c>
      <c r="K376" t="s">
        <v>26</v>
      </c>
      <c r="L376" t="s">
        <v>32</v>
      </c>
      <c r="M376">
        <v>0</v>
      </c>
      <c r="N376" t="s">
        <v>449</v>
      </c>
      <c r="O376" t="s">
        <v>1949</v>
      </c>
      <c r="P376">
        <v>34.130000000000003</v>
      </c>
      <c r="Q376">
        <f t="shared" si="5"/>
        <v>134.703</v>
      </c>
      <c r="R376">
        <v>1447.6029999999998</v>
      </c>
      <c r="S376" s="2">
        <v>45745</v>
      </c>
      <c r="T376" s="2">
        <v>45749</v>
      </c>
      <c r="U376" t="s">
        <v>36</v>
      </c>
      <c r="V376">
        <v>29</v>
      </c>
      <c r="W376">
        <v>3</v>
      </c>
      <c r="X376" t="s">
        <v>44</v>
      </c>
      <c r="Y376">
        <v>2025</v>
      </c>
      <c r="Z376">
        <v>1</v>
      </c>
      <c r="AA376">
        <v>13</v>
      </c>
    </row>
    <row r="377" spans="1:27" x14ac:dyDescent="0.3">
      <c r="A377" s="2">
        <v>45407</v>
      </c>
      <c r="B377" t="s">
        <v>0</v>
      </c>
      <c r="C377" t="s">
        <v>10</v>
      </c>
      <c r="D377">
        <v>1</v>
      </c>
      <c r="E377">
        <v>173.56</v>
      </c>
      <c r="F377" t="s">
        <v>15</v>
      </c>
      <c r="G377" t="s">
        <v>17</v>
      </c>
      <c r="H377">
        <v>0.1</v>
      </c>
      <c r="I377" t="s">
        <v>18</v>
      </c>
      <c r="J377">
        <v>156.20400000000001</v>
      </c>
      <c r="K377" t="s">
        <v>27</v>
      </c>
      <c r="L377" t="s">
        <v>29</v>
      </c>
      <c r="M377">
        <v>0</v>
      </c>
      <c r="N377" t="s">
        <v>450</v>
      </c>
      <c r="O377" t="s">
        <v>1950</v>
      </c>
      <c r="P377">
        <v>39.1</v>
      </c>
      <c r="Q377">
        <f t="shared" si="5"/>
        <v>156.20400000000001</v>
      </c>
      <c r="R377">
        <v>117.10400000000001</v>
      </c>
      <c r="S377" s="2">
        <v>45407</v>
      </c>
      <c r="T377" s="2">
        <v>45410</v>
      </c>
      <c r="U377" t="s">
        <v>33</v>
      </c>
      <c r="V377">
        <v>25</v>
      </c>
      <c r="W377">
        <v>4</v>
      </c>
      <c r="X377" t="s">
        <v>45</v>
      </c>
      <c r="Y377">
        <v>2024</v>
      </c>
      <c r="Z377">
        <v>2</v>
      </c>
      <c r="AA377">
        <v>17</v>
      </c>
    </row>
    <row r="378" spans="1:27" x14ac:dyDescent="0.3">
      <c r="A378" s="2">
        <v>45557</v>
      </c>
      <c r="B378" t="s">
        <v>1</v>
      </c>
      <c r="C378" t="s">
        <v>9</v>
      </c>
      <c r="D378">
        <v>7</v>
      </c>
      <c r="E378">
        <v>349.55</v>
      </c>
      <c r="F378" t="s">
        <v>13</v>
      </c>
      <c r="G378" t="s">
        <v>17</v>
      </c>
      <c r="H378">
        <v>0.05</v>
      </c>
      <c r="I378" t="s">
        <v>21</v>
      </c>
      <c r="J378">
        <v>2324.5075000000002</v>
      </c>
      <c r="K378" t="s">
        <v>26</v>
      </c>
      <c r="L378" t="s">
        <v>29</v>
      </c>
      <c r="M378">
        <v>0</v>
      </c>
      <c r="N378" t="s">
        <v>451</v>
      </c>
      <c r="O378" t="s">
        <v>1951</v>
      </c>
      <c r="P378">
        <v>23.7</v>
      </c>
      <c r="Q378">
        <f t="shared" si="5"/>
        <v>332.07250000000005</v>
      </c>
      <c r="R378">
        <v>2300.8075000000003</v>
      </c>
      <c r="S378" s="2">
        <v>45557</v>
      </c>
      <c r="T378" s="2">
        <v>45562</v>
      </c>
      <c r="U378" t="s">
        <v>34</v>
      </c>
      <c r="V378">
        <v>22</v>
      </c>
      <c r="W378">
        <v>9</v>
      </c>
      <c r="X378" t="s">
        <v>49</v>
      </c>
      <c r="Y378">
        <v>2024</v>
      </c>
      <c r="Z378">
        <v>3</v>
      </c>
      <c r="AA378">
        <v>38</v>
      </c>
    </row>
    <row r="379" spans="1:27" x14ac:dyDescent="0.3">
      <c r="A379" s="2">
        <v>45143</v>
      </c>
      <c r="B379" t="s">
        <v>3</v>
      </c>
      <c r="C379" t="s">
        <v>10</v>
      </c>
      <c r="D379">
        <v>9</v>
      </c>
      <c r="E379">
        <v>245.14</v>
      </c>
      <c r="F379" t="s">
        <v>12</v>
      </c>
      <c r="G379" t="s">
        <v>16</v>
      </c>
      <c r="H379">
        <v>0</v>
      </c>
      <c r="I379" t="s">
        <v>19</v>
      </c>
      <c r="J379">
        <v>2206.2600000000002</v>
      </c>
      <c r="K379" t="s">
        <v>24</v>
      </c>
      <c r="L379" t="s">
        <v>30</v>
      </c>
      <c r="M379">
        <v>1</v>
      </c>
      <c r="N379" t="s">
        <v>452</v>
      </c>
      <c r="O379" t="s">
        <v>1952</v>
      </c>
      <c r="P379">
        <v>44.6</v>
      </c>
      <c r="Q379">
        <f t="shared" si="5"/>
        <v>245.14000000000001</v>
      </c>
      <c r="R379">
        <v>2161.6600000000003</v>
      </c>
      <c r="S379" s="2">
        <v>45143</v>
      </c>
      <c r="T379" s="2">
        <v>45152</v>
      </c>
      <c r="U379" t="s">
        <v>36</v>
      </c>
      <c r="V379">
        <v>5</v>
      </c>
      <c r="W379">
        <v>8</v>
      </c>
      <c r="X379" t="s">
        <v>48</v>
      </c>
      <c r="Y379">
        <v>2023</v>
      </c>
      <c r="Z379">
        <v>3</v>
      </c>
      <c r="AA379">
        <v>31</v>
      </c>
    </row>
    <row r="380" spans="1:27" x14ac:dyDescent="0.3">
      <c r="A380" s="2">
        <v>45450</v>
      </c>
      <c r="B380" t="s">
        <v>1</v>
      </c>
      <c r="C380" t="s">
        <v>7</v>
      </c>
      <c r="D380">
        <v>1</v>
      </c>
      <c r="E380">
        <v>423.08</v>
      </c>
      <c r="F380" t="s">
        <v>12</v>
      </c>
      <c r="G380" t="s">
        <v>16</v>
      </c>
      <c r="H380">
        <v>0.05</v>
      </c>
      <c r="I380" t="s">
        <v>23</v>
      </c>
      <c r="J380">
        <v>401.92599999999999</v>
      </c>
      <c r="K380" t="s">
        <v>25</v>
      </c>
      <c r="L380" t="s">
        <v>31</v>
      </c>
      <c r="M380">
        <v>0</v>
      </c>
      <c r="N380" t="s">
        <v>453</v>
      </c>
      <c r="O380" t="s">
        <v>1953</v>
      </c>
      <c r="P380">
        <v>31.75</v>
      </c>
      <c r="Q380">
        <f t="shared" si="5"/>
        <v>401.92599999999999</v>
      </c>
      <c r="R380">
        <v>370.17599999999999</v>
      </c>
      <c r="S380" s="2">
        <v>45450</v>
      </c>
      <c r="T380" s="2">
        <v>45454</v>
      </c>
      <c r="U380" t="s">
        <v>34</v>
      </c>
      <c r="V380">
        <v>7</v>
      </c>
      <c r="W380">
        <v>6</v>
      </c>
      <c r="X380" t="s">
        <v>41</v>
      </c>
      <c r="Y380">
        <v>2024</v>
      </c>
      <c r="Z380">
        <v>2</v>
      </c>
      <c r="AA380">
        <v>23</v>
      </c>
    </row>
    <row r="381" spans="1:27" x14ac:dyDescent="0.3">
      <c r="A381" s="2">
        <v>45801</v>
      </c>
      <c r="B381" t="s">
        <v>0</v>
      </c>
      <c r="C381" t="s">
        <v>6</v>
      </c>
      <c r="D381">
        <v>19</v>
      </c>
      <c r="E381">
        <v>337.82</v>
      </c>
      <c r="F381" t="s">
        <v>12</v>
      </c>
      <c r="G381" t="s">
        <v>16</v>
      </c>
      <c r="H381">
        <v>0.15</v>
      </c>
      <c r="I381" t="s">
        <v>19</v>
      </c>
      <c r="J381">
        <v>5455.7929999999997</v>
      </c>
      <c r="K381" t="s">
        <v>24</v>
      </c>
      <c r="L381" t="s">
        <v>29</v>
      </c>
      <c r="M381">
        <v>0</v>
      </c>
      <c r="N381" t="s">
        <v>454</v>
      </c>
      <c r="O381" t="s">
        <v>1954</v>
      </c>
      <c r="P381">
        <v>45.74</v>
      </c>
      <c r="Q381">
        <f t="shared" si="5"/>
        <v>287.14699999999999</v>
      </c>
      <c r="R381">
        <v>5410.0529999999999</v>
      </c>
      <c r="S381" s="2">
        <v>45801</v>
      </c>
      <c r="T381" s="2">
        <v>45807</v>
      </c>
      <c r="U381" t="s">
        <v>33</v>
      </c>
      <c r="V381">
        <v>24</v>
      </c>
      <c r="W381">
        <v>5</v>
      </c>
      <c r="X381" t="s">
        <v>40</v>
      </c>
      <c r="Y381">
        <v>2025</v>
      </c>
      <c r="Z381">
        <v>2</v>
      </c>
      <c r="AA381">
        <v>21</v>
      </c>
    </row>
    <row r="382" spans="1:27" x14ac:dyDescent="0.3">
      <c r="A382" s="2">
        <v>45491</v>
      </c>
      <c r="B382" t="s">
        <v>1</v>
      </c>
      <c r="C382" t="s">
        <v>8</v>
      </c>
      <c r="D382">
        <v>10</v>
      </c>
      <c r="E382">
        <v>252.63</v>
      </c>
      <c r="F382" t="s">
        <v>12</v>
      </c>
      <c r="G382" t="s">
        <v>17</v>
      </c>
      <c r="H382">
        <v>0.15</v>
      </c>
      <c r="I382" t="s">
        <v>18</v>
      </c>
      <c r="J382">
        <v>2147.355</v>
      </c>
      <c r="K382" t="s">
        <v>28</v>
      </c>
      <c r="L382" t="s">
        <v>29</v>
      </c>
      <c r="M382">
        <v>0</v>
      </c>
      <c r="N382" t="s">
        <v>455</v>
      </c>
      <c r="O382" t="s">
        <v>1955</v>
      </c>
      <c r="P382">
        <v>8.92</v>
      </c>
      <c r="Q382">
        <f t="shared" si="5"/>
        <v>214.7355</v>
      </c>
      <c r="R382">
        <v>2138.4349999999999</v>
      </c>
      <c r="S382" s="2">
        <v>45491</v>
      </c>
      <c r="T382" s="2">
        <v>45498</v>
      </c>
      <c r="U382" t="s">
        <v>34</v>
      </c>
      <c r="V382">
        <v>18</v>
      </c>
      <c r="W382">
        <v>7</v>
      </c>
      <c r="X382" t="s">
        <v>46</v>
      </c>
      <c r="Y382">
        <v>2024</v>
      </c>
      <c r="Z382">
        <v>3</v>
      </c>
      <c r="AA382">
        <v>29</v>
      </c>
    </row>
    <row r="383" spans="1:27" x14ac:dyDescent="0.3">
      <c r="A383" s="2">
        <v>45487</v>
      </c>
      <c r="B383" t="s">
        <v>4</v>
      </c>
      <c r="C383" t="s">
        <v>10</v>
      </c>
      <c r="D383">
        <v>3</v>
      </c>
      <c r="E383">
        <v>87.02</v>
      </c>
      <c r="F383" t="s">
        <v>12</v>
      </c>
      <c r="G383" t="s">
        <v>16</v>
      </c>
      <c r="H383">
        <v>0.1</v>
      </c>
      <c r="I383" t="s">
        <v>20</v>
      </c>
      <c r="J383">
        <v>234.95400000000001</v>
      </c>
      <c r="K383" t="s">
        <v>28</v>
      </c>
      <c r="L383" t="s">
        <v>31</v>
      </c>
      <c r="M383">
        <v>0</v>
      </c>
      <c r="N383" t="s">
        <v>456</v>
      </c>
      <c r="O383" t="s">
        <v>1956</v>
      </c>
      <c r="P383">
        <v>11.13</v>
      </c>
      <c r="Q383">
        <f t="shared" si="5"/>
        <v>78.317999999999998</v>
      </c>
      <c r="R383">
        <v>223.82400000000001</v>
      </c>
      <c r="S383" s="2">
        <v>45487</v>
      </c>
      <c r="T383" s="2">
        <v>45489</v>
      </c>
      <c r="U383" t="s">
        <v>37</v>
      </c>
      <c r="V383">
        <v>14</v>
      </c>
      <c r="W383">
        <v>7</v>
      </c>
      <c r="X383" t="s">
        <v>46</v>
      </c>
      <c r="Y383">
        <v>2024</v>
      </c>
      <c r="Z383">
        <v>3</v>
      </c>
      <c r="AA383">
        <v>28</v>
      </c>
    </row>
    <row r="384" spans="1:27" x14ac:dyDescent="0.3">
      <c r="A384" s="2">
        <v>45030</v>
      </c>
      <c r="B384" t="s">
        <v>3</v>
      </c>
      <c r="C384" t="s">
        <v>10</v>
      </c>
      <c r="D384">
        <v>11</v>
      </c>
      <c r="E384">
        <v>6.72</v>
      </c>
      <c r="F384" t="s">
        <v>15</v>
      </c>
      <c r="G384" t="s">
        <v>16</v>
      </c>
      <c r="H384">
        <v>0.05</v>
      </c>
      <c r="I384" t="s">
        <v>23</v>
      </c>
      <c r="J384">
        <v>70.224000000000004</v>
      </c>
      <c r="K384" t="s">
        <v>28</v>
      </c>
      <c r="L384" t="s">
        <v>30</v>
      </c>
      <c r="M384">
        <v>0</v>
      </c>
      <c r="N384" t="s">
        <v>457</v>
      </c>
      <c r="O384" t="s">
        <v>1957</v>
      </c>
      <c r="P384">
        <v>34.270000000000003</v>
      </c>
      <c r="Q384">
        <f t="shared" si="5"/>
        <v>6.3840000000000003</v>
      </c>
      <c r="R384">
        <v>35.954000000000001</v>
      </c>
      <c r="S384" s="2">
        <v>45030</v>
      </c>
      <c r="T384" s="2">
        <v>45035</v>
      </c>
      <c r="U384" t="s">
        <v>36</v>
      </c>
      <c r="V384">
        <v>14</v>
      </c>
      <c r="W384">
        <v>4</v>
      </c>
      <c r="X384" t="s">
        <v>45</v>
      </c>
      <c r="Y384">
        <v>2023</v>
      </c>
      <c r="Z384">
        <v>2</v>
      </c>
      <c r="AA384">
        <v>15</v>
      </c>
    </row>
    <row r="385" spans="1:27" x14ac:dyDescent="0.3">
      <c r="A385" s="2">
        <v>45078</v>
      </c>
      <c r="B385" t="s">
        <v>1</v>
      </c>
      <c r="C385" t="s">
        <v>11</v>
      </c>
      <c r="D385">
        <v>2</v>
      </c>
      <c r="E385">
        <v>279.38</v>
      </c>
      <c r="F385" t="s">
        <v>15</v>
      </c>
      <c r="G385" t="s">
        <v>17</v>
      </c>
      <c r="H385">
        <v>0.1</v>
      </c>
      <c r="I385" t="s">
        <v>21</v>
      </c>
      <c r="J385">
        <v>502.88400000000001</v>
      </c>
      <c r="K385" t="s">
        <v>24</v>
      </c>
      <c r="L385" t="s">
        <v>29</v>
      </c>
      <c r="M385">
        <v>0</v>
      </c>
      <c r="N385" t="s">
        <v>458</v>
      </c>
      <c r="O385" t="s">
        <v>1958</v>
      </c>
      <c r="P385">
        <v>22.95</v>
      </c>
      <c r="Q385">
        <f t="shared" si="5"/>
        <v>251.44200000000001</v>
      </c>
      <c r="R385">
        <v>479.93400000000003</v>
      </c>
      <c r="S385" s="2">
        <v>45078</v>
      </c>
      <c r="T385" s="2">
        <v>45083</v>
      </c>
      <c r="U385" t="s">
        <v>34</v>
      </c>
      <c r="V385">
        <v>1</v>
      </c>
      <c r="W385">
        <v>6</v>
      </c>
      <c r="X385" t="s">
        <v>41</v>
      </c>
      <c r="Y385">
        <v>2023</v>
      </c>
      <c r="Z385">
        <v>2</v>
      </c>
      <c r="AA385">
        <v>22</v>
      </c>
    </row>
    <row r="386" spans="1:27" x14ac:dyDescent="0.3">
      <c r="A386" s="2">
        <v>45764</v>
      </c>
      <c r="B386" t="s">
        <v>3</v>
      </c>
      <c r="C386" t="s">
        <v>6</v>
      </c>
      <c r="D386">
        <v>9</v>
      </c>
      <c r="E386">
        <v>207.8</v>
      </c>
      <c r="F386" t="s">
        <v>15</v>
      </c>
      <c r="G386" t="s">
        <v>17</v>
      </c>
      <c r="H386">
        <v>0.1</v>
      </c>
      <c r="I386" t="s">
        <v>19</v>
      </c>
      <c r="J386">
        <v>1683.18</v>
      </c>
      <c r="K386" t="s">
        <v>24</v>
      </c>
      <c r="L386" t="s">
        <v>31</v>
      </c>
      <c r="M386">
        <v>0</v>
      </c>
      <c r="N386" t="s">
        <v>459</v>
      </c>
      <c r="O386" t="s">
        <v>1959</v>
      </c>
      <c r="P386">
        <v>16.989999999999998</v>
      </c>
      <c r="Q386">
        <f t="shared" si="5"/>
        <v>187.02</v>
      </c>
      <c r="R386">
        <v>1666.19</v>
      </c>
      <c r="S386" s="2">
        <v>45764</v>
      </c>
      <c r="T386" s="2">
        <v>45767</v>
      </c>
      <c r="U386" t="s">
        <v>36</v>
      </c>
      <c r="V386">
        <v>17</v>
      </c>
      <c r="W386">
        <v>4</v>
      </c>
      <c r="X386" t="s">
        <v>45</v>
      </c>
      <c r="Y386">
        <v>2025</v>
      </c>
      <c r="Z386">
        <v>2</v>
      </c>
      <c r="AA386">
        <v>16</v>
      </c>
    </row>
    <row r="387" spans="1:27" x14ac:dyDescent="0.3">
      <c r="A387" s="2">
        <v>45747</v>
      </c>
      <c r="B387" t="s">
        <v>0</v>
      </c>
      <c r="C387" t="s">
        <v>11</v>
      </c>
      <c r="D387">
        <v>15</v>
      </c>
      <c r="E387">
        <v>511.88</v>
      </c>
      <c r="F387" t="s">
        <v>14</v>
      </c>
      <c r="G387" t="s">
        <v>16</v>
      </c>
      <c r="H387">
        <v>0.05</v>
      </c>
      <c r="I387" t="s">
        <v>23</v>
      </c>
      <c r="J387">
        <v>7294.2899999999991</v>
      </c>
      <c r="K387" t="s">
        <v>28</v>
      </c>
      <c r="L387" t="s">
        <v>30</v>
      </c>
      <c r="M387">
        <v>0</v>
      </c>
      <c r="N387" t="s">
        <v>460</v>
      </c>
      <c r="O387" t="s">
        <v>1960</v>
      </c>
      <c r="P387">
        <v>10.220000000000001</v>
      </c>
      <c r="Q387">
        <f t="shared" ref="Q387:Q450" si="6">J387/D387</f>
        <v>486.28599999999994</v>
      </c>
      <c r="R387">
        <v>7284.0699999999988</v>
      </c>
      <c r="S387" s="2">
        <v>45747</v>
      </c>
      <c r="T387" s="2">
        <v>45756</v>
      </c>
      <c r="U387" t="s">
        <v>33</v>
      </c>
      <c r="V387">
        <v>31</v>
      </c>
      <c r="W387">
        <v>3</v>
      </c>
      <c r="X387" t="s">
        <v>44</v>
      </c>
      <c r="Y387">
        <v>2025</v>
      </c>
      <c r="Z387">
        <v>1</v>
      </c>
      <c r="AA387">
        <v>14</v>
      </c>
    </row>
    <row r="388" spans="1:27" x14ac:dyDescent="0.3">
      <c r="A388" s="2">
        <v>45488</v>
      </c>
      <c r="B388" t="s">
        <v>0</v>
      </c>
      <c r="C388" t="s">
        <v>11</v>
      </c>
      <c r="D388">
        <v>10</v>
      </c>
      <c r="E388">
        <v>325.97000000000003</v>
      </c>
      <c r="F388" t="s">
        <v>15</v>
      </c>
      <c r="G388" t="s">
        <v>17</v>
      </c>
      <c r="H388">
        <v>0</v>
      </c>
      <c r="I388" t="s">
        <v>23</v>
      </c>
      <c r="J388">
        <v>3259.7</v>
      </c>
      <c r="K388" t="s">
        <v>28</v>
      </c>
      <c r="L388" t="s">
        <v>29</v>
      </c>
      <c r="M388">
        <v>1</v>
      </c>
      <c r="N388" t="s">
        <v>461</v>
      </c>
      <c r="O388" t="s">
        <v>1961</v>
      </c>
      <c r="P388">
        <v>49.95</v>
      </c>
      <c r="Q388">
        <f t="shared" si="6"/>
        <v>325.96999999999997</v>
      </c>
      <c r="R388">
        <v>3209.75</v>
      </c>
      <c r="S388" s="2">
        <v>45488</v>
      </c>
      <c r="T388" s="2">
        <v>45495</v>
      </c>
      <c r="U388" t="s">
        <v>33</v>
      </c>
      <c r="V388">
        <v>15</v>
      </c>
      <c r="W388">
        <v>7</v>
      </c>
      <c r="X388" t="s">
        <v>46</v>
      </c>
      <c r="Y388">
        <v>2024</v>
      </c>
      <c r="Z388">
        <v>3</v>
      </c>
      <c r="AA388">
        <v>29</v>
      </c>
    </row>
    <row r="389" spans="1:27" x14ac:dyDescent="0.3">
      <c r="A389" s="2">
        <v>45534</v>
      </c>
      <c r="B389" t="s">
        <v>1</v>
      </c>
      <c r="C389" t="s">
        <v>5</v>
      </c>
      <c r="D389">
        <v>17</v>
      </c>
      <c r="E389">
        <v>469.32</v>
      </c>
      <c r="F389" t="s">
        <v>12</v>
      </c>
      <c r="G389" t="s">
        <v>17</v>
      </c>
      <c r="H389">
        <v>0</v>
      </c>
      <c r="I389" t="s">
        <v>21</v>
      </c>
      <c r="J389">
        <v>7978.44</v>
      </c>
      <c r="K389" t="s">
        <v>25</v>
      </c>
      <c r="L389" t="s">
        <v>31</v>
      </c>
      <c r="M389">
        <v>1</v>
      </c>
      <c r="N389" t="s">
        <v>462</v>
      </c>
      <c r="O389" t="s">
        <v>1962</v>
      </c>
      <c r="P389">
        <v>5.86</v>
      </c>
      <c r="Q389">
        <f t="shared" si="6"/>
        <v>469.32</v>
      </c>
      <c r="R389">
        <v>7972.58</v>
      </c>
      <c r="S389" s="2">
        <v>45534</v>
      </c>
      <c r="T389" s="2">
        <v>45536</v>
      </c>
      <c r="U389" t="s">
        <v>34</v>
      </c>
      <c r="V389">
        <v>30</v>
      </c>
      <c r="W389">
        <v>8</v>
      </c>
      <c r="X389" t="s">
        <v>48</v>
      </c>
      <c r="Y389">
        <v>2024</v>
      </c>
      <c r="Z389">
        <v>3</v>
      </c>
      <c r="AA389">
        <v>35</v>
      </c>
    </row>
    <row r="390" spans="1:27" x14ac:dyDescent="0.3">
      <c r="A390" s="2">
        <v>45664</v>
      </c>
      <c r="B390" t="s">
        <v>3</v>
      </c>
      <c r="C390" t="s">
        <v>6</v>
      </c>
      <c r="D390">
        <v>13</v>
      </c>
      <c r="E390">
        <v>186.69</v>
      </c>
      <c r="F390" t="s">
        <v>15</v>
      </c>
      <c r="G390" t="s">
        <v>16</v>
      </c>
      <c r="H390">
        <v>0</v>
      </c>
      <c r="I390" t="s">
        <v>23</v>
      </c>
      <c r="J390">
        <v>2426.9699999999998</v>
      </c>
      <c r="K390" t="s">
        <v>28</v>
      </c>
      <c r="L390" t="s">
        <v>29</v>
      </c>
      <c r="M390">
        <v>0</v>
      </c>
      <c r="N390" t="s">
        <v>463</v>
      </c>
      <c r="O390" t="s">
        <v>1963</v>
      </c>
      <c r="P390">
        <v>19.920000000000002</v>
      </c>
      <c r="Q390">
        <f t="shared" si="6"/>
        <v>186.69</v>
      </c>
      <c r="R390">
        <v>2407.0499999999997</v>
      </c>
      <c r="S390" s="2">
        <v>45664</v>
      </c>
      <c r="T390" s="2">
        <v>45667</v>
      </c>
      <c r="U390" t="s">
        <v>36</v>
      </c>
      <c r="V390">
        <v>7</v>
      </c>
      <c r="W390">
        <v>1</v>
      </c>
      <c r="X390" t="s">
        <v>42</v>
      </c>
      <c r="Y390">
        <v>2025</v>
      </c>
      <c r="Z390">
        <v>1</v>
      </c>
      <c r="AA390">
        <v>2</v>
      </c>
    </row>
    <row r="391" spans="1:27" x14ac:dyDescent="0.3">
      <c r="A391" s="2">
        <v>45693</v>
      </c>
      <c r="B391" t="s">
        <v>1</v>
      </c>
      <c r="C391" t="s">
        <v>6</v>
      </c>
      <c r="D391">
        <v>16</v>
      </c>
      <c r="E391">
        <v>34.659999999999997</v>
      </c>
      <c r="F391" t="s">
        <v>14</v>
      </c>
      <c r="G391" t="s">
        <v>17</v>
      </c>
      <c r="H391">
        <v>0.05</v>
      </c>
      <c r="I391" t="s">
        <v>19</v>
      </c>
      <c r="J391">
        <v>526.83199999999988</v>
      </c>
      <c r="K391" t="s">
        <v>27</v>
      </c>
      <c r="L391" t="s">
        <v>32</v>
      </c>
      <c r="M391">
        <v>0</v>
      </c>
      <c r="N391" t="s">
        <v>464</v>
      </c>
      <c r="O391" t="s">
        <v>1964</v>
      </c>
      <c r="P391">
        <v>49.9</v>
      </c>
      <c r="Q391">
        <f t="shared" si="6"/>
        <v>32.926999999999992</v>
      </c>
      <c r="R391">
        <v>476.9319999999999</v>
      </c>
      <c r="S391" s="2">
        <v>45693</v>
      </c>
      <c r="T391" s="2">
        <v>45699</v>
      </c>
      <c r="U391" t="s">
        <v>34</v>
      </c>
      <c r="V391">
        <v>5</v>
      </c>
      <c r="W391">
        <v>2</v>
      </c>
      <c r="X391" t="s">
        <v>38</v>
      </c>
      <c r="Y391">
        <v>2025</v>
      </c>
      <c r="Z391">
        <v>1</v>
      </c>
      <c r="AA391">
        <v>6</v>
      </c>
    </row>
    <row r="392" spans="1:27" x14ac:dyDescent="0.3">
      <c r="A392" s="2">
        <v>45383</v>
      </c>
      <c r="B392" t="s">
        <v>2</v>
      </c>
      <c r="C392" t="s">
        <v>11</v>
      </c>
      <c r="D392">
        <v>18</v>
      </c>
      <c r="E392">
        <v>155.04</v>
      </c>
      <c r="F392" t="s">
        <v>12</v>
      </c>
      <c r="G392" t="s">
        <v>16</v>
      </c>
      <c r="H392">
        <v>0.15</v>
      </c>
      <c r="I392" t="s">
        <v>20</v>
      </c>
      <c r="J392">
        <v>2372.1120000000001</v>
      </c>
      <c r="K392" t="s">
        <v>28</v>
      </c>
      <c r="L392" t="s">
        <v>31</v>
      </c>
      <c r="M392">
        <v>0</v>
      </c>
      <c r="N392" t="s">
        <v>465</v>
      </c>
      <c r="O392" t="s">
        <v>1965</v>
      </c>
      <c r="P392">
        <v>39.99</v>
      </c>
      <c r="Q392">
        <f t="shared" si="6"/>
        <v>131.78399999999999</v>
      </c>
      <c r="R392">
        <v>2332.1220000000003</v>
      </c>
      <c r="S392" s="2">
        <v>45383</v>
      </c>
      <c r="T392" s="2">
        <v>45386</v>
      </c>
      <c r="U392" t="s">
        <v>35</v>
      </c>
      <c r="V392">
        <v>1</v>
      </c>
      <c r="W392">
        <v>4</v>
      </c>
      <c r="X392" t="s">
        <v>45</v>
      </c>
      <c r="Y392">
        <v>2024</v>
      </c>
      <c r="Z392">
        <v>2</v>
      </c>
      <c r="AA392">
        <v>14</v>
      </c>
    </row>
    <row r="393" spans="1:27" x14ac:dyDescent="0.3">
      <c r="A393" s="2">
        <v>45717</v>
      </c>
      <c r="B393" t="s">
        <v>4</v>
      </c>
      <c r="C393" t="s">
        <v>9</v>
      </c>
      <c r="D393">
        <v>4</v>
      </c>
      <c r="E393">
        <v>69.599999999999994</v>
      </c>
      <c r="F393" t="s">
        <v>15</v>
      </c>
      <c r="G393" t="s">
        <v>16</v>
      </c>
      <c r="H393">
        <v>0.05</v>
      </c>
      <c r="I393" t="s">
        <v>18</v>
      </c>
      <c r="J393">
        <v>264.48</v>
      </c>
      <c r="K393" t="s">
        <v>25</v>
      </c>
      <c r="L393" t="s">
        <v>30</v>
      </c>
      <c r="M393">
        <v>0</v>
      </c>
      <c r="N393" t="s">
        <v>466</v>
      </c>
      <c r="O393" t="s">
        <v>1966</v>
      </c>
      <c r="P393">
        <v>17.68</v>
      </c>
      <c r="Q393">
        <f t="shared" si="6"/>
        <v>66.12</v>
      </c>
      <c r="R393">
        <v>246.8</v>
      </c>
      <c r="S393" s="2">
        <v>45717</v>
      </c>
      <c r="T393" s="2">
        <v>45725</v>
      </c>
      <c r="U393" t="s">
        <v>37</v>
      </c>
      <c r="V393">
        <v>1</v>
      </c>
      <c r="W393">
        <v>3</v>
      </c>
      <c r="X393" t="s">
        <v>44</v>
      </c>
      <c r="Y393">
        <v>2025</v>
      </c>
      <c r="Z393">
        <v>1</v>
      </c>
      <c r="AA393">
        <v>9</v>
      </c>
    </row>
    <row r="394" spans="1:27" x14ac:dyDescent="0.3">
      <c r="A394" s="2">
        <v>45110</v>
      </c>
      <c r="B394" t="s">
        <v>3</v>
      </c>
      <c r="C394" t="s">
        <v>9</v>
      </c>
      <c r="D394">
        <v>13</v>
      </c>
      <c r="E394">
        <v>55.09</v>
      </c>
      <c r="F394" t="s">
        <v>13</v>
      </c>
      <c r="G394" t="s">
        <v>16</v>
      </c>
      <c r="H394">
        <v>0.15</v>
      </c>
      <c r="I394" t="s">
        <v>22</v>
      </c>
      <c r="J394">
        <v>608.74450000000002</v>
      </c>
      <c r="K394" t="s">
        <v>28</v>
      </c>
      <c r="L394" t="s">
        <v>29</v>
      </c>
      <c r="M394">
        <v>1</v>
      </c>
      <c r="N394" t="s">
        <v>467</v>
      </c>
      <c r="O394" t="s">
        <v>1967</v>
      </c>
      <c r="P394">
        <v>47.78</v>
      </c>
      <c r="Q394">
        <f t="shared" si="6"/>
        <v>46.826500000000003</v>
      </c>
      <c r="R394">
        <v>560.96450000000004</v>
      </c>
      <c r="S394" s="2">
        <v>45110</v>
      </c>
      <c r="T394" s="2">
        <v>45113</v>
      </c>
      <c r="U394" t="s">
        <v>36</v>
      </c>
      <c r="V394">
        <v>3</v>
      </c>
      <c r="W394">
        <v>7</v>
      </c>
      <c r="X394" t="s">
        <v>46</v>
      </c>
      <c r="Y394">
        <v>2023</v>
      </c>
      <c r="Z394">
        <v>3</v>
      </c>
      <c r="AA394">
        <v>27</v>
      </c>
    </row>
    <row r="395" spans="1:27" x14ac:dyDescent="0.3">
      <c r="A395" s="2">
        <v>45041</v>
      </c>
      <c r="B395" t="s">
        <v>3</v>
      </c>
      <c r="C395" t="s">
        <v>5</v>
      </c>
      <c r="D395">
        <v>13</v>
      </c>
      <c r="E395">
        <v>206.11</v>
      </c>
      <c r="F395" t="s">
        <v>12</v>
      </c>
      <c r="G395" t="s">
        <v>17</v>
      </c>
      <c r="H395">
        <v>0.15</v>
      </c>
      <c r="I395" t="s">
        <v>23</v>
      </c>
      <c r="J395">
        <v>2277.5155</v>
      </c>
      <c r="K395" t="s">
        <v>25</v>
      </c>
      <c r="L395" t="s">
        <v>30</v>
      </c>
      <c r="M395">
        <v>1</v>
      </c>
      <c r="N395" t="s">
        <v>468</v>
      </c>
      <c r="O395" t="s">
        <v>1968</v>
      </c>
      <c r="P395">
        <v>22.59</v>
      </c>
      <c r="Q395">
        <f t="shared" si="6"/>
        <v>175.1935</v>
      </c>
      <c r="R395">
        <v>2254.9254999999998</v>
      </c>
      <c r="S395" s="2">
        <v>45041</v>
      </c>
      <c r="T395" s="2">
        <v>45047</v>
      </c>
      <c r="U395" t="s">
        <v>36</v>
      </c>
      <c r="V395">
        <v>25</v>
      </c>
      <c r="W395">
        <v>4</v>
      </c>
      <c r="X395" t="s">
        <v>45</v>
      </c>
      <c r="Y395">
        <v>2023</v>
      </c>
      <c r="Z395">
        <v>2</v>
      </c>
      <c r="AA395">
        <v>17</v>
      </c>
    </row>
    <row r="396" spans="1:27" x14ac:dyDescent="0.3">
      <c r="A396" s="2">
        <v>45756</v>
      </c>
      <c r="B396" t="s">
        <v>4</v>
      </c>
      <c r="C396" t="s">
        <v>10</v>
      </c>
      <c r="D396">
        <v>14</v>
      </c>
      <c r="E396">
        <v>484.38</v>
      </c>
      <c r="F396" t="s">
        <v>15</v>
      </c>
      <c r="G396" t="s">
        <v>17</v>
      </c>
      <c r="H396">
        <v>0.05</v>
      </c>
      <c r="I396" t="s">
        <v>20</v>
      </c>
      <c r="J396">
        <v>6442.253999999999</v>
      </c>
      <c r="K396" t="s">
        <v>27</v>
      </c>
      <c r="L396" t="s">
        <v>30</v>
      </c>
      <c r="M396">
        <v>0</v>
      </c>
      <c r="N396" t="s">
        <v>469</v>
      </c>
      <c r="O396" t="s">
        <v>1969</v>
      </c>
      <c r="P396">
        <v>29.24</v>
      </c>
      <c r="Q396">
        <f t="shared" si="6"/>
        <v>460.16099999999994</v>
      </c>
      <c r="R396">
        <v>6413.0139999999992</v>
      </c>
      <c r="S396" s="2">
        <v>45756</v>
      </c>
      <c r="T396" s="2">
        <v>45766</v>
      </c>
      <c r="U396" t="s">
        <v>37</v>
      </c>
      <c r="V396">
        <v>9</v>
      </c>
      <c r="W396">
        <v>4</v>
      </c>
      <c r="X396" t="s">
        <v>45</v>
      </c>
      <c r="Y396">
        <v>2025</v>
      </c>
      <c r="Z396">
        <v>2</v>
      </c>
      <c r="AA396">
        <v>15</v>
      </c>
    </row>
    <row r="397" spans="1:27" x14ac:dyDescent="0.3">
      <c r="A397" s="2">
        <v>45235</v>
      </c>
      <c r="B397" t="s">
        <v>2</v>
      </c>
      <c r="C397" t="s">
        <v>9</v>
      </c>
      <c r="D397">
        <v>6</v>
      </c>
      <c r="E397">
        <v>449.57</v>
      </c>
      <c r="F397" t="s">
        <v>15</v>
      </c>
      <c r="G397" t="s">
        <v>16</v>
      </c>
      <c r="H397">
        <v>0</v>
      </c>
      <c r="I397" t="s">
        <v>20</v>
      </c>
      <c r="J397">
        <v>2697.42</v>
      </c>
      <c r="K397" t="s">
        <v>25</v>
      </c>
      <c r="L397" t="s">
        <v>31</v>
      </c>
      <c r="M397">
        <v>0</v>
      </c>
      <c r="N397" t="s">
        <v>470</v>
      </c>
      <c r="O397" t="s">
        <v>1970</v>
      </c>
      <c r="P397">
        <v>23.09</v>
      </c>
      <c r="Q397">
        <f t="shared" si="6"/>
        <v>449.57</v>
      </c>
      <c r="R397">
        <v>2674.33</v>
      </c>
      <c r="S397" s="2">
        <v>45235</v>
      </c>
      <c r="T397" s="2">
        <v>45242</v>
      </c>
      <c r="U397" t="s">
        <v>35</v>
      </c>
      <c r="V397">
        <v>5</v>
      </c>
      <c r="W397">
        <v>11</v>
      </c>
      <c r="X397" t="s">
        <v>47</v>
      </c>
      <c r="Y397">
        <v>2023</v>
      </c>
      <c r="Z397">
        <v>4</v>
      </c>
      <c r="AA397">
        <v>44</v>
      </c>
    </row>
    <row r="398" spans="1:27" x14ac:dyDescent="0.3">
      <c r="A398" s="2">
        <v>44939</v>
      </c>
      <c r="B398" t="s">
        <v>0</v>
      </c>
      <c r="C398" t="s">
        <v>5</v>
      </c>
      <c r="D398">
        <v>9</v>
      </c>
      <c r="E398">
        <v>223.01</v>
      </c>
      <c r="F398" t="s">
        <v>14</v>
      </c>
      <c r="G398" t="s">
        <v>17</v>
      </c>
      <c r="H398">
        <v>0</v>
      </c>
      <c r="I398" t="s">
        <v>22</v>
      </c>
      <c r="J398">
        <v>2007.09</v>
      </c>
      <c r="K398" t="s">
        <v>28</v>
      </c>
      <c r="L398" t="s">
        <v>32</v>
      </c>
      <c r="M398">
        <v>1</v>
      </c>
      <c r="N398" t="s">
        <v>471</v>
      </c>
      <c r="O398" t="s">
        <v>1971</v>
      </c>
      <c r="P398">
        <v>11.9</v>
      </c>
      <c r="Q398">
        <f t="shared" si="6"/>
        <v>223.01</v>
      </c>
      <c r="R398">
        <v>1995.1899999999998</v>
      </c>
      <c r="S398" s="2">
        <v>44939</v>
      </c>
      <c r="T398" s="2">
        <v>44945</v>
      </c>
      <c r="U398" t="s">
        <v>33</v>
      </c>
      <c r="V398">
        <v>13</v>
      </c>
      <c r="W398">
        <v>1</v>
      </c>
      <c r="X398" t="s">
        <v>42</v>
      </c>
      <c r="Y398">
        <v>2023</v>
      </c>
      <c r="Z398">
        <v>1</v>
      </c>
      <c r="AA398">
        <v>2</v>
      </c>
    </row>
    <row r="399" spans="1:27" x14ac:dyDescent="0.3">
      <c r="A399" s="2">
        <v>45694</v>
      </c>
      <c r="B399" t="s">
        <v>4</v>
      </c>
      <c r="C399" t="s">
        <v>8</v>
      </c>
      <c r="D399">
        <v>14</v>
      </c>
      <c r="E399">
        <v>291.91000000000003</v>
      </c>
      <c r="F399" t="s">
        <v>13</v>
      </c>
      <c r="G399" t="s">
        <v>17</v>
      </c>
      <c r="H399">
        <v>0.15</v>
      </c>
      <c r="I399" t="s">
        <v>20</v>
      </c>
      <c r="J399">
        <v>3473.7289999999998</v>
      </c>
      <c r="K399" t="s">
        <v>26</v>
      </c>
      <c r="L399" t="s">
        <v>32</v>
      </c>
      <c r="M399">
        <v>0</v>
      </c>
      <c r="N399" t="s">
        <v>472</v>
      </c>
      <c r="O399" t="s">
        <v>1972</v>
      </c>
      <c r="P399">
        <v>27.51</v>
      </c>
      <c r="Q399">
        <f t="shared" si="6"/>
        <v>248.12349999999998</v>
      </c>
      <c r="R399">
        <v>3446.2189999999996</v>
      </c>
      <c r="S399" s="2">
        <v>45694</v>
      </c>
      <c r="T399" s="2">
        <v>45698</v>
      </c>
      <c r="U399" t="s">
        <v>37</v>
      </c>
      <c r="V399">
        <v>6</v>
      </c>
      <c r="W399">
        <v>2</v>
      </c>
      <c r="X399" t="s">
        <v>38</v>
      </c>
      <c r="Y399">
        <v>2025</v>
      </c>
      <c r="Z399">
        <v>1</v>
      </c>
      <c r="AA399">
        <v>6</v>
      </c>
    </row>
    <row r="400" spans="1:27" x14ac:dyDescent="0.3">
      <c r="A400" s="2">
        <v>45066</v>
      </c>
      <c r="B400" t="s">
        <v>1</v>
      </c>
      <c r="C400" t="s">
        <v>9</v>
      </c>
      <c r="D400">
        <v>13</v>
      </c>
      <c r="E400">
        <v>90.86</v>
      </c>
      <c r="F400" t="s">
        <v>13</v>
      </c>
      <c r="G400" t="s">
        <v>16</v>
      </c>
      <c r="H400">
        <v>0</v>
      </c>
      <c r="I400" t="s">
        <v>21</v>
      </c>
      <c r="J400">
        <v>1181.18</v>
      </c>
      <c r="K400" t="s">
        <v>25</v>
      </c>
      <c r="L400" t="s">
        <v>30</v>
      </c>
      <c r="M400">
        <v>0</v>
      </c>
      <c r="N400" t="s">
        <v>473</v>
      </c>
      <c r="O400" t="s">
        <v>1973</v>
      </c>
      <c r="P400">
        <v>16.739999999999998</v>
      </c>
      <c r="Q400">
        <f t="shared" si="6"/>
        <v>90.86</v>
      </c>
      <c r="R400">
        <v>1164.44</v>
      </c>
      <c r="S400" s="2">
        <v>45066</v>
      </c>
      <c r="T400" s="2">
        <v>45071</v>
      </c>
      <c r="U400" t="s">
        <v>34</v>
      </c>
      <c r="V400">
        <v>20</v>
      </c>
      <c r="W400">
        <v>5</v>
      </c>
      <c r="X400" t="s">
        <v>40</v>
      </c>
      <c r="Y400">
        <v>2023</v>
      </c>
      <c r="Z400">
        <v>2</v>
      </c>
      <c r="AA400">
        <v>20</v>
      </c>
    </row>
    <row r="401" spans="1:27" x14ac:dyDescent="0.3">
      <c r="A401" s="2">
        <v>45826</v>
      </c>
      <c r="B401" t="s">
        <v>0</v>
      </c>
      <c r="C401" t="s">
        <v>7</v>
      </c>
      <c r="D401">
        <v>4</v>
      </c>
      <c r="E401">
        <v>109.05</v>
      </c>
      <c r="F401" t="s">
        <v>15</v>
      </c>
      <c r="G401" t="s">
        <v>16</v>
      </c>
      <c r="H401">
        <v>0</v>
      </c>
      <c r="I401" t="s">
        <v>22</v>
      </c>
      <c r="J401">
        <v>436.2</v>
      </c>
      <c r="K401" t="s">
        <v>25</v>
      </c>
      <c r="L401" t="s">
        <v>31</v>
      </c>
      <c r="M401">
        <v>0</v>
      </c>
      <c r="N401" t="s">
        <v>474</v>
      </c>
      <c r="O401" t="s">
        <v>1974</v>
      </c>
      <c r="P401">
        <v>21.02</v>
      </c>
      <c r="Q401">
        <f t="shared" si="6"/>
        <v>109.05</v>
      </c>
      <c r="R401">
        <v>415.18</v>
      </c>
      <c r="S401" s="2">
        <v>45826</v>
      </c>
      <c r="T401" s="2">
        <v>45832</v>
      </c>
      <c r="U401" t="s">
        <v>33</v>
      </c>
      <c r="V401">
        <v>18</v>
      </c>
      <c r="W401">
        <v>6</v>
      </c>
      <c r="X401" t="s">
        <v>41</v>
      </c>
      <c r="Y401">
        <v>2025</v>
      </c>
      <c r="Z401">
        <v>2</v>
      </c>
      <c r="AA401">
        <v>25</v>
      </c>
    </row>
    <row r="402" spans="1:27" x14ac:dyDescent="0.3">
      <c r="A402" s="2">
        <v>44980</v>
      </c>
      <c r="B402" t="s">
        <v>4</v>
      </c>
      <c r="C402" t="s">
        <v>10</v>
      </c>
      <c r="D402">
        <v>12</v>
      </c>
      <c r="E402">
        <v>245.6</v>
      </c>
      <c r="F402" t="s">
        <v>15</v>
      </c>
      <c r="G402" t="s">
        <v>17</v>
      </c>
      <c r="H402">
        <v>0</v>
      </c>
      <c r="I402" t="s">
        <v>23</v>
      </c>
      <c r="J402">
        <v>2947.2</v>
      </c>
      <c r="K402" t="s">
        <v>28</v>
      </c>
      <c r="L402" t="s">
        <v>29</v>
      </c>
      <c r="M402">
        <v>1</v>
      </c>
      <c r="N402" t="s">
        <v>475</v>
      </c>
      <c r="O402" t="s">
        <v>1975</v>
      </c>
      <c r="P402">
        <v>43.92</v>
      </c>
      <c r="Q402">
        <f t="shared" si="6"/>
        <v>245.6</v>
      </c>
      <c r="R402">
        <v>2903.2799999999997</v>
      </c>
      <c r="S402" s="2">
        <v>44980</v>
      </c>
      <c r="T402" s="2">
        <v>44984</v>
      </c>
      <c r="U402" t="s">
        <v>37</v>
      </c>
      <c r="V402">
        <v>23</v>
      </c>
      <c r="W402">
        <v>2</v>
      </c>
      <c r="X402" t="s">
        <v>38</v>
      </c>
      <c r="Y402">
        <v>2023</v>
      </c>
      <c r="Z402">
        <v>1</v>
      </c>
      <c r="AA402">
        <v>8</v>
      </c>
    </row>
    <row r="403" spans="1:27" x14ac:dyDescent="0.3">
      <c r="A403" s="2">
        <v>45605</v>
      </c>
      <c r="B403" t="s">
        <v>0</v>
      </c>
      <c r="C403" t="s">
        <v>11</v>
      </c>
      <c r="D403">
        <v>15</v>
      </c>
      <c r="E403">
        <v>380.03</v>
      </c>
      <c r="F403" t="s">
        <v>13</v>
      </c>
      <c r="G403" t="s">
        <v>17</v>
      </c>
      <c r="H403">
        <v>0</v>
      </c>
      <c r="I403" t="s">
        <v>23</v>
      </c>
      <c r="J403">
        <v>5700.45</v>
      </c>
      <c r="K403" t="s">
        <v>24</v>
      </c>
      <c r="L403" t="s">
        <v>32</v>
      </c>
      <c r="M403">
        <v>0</v>
      </c>
      <c r="N403" t="s">
        <v>476</v>
      </c>
      <c r="O403" t="s">
        <v>1976</v>
      </c>
      <c r="P403">
        <v>25.72</v>
      </c>
      <c r="Q403">
        <f t="shared" si="6"/>
        <v>380.03</v>
      </c>
      <c r="R403">
        <v>5674.73</v>
      </c>
      <c r="S403" s="2">
        <v>45605</v>
      </c>
      <c r="T403" s="2">
        <v>45608</v>
      </c>
      <c r="U403" t="s">
        <v>33</v>
      </c>
      <c r="V403">
        <v>9</v>
      </c>
      <c r="W403">
        <v>11</v>
      </c>
      <c r="X403" t="s">
        <v>47</v>
      </c>
      <c r="Y403">
        <v>2024</v>
      </c>
      <c r="Z403">
        <v>4</v>
      </c>
      <c r="AA403">
        <v>45</v>
      </c>
    </row>
    <row r="404" spans="1:27" x14ac:dyDescent="0.3">
      <c r="A404" s="2">
        <v>45498</v>
      </c>
      <c r="B404" t="s">
        <v>1</v>
      </c>
      <c r="C404" t="s">
        <v>10</v>
      </c>
      <c r="D404">
        <v>3</v>
      </c>
      <c r="E404">
        <v>417.58</v>
      </c>
      <c r="F404" t="s">
        <v>15</v>
      </c>
      <c r="G404" t="s">
        <v>17</v>
      </c>
      <c r="H404">
        <v>0.05</v>
      </c>
      <c r="I404" t="s">
        <v>20</v>
      </c>
      <c r="J404">
        <v>1190.1030000000001</v>
      </c>
      <c r="K404" t="s">
        <v>25</v>
      </c>
      <c r="L404" t="s">
        <v>30</v>
      </c>
      <c r="M404">
        <v>0</v>
      </c>
      <c r="N404" t="s">
        <v>477</v>
      </c>
      <c r="O404" t="s">
        <v>1977</v>
      </c>
      <c r="P404">
        <v>43.42</v>
      </c>
      <c r="Q404">
        <f t="shared" si="6"/>
        <v>396.70100000000002</v>
      </c>
      <c r="R404">
        <v>1146.683</v>
      </c>
      <c r="S404" s="2">
        <v>45498</v>
      </c>
      <c r="T404" s="2">
        <v>45504</v>
      </c>
      <c r="U404" t="s">
        <v>34</v>
      </c>
      <c r="V404">
        <v>25</v>
      </c>
      <c r="W404">
        <v>7</v>
      </c>
      <c r="X404" t="s">
        <v>46</v>
      </c>
      <c r="Y404">
        <v>2024</v>
      </c>
      <c r="Z404">
        <v>3</v>
      </c>
      <c r="AA404">
        <v>30</v>
      </c>
    </row>
    <row r="405" spans="1:27" x14ac:dyDescent="0.3">
      <c r="A405" s="2">
        <v>45157</v>
      </c>
      <c r="B405" t="s">
        <v>4</v>
      </c>
      <c r="C405" t="s">
        <v>5</v>
      </c>
      <c r="D405">
        <v>15</v>
      </c>
      <c r="E405">
        <v>432.17</v>
      </c>
      <c r="F405" t="s">
        <v>15</v>
      </c>
      <c r="G405" t="s">
        <v>16</v>
      </c>
      <c r="H405">
        <v>0.15</v>
      </c>
      <c r="I405" t="s">
        <v>20</v>
      </c>
      <c r="J405">
        <v>5510.1674999999996</v>
      </c>
      <c r="K405" t="s">
        <v>27</v>
      </c>
      <c r="L405" t="s">
        <v>31</v>
      </c>
      <c r="M405">
        <v>0</v>
      </c>
      <c r="N405" t="s">
        <v>478</v>
      </c>
      <c r="O405" t="s">
        <v>1978</v>
      </c>
      <c r="P405">
        <v>44.88</v>
      </c>
      <c r="Q405">
        <f t="shared" si="6"/>
        <v>367.34449999999998</v>
      </c>
      <c r="R405">
        <v>5465.2874999999995</v>
      </c>
      <c r="S405" s="2">
        <v>45157</v>
      </c>
      <c r="T405" s="2">
        <v>45161</v>
      </c>
      <c r="U405" t="s">
        <v>37</v>
      </c>
      <c r="V405">
        <v>19</v>
      </c>
      <c r="W405">
        <v>8</v>
      </c>
      <c r="X405" t="s">
        <v>48</v>
      </c>
      <c r="Y405">
        <v>2023</v>
      </c>
      <c r="Z405">
        <v>3</v>
      </c>
      <c r="AA405">
        <v>33</v>
      </c>
    </row>
    <row r="406" spans="1:27" x14ac:dyDescent="0.3">
      <c r="A406" s="2">
        <v>45243</v>
      </c>
      <c r="B406" t="s">
        <v>1</v>
      </c>
      <c r="C406" t="s">
        <v>9</v>
      </c>
      <c r="D406">
        <v>13</v>
      </c>
      <c r="E406">
        <v>531.77</v>
      </c>
      <c r="F406" t="s">
        <v>14</v>
      </c>
      <c r="G406" t="s">
        <v>17</v>
      </c>
      <c r="H406">
        <v>0.1</v>
      </c>
      <c r="I406" t="s">
        <v>23</v>
      </c>
      <c r="J406">
        <v>6221.7090000000007</v>
      </c>
      <c r="K406" t="s">
        <v>24</v>
      </c>
      <c r="L406" t="s">
        <v>30</v>
      </c>
      <c r="M406">
        <v>0</v>
      </c>
      <c r="N406" t="s">
        <v>479</v>
      </c>
      <c r="O406" t="s">
        <v>1979</v>
      </c>
      <c r="P406">
        <v>37.909999999999997</v>
      </c>
      <c r="Q406">
        <f t="shared" si="6"/>
        <v>478.59300000000007</v>
      </c>
      <c r="R406">
        <v>6183.7990000000009</v>
      </c>
      <c r="S406" s="2">
        <v>45243</v>
      </c>
      <c r="T406" s="2">
        <v>45245</v>
      </c>
      <c r="U406" t="s">
        <v>34</v>
      </c>
      <c r="V406">
        <v>13</v>
      </c>
      <c r="W406">
        <v>11</v>
      </c>
      <c r="X406" t="s">
        <v>47</v>
      </c>
      <c r="Y406">
        <v>2023</v>
      </c>
      <c r="Z406">
        <v>4</v>
      </c>
      <c r="AA406">
        <v>46</v>
      </c>
    </row>
    <row r="407" spans="1:27" x14ac:dyDescent="0.3">
      <c r="A407" s="2">
        <v>45545</v>
      </c>
      <c r="B407" t="s">
        <v>4</v>
      </c>
      <c r="C407" t="s">
        <v>10</v>
      </c>
      <c r="D407">
        <v>13</v>
      </c>
      <c r="E407">
        <v>442.99</v>
      </c>
      <c r="F407" t="s">
        <v>13</v>
      </c>
      <c r="G407" t="s">
        <v>16</v>
      </c>
      <c r="H407">
        <v>0.05</v>
      </c>
      <c r="I407" t="s">
        <v>19</v>
      </c>
      <c r="J407">
        <v>5470.9264999999996</v>
      </c>
      <c r="K407" t="s">
        <v>25</v>
      </c>
      <c r="L407" t="s">
        <v>30</v>
      </c>
      <c r="M407">
        <v>0</v>
      </c>
      <c r="N407" t="s">
        <v>480</v>
      </c>
      <c r="O407" t="s">
        <v>1980</v>
      </c>
      <c r="P407">
        <v>37.119999999999997</v>
      </c>
      <c r="Q407">
        <f t="shared" si="6"/>
        <v>420.84049999999996</v>
      </c>
      <c r="R407">
        <v>5433.8064999999997</v>
      </c>
      <c r="S407" s="2">
        <v>45545</v>
      </c>
      <c r="T407" s="2">
        <v>45553</v>
      </c>
      <c r="U407" t="s">
        <v>37</v>
      </c>
      <c r="V407">
        <v>10</v>
      </c>
      <c r="W407">
        <v>9</v>
      </c>
      <c r="X407" t="s">
        <v>49</v>
      </c>
      <c r="Y407">
        <v>2024</v>
      </c>
      <c r="Z407">
        <v>3</v>
      </c>
      <c r="AA407">
        <v>37</v>
      </c>
    </row>
    <row r="408" spans="1:27" x14ac:dyDescent="0.3">
      <c r="A408" s="2">
        <v>45534</v>
      </c>
      <c r="B408" t="s">
        <v>3</v>
      </c>
      <c r="C408" t="s">
        <v>8</v>
      </c>
      <c r="D408">
        <v>13</v>
      </c>
      <c r="E408">
        <v>567.5</v>
      </c>
      <c r="F408" t="s">
        <v>13</v>
      </c>
      <c r="G408" t="s">
        <v>17</v>
      </c>
      <c r="H408">
        <v>0</v>
      </c>
      <c r="I408" t="s">
        <v>18</v>
      </c>
      <c r="J408">
        <v>7377.5</v>
      </c>
      <c r="K408" t="s">
        <v>26</v>
      </c>
      <c r="L408" t="s">
        <v>32</v>
      </c>
      <c r="M408">
        <v>0</v>
      </c>
      <c r="N408" t="s">
        <v>481</v>
      </c>
      <c r="O408" t="s">
        <v>1981</v>
      </c>
      <c r="P408">
        <v>28.41</v>
      </c>
      <c r="Q408">
        <f t="shared" si="6"/>
        <v>567.5</v>
      </c>
      <c r="R408">
        <v>7349.09</v>
      </c>
      <c r="S408" s="2">
        <v>45534</v>
      </c>
      <c r="T408" s="2">
        <v>45537</v>
      </c>
      <c r="U408" t="s">
        <v>36</v>
      </c>
      <c r="V408">
        <v>30</v>
      </c>
      <c r="W408">
        <v>8</v>
      </c>
      <c r="X408" t="s">
        <v>48</v>
      </c>
      <c r="Y408">
        <v>2024</v>
      </c>
      <c r="Z408">
        <v>3</v>
      </c>
      <c r="AA408">
        <v>35</v>
      </c>
    </row>
    <row r="409" spans="1:27" x14ac:dyDescent="0.3">
      <c r="A409" s="2">
        <v>45606</v>
      </c>
      <c r="B409" t="s">
        <v>0</v>
      </c>
      <c r="C409" t="s">
        <v>10</v>
      </c>
      <c r="D409">
        <v>15</v>
      </c>
      <c r="E409">
        <v>469.52</v>
      </c>
      <c r="F409" t="s">
        <v>14</v>
      </c>
      <c r="G409" t="s">
        <v>16</v>
      </c>
      <c r="H409">
        <v>0</v>
      </c>
      <c r="I409" t="s">
        <v>19</v>
      </c>
      <c r="J409">
        <v>7042.7999999999993</v>
      </c>
      <c r="K409" t="s">
        <v>26</v>
      </c>
      <c r="L409" t="s">
        <v>29</v>
      </c>
      <c r="M409">
        <v>0</v>
      </c>
      <c r="N409" t="s">
        <v>482</v>
      </c>
      <c r="O409" t="s">
        <v>1982</v>
      </c>
      <c r="P409">
        <v>35.6</v>
      </c>
      <c r="Q409">
        <f t="shared" si="6"/>
        <v>469.51999999999992</v>
      </c>
      <c r="R409">
        <v>7007.1999999999989</v>
      </c>
      <c r="S409" s="2">
        <v>45606</v>
      </c>
      <c r="T409" s="2">
        <v>45613</v>
      </c>
      <c r="U409" t="s">
        <v>33</v>
      </c>
      <c r="V409">
        <v>10</v>
      </c>
      <c r="W409">
        <v>11</v>
      </c>
      <c r="X409" t="s">
        <v>47</v>
      </c>
      <c r="Y409">
        <v>2024</v>
      </c>
      <c r="Z409">
        <v>4</v>
      </c>
      <c r="AA409">
        <v>45</v>
      </c>
    </row>
    <row r="410" spans="1:27" x14ac:dyDescent="0.3">
      <c r="A410" s="2">
        <v>45029</v>
      </c>
      <c r="B410" t="s">
        <v>0</v>
      </c>
      <c r="C410" t="s">
        <v>11</v>
      </c>
      <c r="D410">
        <v>1</v>
      </c>
      <c r="E410">
        <v>396.09</v>
      </c>
      <c r="F410" t="s">
        <v>15</v>
      </c>
      <c r="G410" t="s">
        <v>16</v>
      </c>
      <c r="H410">
        <v>0.15</v>
      </c>
      <c r="I410" t="s">
        <v>20</v>
      </c>
      <c r="J410">
        <v>336.67649999999998</v>
      </c>
      <c r="K410" t="s">
        <v>26</v>
      </c>
      <c r="L410" t="s">
        <v>31</v>
      </c>
      <c r="M410">
        <v>0</v>
      </c>
      <c r="N410" t="s">
        <v>483</v>
      </c>
      <c r="O410" t="s">
        <v>1983</v>
      </c>
      <c r="P410">
        <v>39.380000000000003</v>
      </c>
      <c r="Q410">
        <f t="shared" si="6"/>
        <v>336.67649999999998</v>
      </c>
      <c r="R410">
        <v>297.29649999999998</v>
      </c>
      <c r="S410" s="2">
        <v>45029</v>
      </c>
      <c r="T410" s="2">
        <v>45035</v>
      </c>
      <c r="U410" t="s">
        <v>33</v>
      </c>
      <c r="V410">
        <v>13</v>
      </c>
      <c r="W410">
        <v>4</v>
      </c>
      <c r="X410" t="s">
        <v>45</v>
      </c>
      <c r="Y410">
        <v>2023</v>
      </c>
      <c r="Z410">
        <v>2</v>
      </c>
      <c r="AA410">
        <v>15</v>
      </c>
    </row>
    <row r="411" spans="1:27" x14ac:dyDescent="0.3">
      <c r="A411" s="2">
        <v>45250</v>
      </c>
      <c r="B411" t="s">
        <v>0</v>
      </c>
      <c r="C411" t="s">
        <v>5</v>
      </c>
      <c r="D411">
        <v>12</v>
      </c>
      <c r="E411">
        <v>195.73</v>
      </c>
      <c r="F411" t="s">
        <v>14</v>
      </c>
      <c r="G411" t="s">
        <v>16</v>
      </c>
      <c r="H411">
        <v>0.05</v>
      </c>
      <c r="I411" t="s">
        <v>19</v>
      </c>
      <c r="J411">
        <v>2231.3220000000001</v>
      </c>
      <c r="K411" t="s">
        <v>28</v>
      </c>
      <c r="L411" t="s">
        <v>30</v>
      </c>
      <c r="M411">
        <v>0</v>
      </c>
      <c r="N411" t="s">
        <v>484</v>
      </c>
      <c r="O411" t="s">
        <v>1984</v>
      </c>
      <c r="P411">
        <v>37.090000000000003</v>
      </c>
      <c r="Q411">
        <f t="shared" si="6"/>
        <v>185.9435</v>
      </c>
      <c r="R411">
        <v>2194.232</v>
      </c>
      <c r="S411" s="2">
        <v>45250</v>
      </c>
      <c r="T411" s="2">
        <v>45257</v>
      </c>
      <c r="U411" t="s">
        <v>33</v>
      </c>
      <c r="V411">
        <v>20</v>
      </c>
      <c r="W411">
        <v>11</v>
      </c>
      <c r="X411" t="s">
        <v>47</v>
      </c>
      <c r="Y411">
        <v>2023</v>
      </c>
      <c r="Z411">
        <v>4</v>
      </c>
      <c r="AA411">
        <v>47</v>
      </c>
    </row>
    <row r="412" spans="1:27" x14ac:dyDescent="0.3">
      <c r="A412" s="2">
        <v>45761</v>
      </c>
      <c r="B412" t="s">
        <v>2</v>
      </c>
      <c r="C412" t="s">
        <v>11</v>
      </c>
      <c r="D412">
        <v>5</v>
      </c>
      <c r="E412">
        <v>412.24</v>
      </c>
      <c r="F412" t="s">
        <v>12</v>
      </c>
      <c r="G412" t="s">
        <v>16</v>
      </c>
      <c r="H412">
        <v>0.15</v>
      </c>
      <c r="I412" t="s">
        <v>21</v>
      </c>
      <c r="J412">
        <v>1752.02</v>
      </c>
      <c r="K412" t="s">
        <v>28</v>
      </c>
      <c r="L412" t="s">
        <v>29</v>
      </c>
      <c r="M412">
        <v>0</v>
      </c>
      <c r="N412" t="s">
        <v>485</v>
      </c>
      <c r="O412" t="s">
        <v>1985</v>
      </c>
      <c r="P412">
        <v>29.31</v>
      </c>
      <c r="Q412">
        <f t="shared" si="6"/>
        <v>350.404</v>
      </c>
      <c r="R412">
        <v>1722.71</v>
      </c>
      <c r="S412" s="2">
        <v>45761</v>
      </c>
      <c r="T412" s="2">
        <v>45766</v>
      </c>
      <c r="U412" t="s">
        <v>35</v>
      </c>
      <c r="V412">
        <v>14</v>
      </c>
      <c r="W412">
        <v>4</v>
      </c>
      <c r="X412" t="s">
        <v>45</v>
      </c>
      <c r="Y412">
        <v>2025</v>
      </c>
      <c r="Z412">
        <v>2</v>
      </c>
      <c r="AA412">
        <v>16</v>
      </c>
    </row>
    <row r="413" spans="1:27" x14ac:dyDescent="0.3">
      <c r="A413" s="2">
        <v>44989</v>
      </c>
      <c r="B413" t="s">
        <v>3</v>
      </c>
      <c r="C413" t="s">
        <v>9</v>
      </c>
      <c r="D413">
        <v>11</v>
      </c>
      <c r="E413">
        <v>558.5</v>
      </c>
      <c r="F413" t="s">
        <v>12</v>
      </c>
      <c r="G413" t="s">
        <v>17</v>
      </c>
      <c r="H413">
        <v>0.15</v>
      </c>
      <c r="I413" t="s">
        <v>21</v>
      </c>
      <c r="J413">
        <v>5221.9749999999995</v>
      </c>
      <c r="K413" t="s">
        <v>28</v>
      </c>
      <c r="L413" t="s">
        <v>31</v>
      </c>
      <c r="M413">
        <v>0</v>
      </c>
      <c r="N413" t="s">
        <v>486</v>
      </c>
      <c r="O413" t="s">
        <v>1986</v>
      </c>
      <c r="P413">
        <v>48.15</v>
      </c>
      <c r="Q413">
        <f t="shared" si="6"/>
        <v>474.72499999999997</v>
      </c>
      <c r="R413">
        <v>5173.8249999999998</v>
      </c>
      <c r="S413" s="2">
        <v>44989</v>
      </c>
      <c r="T413" s="2">
        <v>44994</v>
      </c>
      <c r="U413" t="s">
        <v>36</v>
      </c>
      <c r="V413">
        <v>4</v>
      </c>
      <c r="W413">
        <v>3</v>
      </c>
      <c r="X413" t="s">
        <v>44</v>
      </c>
      <c r="Y413">
        <v>2023</v>
      </c>
      <c r="Z413">
        <v>1</v>
      </c>
      <c r="AA413">
        <v>9</v>
      </c>
    </row>
    <row r="414" spans="1:27" x14ac:dyDescent="0.3">
      <c r="A414" s="2">
        <v>45612</v>
      </c>
      <c r="B414" t="s">
        <v>2</v>
      </c>
      <c r="C414" t="s">
        <v>5</v>
      </c>
      <c r="D414">
        <v>4</v>
      </c>
      <c r="E414">
        <v>175.34</v>
      </c>
      <c r="F414" t="s">
        <v>14</v>
      </c>
      <c r="G414" t="s">
        <v>17</v>
      </c>
      <c r="H414">
        <v>0.15</v>
      </c>
      <c r="I414" t="s">
        <v>18</v>
      </c>
      <c r="J414">
        <v>596.15599999999995</v>
      </c>
      <c r="K414" t="s">
        <v>28</v>
      </c>
      <c r="L414" t="s">
        <v>29</v>
      </c>
      <c r="M414">
        <v>0</v>
      </c>
      <c r="N414" t="s">
        <v>487</v>
      </c>
      <c r="O414" t="s">
        <v>1987</v>
      </c>
      <c r="P414">
        <v>40.86</v>
      </c>
      <c r="Q414">
        <f t="shared" si="6"/>
        <v>149.03899999999999</v>
      </c>
      <c r="R414">
        <v>555.29599999999994</v>
      </c>
      <c r="S414" s="2">
        <v>45612</v>
      </c>
      <c r="T414" s="2">
        <v>45615</v>
      </c>
      <c r="U414" t="s">
        <v>35</v>
      </c>
      <c r="V414">
        <v>16</v>
      </c>
      <c r="W414">
        <v>11</v>
      </c>
      <c r="X414" t="s">
        <v>47</v>
      </c>
      <c r="Y414">
        <v>2024</v>
      </c>
      <c r="Z414">
        <v>4</v>
      </c>
      <c r="AA414">
        <v>46</v>
      </c>
    </row>
    <row r="415" spans="1:27" x14ac:dyDescent="0.3">
      <c r="A415" s="2">
        <v>45437</v>
      </c>
      <c r="B415" t="s">
        <v>1</v>
      </c>
      <c r="C415" t="s">
        <v>5</v>
      </c>
      <c r="D415">
        <v>19</v>
      </c>
      <c r="E415">
        <v>478.73</v>
      </c>
      <c r="F415" t="s">
        <v>13</v>
      </c>
      <c r="G415" t="s">
        <v>17</v>
      </c>
      <c r="H415">
        <v>0</v>
      </c>
      <c r="I415" t="s">
        <v>20</v>
      </c>
      <c r="J415">
        <v>9095.8700000000008</v>
      </c>
      <c r="K415" t="s">
        <v>27</v>
      </c>
      <c r="L415" t="s">
        <v>31</v>
      </c>
      <c r="M415">
        <v>1</v>
      </c>
      <c r="N415" t="s">
        <v>488</v>
      </c>
      <c r="O415" t="s">
        <v>1988</v>
      </c>
      <c r="P415">
        <v>46.46</v>
      </c>
      <c r="Q415">
        <f t="shared" si="6"/>
        <v>478.73</v>
      </c>
      <c r="R415">
        <v>9049.4100000000017</v>
      </c>
      <c r="S415" s="2">
        <v>45437</v>
      </c>
      <c r="T415" s="2">
        <v>45445</v>
      </c>
      <c r="U415" t="s">
        <v>34</v>
      </c>
      <c r="V415">
        <v>25</v>
      </c>
      <c r="W415">
        <v>5</v>
      </c>
      <c r="X415" t="s">
        <v>40</v>
      </c>
      <c r="Y415">
        <v>2024</v>
      </c>
      <c r="Z415">
        <v>2</v>
      </c>
      <c r="AA415">
        <v>21</v>
      </c>
    </row>
    <row r="416" spans="1:27" x14ac:dyDescent="0.3">
      <c r="A416" s="2">
        <v>45028</v>
      </c>
      <c r="B416" t="s">
        <v>0</v>
      </c>
      <c r="C416" t="s">
        <v>7</v>
      </c>
      <c r="D416">
        <v>5</v>
      </c>
      <c r="E416">
        <v>365.38</v>
      </c>
      <c r="F416" t="s">
        <v>15</v>
      </c>
      <c r="G416" t="s">
        <v>16</v>
      </c>
      <c r="H416">
        <v>0.15</v>
      </c>
      <c r="I416" t="s">
        <v>19</v>
      </c>
      <c r="J416">
        <v>1552.865</v>
      </c>
      <c r="K416" t="s">
        <v>27</v>
      </c>
      <c r="L416" t="s">
        <v>30</v>
      </c>
      <c r="M416">
        <v>1</v>
      </c>
      <c r="N416" t="s">
        <v>489</v>
      </c>
      <c r="O416" t="s">
        <v>1989</v>
      </c>
      <c r="P416">
        <v>5.66</v>
      </c>
      <c r="Q416">
        <f t="shared" si="6"/>
        <v>310.57299999999998</v>
      </c>
      <c r="R416">
        <v>1547.2049999999999</v>
      </c>
      <c r="S416" s="2">
        <v>45028</v>
      </c>
      <c r="T416" s="2">
        <v>45031</v>
      </c>
      <c r="U416" t="s">
        <v>33</v>
      </c>
      <c r="V416">
        <v>12</v>
      </c>
      <c r="W416">
        <v>4</v>
      </c>
      <c r="X416" t="s">
        <v>45</v>
      </c>
      <c r="Y416">
        <v>2023</v>
      </c>
      <c r="Z416">
        <v>2</v>
      </c>
      <c r="AA416">
        <v>15</v>
      </c>
    </row>
    <row r="417" spans="1:27" x14ac:dyDescent="0.3">
      <c r="A417" s="2">
        <v>44992</v>
      </c>
      <c r="B417" t="s">
        <v>1</v>
      </c>
      <c r="C417" t="s">
        <v>7</v>
      </c>
      <c r="D417">
        <v>10</v>
      </c>
      <c r="E417">
        <v>397.33</v>
      </c>
      <c r="F417" t="s">
        <v>12</v>
      </c>
      <c r="G417" t="s">
        <v>17</v>
      </c>
      <c r="H417">
        <v>0.15</v>
      </c>
      <c r="I417" t="s">
        <v>19</v>
      </c>
      <c r="J417">
        <v>3377.3049999999998</v>
      </c>
      <c r="K417" t="s">
        <v>26</v>
      </c>
      <c r="L417" t="s">
        <v>32</v>
      </c>
      <c r="M417">
        <v>0</v>
      </c>
      <c r="N417" t="s">
        <v>490</v>
      </c>
      <c r="O417" t="s">
        <v>1990</v>
      </c>
      <c r="P417">
        <v>10.199999999999999</v>
      </c>
      <c r="Q417">
        <f t="shared" si="6"/>
        <v>337.73050000000001</v>
      </c>
      <c r="R417">
        <v>3367.105</v>
      </c>
      <c r="S417" s="2">
        <v>44992</v>
      </c>
      <c r="T417" s="2">
        <v>44998</v>
      </c>
      <c r="U417" t="s">
        <v>34</v>
      </c>
      <c r="V417">
        <v>7</v>
      </c>
      <c r="W417">
        <v>3</v>
      </c>
      <c r="X417" t="s">
        <v>44</v>
      </c>
      <c r="Y417">
        <v>2023</v>
      </c>
      <c r="Z417">
        <v>1</v>
      </c>
      <c r="AA417">
        <v>10</v>
      </c>
    </row>
    <row r="418" spans="1:27" x14ac:dyDescent="0.3">
      <c r="A418" s="2">
        <v>45296</v>
      </c>
      <c r="B418" t="s">
        <v>3</v>
      </c>
      <c r="C418" t="s">
        <v>8</v>
      </c>
      <c r="D418">
        <v>17</v>
      </c>
      <c r="E418">
        <v>241.01</v>
      </c>
      <c r="F418" t="s">
        <v>13</v>
      </c>
      <c r="G418" t="s">
        <v>17</v>
      </c>
      <c r="H418">
        <v>0.1</v>
      </c>
      <c r="I418" t="s">
        <v>23</v>
      </c>
      <c r="J418">
        <v>3687.453</v>
      </c>
      <c r="K418" t="s">
        <v>27</v>
      </c>
      <c r="L418" t="s">
        <v>31</v>
      </c>
      <c r="M418">
        <v>0</v>
      </c>
      <c r="N418" t="s">
        <v>491</v>
      </c>
      <c r="O418" t="s">
        <v>1991</v>
      </c>
      <c r="P418">
        <v>24.69</v>
      </c>
      <c r="Q418">
        <f t="shared" si="6"/>
        <v>216.90899999999999</v>
      </c>
      <c r="R418">
        <v>3662.7629999999999</v>
      </c>
      <c r="S418" s="2">
        <v>45296</v>
      </c>
      <c r="T418" s="2">
        <v>45302</v>
      </c>
      <c r="U418" t="s">
        <v>36</v>
      </c>
      <c r="V418">
        <v>5</v>
      </c>
      <c r="W418">
        <v>1</v>
      </c>
      <c r="X418" t="s">
        <v>42</v>
      </c>
      <c r="Y418">
        <v>2024</v>
      </c>
      <c r="Z418">
        <v>1</v>
      </c>
      <c r="AA418">
        <v>1</v>
      </c>
    </row>
    <row r="419" spans="1:27" x14ac:dyDescent="0.3">
      <c r="A419" s="2">
        <v>45596</v>
      </c>
      <c r="B419" t="s">
        <v>4</v>
      </c>
      <c r="C419" t="s">
        <v>7</v>
      </c>
      <c r="D419">
        <v>17</v>
      </c>
      <c r="E419">
        <v>82.2</v>
      </c>
      <c r="F419" t="s">
        <v>14</v>
      </c>
      <c r="G419" t="s">
        <v>16</v>
      </c>
      <c r="H419">
        <v>0</v>
      </c>
      <c r="I419" t="s">
        <v>19</v>
      </c>
      <c r="J419">
        <v>1397.4</v>
      </c>
      <c r="K419" t="s">
        <v>28</v>
      </c>
      <c r="L419" t="s">
        <v>31</v>
      </c>
      <c r="M419">
        <v>0</v>
      </c>
      <c r="N419" t="s">
        <v>492</v>
      </c>
      <c r="O419" t="s">
        <v>1992</v>
      </c>
      <c r="P419">
        <v>32.5</v>
      </c>
      <c r="Q419">
        <f t="shared" si="6"/>
        <v>82.2</v>
      </c>
      <c r="R419">
        <v>1364.9</v>
      </c>
      <c r="S419" s="2">
        <v>45596</v>
      </c>
      <c r="T419" s="2">
        <v>45606</v>
      </c>
      <c r="U419" t="s">
        <v>37</v>
      </c>
      <c r="V419">
        <v>31</v>
      </c>
      <c r="W419">
        <v>10</v>
      </c>
      <c r="X419" t="s">
        <v>43</v>
      </c>
      <c r="Y419">
        <v>2024</v>
      </c>
      <c r="Z419">
        <v>4</v>
      </c>
      <c r="AA419">
        <v>44</v>
      </c>
    </row>
    <row r="420" spans="1:27" x14ac:dyDescent="0.3">
      <c r="A420" s="2">
        <v>45420</v>
      </c>
      <c r="B420" t="s">
        <v>4</v>
      </c>
      <c r="C420" t="s">
        <v>9</v>
      </c>
      <c r="D420">
        <v>16</v>
      </c>
      <c r="E420">
        <v>170.77</v>
      </c>
      <c r="F420" t="s">
        <v>14</v>
      </c>
      <c r="G420" t="s">
        <v>17</v>
      </c>
      <c r="H420">
        <v>0.1</v>
      </c>
      <c r="I420" t="s">
        <v>20</v>
      </c>
      <c r="J420">
        <v>2459.0880000000002</v>
      </c>
      <c r="K420" t="s">
        <v>24</v>
      </c>
      <c r="L420" t="s">
        <v>30</v>
      </c>
      <c r="M420">
        <v>1</v>
      </c>
      <c r="N420" t="s">
        <v>493</v>
      </c>
      <c r="O420" t="s">
        <v>1993</v>
      </c>
      <c r="P420">
        <v>45.93</v>
      </c>
      <c r="Q420">
        <f t="shared" si="6"/>
        <v>153.69300000000001</v>
      </c>
      <c r="R420">
        <v>2413.1580000000004</v>
      </c>
      <c r="S420" s="2">
        <v>45420</v>
      </c>
      <c r="T420" s="2">
        <v>45426</v>
      </c>
      <c r="U420" t="s">
        <v>37</v>
      </c>
      <c r="V420">
        <v>8</v>
      </c>
      <c r="W420">
        <v>5</v>
      </c>
      <c r="X420" t="s">
        <v>40</v>
      </c>
      <c r="Y420">
        <v>2024</v>
      </c>
      <c r="Z420">
        <v>2</v>
      </c>
      <c r="AA420">
        <v>19</v>
      </c>
    </row>
    <row r="421" spans="1:27" x14ac:dyDescent="0.3">
      <c r="A421" s="2">
        <v>45356</v>
      </c>
      <c r="B421" t="s">
        <v>3</v>
      </c>
      <c r="C421" t="s">
        <v>9</v>
      </c>
      <c r="D421">
        <v>1</v>
      </c>
      <c r="E421">
        <v>8.1999999999999993</v>
      </c>
      <c r="F421" t="s">
        <v>14</v>
      </c>
      <c r="G421" t="s">
        <v>16</v>
      </c>
      <c r="H421">
        <v>0.15</v>
      </c>
      <c r="I421" t="s">
        <v>20</v>
      </c>
      <c r="J421">
        <v>6.9699999999999989</v>
      </c>
      <c r="K421" t="s">
        <v>27</v>
      </c>
      <c r="L421" t="s">
        <v>32</v>
      </c>
      <c r="M421">
        <v>0</v>
      </c>
      <c r="N421" t="s">
        <v>494</v>
      </c>
      <c r="O421" t="s">
        <v>1994</v>
      </c>
      <c r="P421">
        <v>30.35</v>
      </c>
      <c r="Q421">
        <f t="shared" si="6"/>
        <v>6.9699999999999989</v>
      </c>
      <c r="R421">
        <v>-23.380000000000003</v>
      </c>
      <c r="S421" s="2">
        <v>45356</v>
      </c>
      <c r="T421" s="2">
        <v>45366</v>
      </c>
      <c r="U421" t="s">
        <v>36</v>
      </c>
      <c r="V421">
        <v>5</v>
      </c>
      <c r="W421">
        <v>3</v>
      </c>
      <c r="X421" t="s">
        <v>44</v>
      </c>
      <c r="Y421">
        <v>2024</v>
      </c>
      <c r="Z421">
        <v>1</v>
      </c>
      <c r="AA421">
        <v>10</v>
      </c>
    </row>
    <row r="422" spans="1:27" x14ac:dyDescent="0.3">
      <c r="A422" s="2">
        <v>45125</v>
      </c>
      <c r="B422" t="s">
        <v>2</v>
      </c>
      <c r="C422" t="s">
        <v>5</v>
      </c>
      <c r="D422">
        <v>12</v>
      </c>
      <c r="E422">
        <v>425.78</v>
      </c>
      <c r="F422" t="s">
        <v>13</v>
      </c>
      <c r="G422" t="s">
        <v>17</v>
      </c>
      <c r="H422">
        <v>0.1</v>
      </c>
      <c r="I422" t="s">
        <v>23</v>
      </c>
      <c r="J422">
        <v>4598.424</v>
      </c>
      <c r="K422" t="s">
        <v>24</v>
      </c>
      <c r="L422" t="s">
        <v>32</v>
      </c>
      <c r="M422">
        <v>1</v>
      </c>
      <c r="N422" t="s">
        <v>495</v>
      </c>
      <c r="O422" t="s">
        <v>1995</v>
      </c>
      <c r="P422">
        <v>25.48</v>
      </c>
      <c r="Q422">
        <f t="shared" si="6"/>
        <v>383.202</v>
      </c>
      <c r="R422">
        <v>4572.9440000000004</v>
      </c>
      <c r="S422" s="2">
        <v>45125</v>
      </c>
      <c r="T422" s="2">
        <v>45129</v>
      </c>
      <c r="U422" t="s">
        <v>35</v>
      </c>
      <c r="V422">
        <v>18</v>
      </c>
      <c r="W422">
        <v>7</v>
      </c>
      <c r="X422" t="s">
        <v>46</v>
      </c>
      <c r="Y422">
        <v>2023</v>
      </c>
      <c r="Z422">
        <v>3</v>
      </c>
      <c r="AA422">
        <v>29</v>
      </c>
    </row>
    <row r="423" spans="1:27" x14ac:dyDescent="0.3">
      <c r="A423" s="2">
        <v>45143</v>
      </c>
      <c r="B423" t="s">
        <v>1</v>
      </c>
      <c r="C423" t="s">
        <v>11</v>
      </c>
      <c r="D423">
        <v>20</v>
      </c>
      <c r="E423">
        <v>121.14</v>
      </c>
      <c r="F423" t="s">
        <v>14</v>
      </c>
      <c r="G423" t="s">
        <v>17</v>
      </c>
      <c r="H423">
        <v>0.1</v>
      </c>
      <c r="I423" t="s">
        <v>23</v>
      </c>
      <c r="J423">
        <v>2180.52</v>
      </c>
      <c r="K423" t="s">
        <v>26</v>
      </c>
      <c r="L423" t="s">
        <v>29</v>
      </c>
      <c r="M423">
        <v>0</v>
      </c>
      <c r="N423" t="s">
        <v>496</v>
      </c>
      <c r="O423" t="s">
        <v>1996</v>
      </c>
      <c r="P423">
        <v>21.47</v>
      </c>
      <c r="Q423">
        <f t="shared" si="6"/>
        <v>109.026</v>
      </c>
      <c r="R423">
        <v>2159.0500000000002</v>
      </c>
      <c r="S423" s="2">
        <v>45143</v>
      </c>
      <c r="T423" s="2">
        <v>45152</v>
      </c>
      <c r="U423" t="s">
        <v>34</v>
      </c>
      <c r="V423">
        <v>5</v>
      </c>
      <c r="W423">
        <v>8</v>
      </c>
      <c r="X423" t="s">
        <v>48</v>
      </c>
      <c r="Y423">
        <v>2023</v>
      </c>
      <c r="Z423">
        <v>3</v>
      </c>
      <c r="AA423">
        <v>31</v>
      </c>
    </row>
    <row r="424" spans="1:27" x14ac:dyDescent="0.3">
      <c r="A424" s="2">
        <v>45187</v>
      </c>
      <c r="B424" t="s">
        <v>4</v>
      </c>
      <c r="C424" t="s">
        <v>10</v>
      </c>
      <c r="D424">
        <v>19</v>
      </c>
      <c r="E424">
        <v>448.13</v>
      </c>
      <c r="F424" t="s">
        <v>15</v>
      </c>
      <c r="G424" t="s">
        <v>16</v>
      </c>
      <c r="H424">
        <v>0</v>
      </c>
      <c r="I424" t="s">
        <v>19</v>
      </c>
      <c r="J424">
        <v>8514.4699999999993</v>
      </c>
      <c r="K424" t="s">
        <v>27</v>
      </c>
      <c r="L424" t="s">
        <v>29</v>
      </c>
      <c r="M424">
        <v>0</v>
      </c>
      <c r="N424" t="s">
        <v>497</v>
      </c>
      <c r="O424" t="s">
        <v>1997</v>
      </c>
      <c r="P424">
        <v>28.29</v>
      </c>
      <c r="Q424">
        <f t="shared" si="6"/>
        <v>448.12999999999994</v>
      </c>
      <c r="R424">
        <v>8486.1799999999985</v>
      </c>
      <c r="S424" s="2">
        <v>45187</v>
      </c>
      <c r="T424" s="2">
        <v>45189</v>
      </c>
      <c r="U424" t="s">
        <v>37</v>
      </c>
      <c r="V424">
        <v>18</v>
      </c>
      <c r="W424">
        <v>9</v>
      </c>
      <c r="X424" t="s">
        <v>49</v>
      </c>
      <c r="Y424">
        <v>2023</v>
      </c>
      <c r="Z424">
        <v>3</v>
      </c>
      <c r="AA424">
        <v>38</v>
      </c>
    </row>
    <row r="425" spans="1:27" x14ac:dyDescent="0.3">
      <c r="A425" s="2">
        <v>45012</v>
      </c>
      <c r="B425" t="s">
        <v>1</v>
      </c>
      <c r="C425" t="s">
        <v>5</v>
      </c>
      <c r="D425">
        <v>8</v>
      </c>
      <c r="E425">
        <v>7.81</v>
      </c>
      <c r="F425" t="s">
        <v>15</v>
      </c>
      <c r="G425" t="s">
        <v>16</v>
      </c>
      <c r="H425">
        <v>0.1</v>
      </c>
      <c r="I425" t="s">
        <v>20</v>
      </c>
      <c r="J425">
        <v>56.231999999999999</v>
      </c>
      <c r="K425" t="s">
        <v>24</v>
      </c>
      <c r="L425" t="s">
        <v>30</v>
      </c>
      <c r="M425">
        <v>0</v>
      </c>
      <c r="N425" t="s">
        <v>498</v>
      </c>
      <c r="O425" t="s">
        <v>1998</v>
      </c>
      <c r="P425">
        <v>25.03</v>
      </c>
      <c r="Q425">
        <f t="shared" si="6"/>
        <v>7.0289999999999999</v>
      </c>
      <c r="R425">
        <v>31.201999999999998</v>
      </c>
      <c r="S425" s="2">
        <v>45012</v>
      </c>
      <c r="T425" s="2">
        <v>45014</v>
      </c>
      <c r="U425" t="s">
        <v>34</v>
      </c>
      <c r="V425">
        <v>27</v>
      </c>
      <c r="W425">
        <v>3</v>
      </c>
      <c r="X425" t="s">
        <v>44</v>
      </c>
      <c r="Y425">
        <v>2023</v>
      </c>
      <c r="Z425">
        <v>1</v>
      </c>
      <c r="AA425">
        <v>13</v>
      </c>
    </row>
    <row r="426" spans="1:27" x14ac:dyDescent="0.3">
      <c r="A426" s="2">
        <v>44993</v>
      </c>
      <c r="B426" t="s">
        <v>0</v>
      </c>
      <c r="C426" t="s">
        <v>8</v>
      </c>
      <c r="D426">
        <v>19</v>
      </c>
      <c r="E426">
        <v>191.44</v>
      </c>
      <c r="F426" t="s">
        <v>14</v>
      </c>
      <c r="G426" t="s">
        <v>16</v>
      </c>
      <c r="H426">
        <v>0.15</v>
      </c>
      <c r="I426" t="s">
        <v>21</v>
      </c>
      <c r="J426">
        <v>3091.7559999999999</v>
      </c>
      <c r="K426" t="s">
        <v>28</v>
      </c>
      <c r="L426" t="s">
        <v>31</v>
      </c>
      <c r="M426">
        <v>1</v>
      </c>
      <c r="N426" t="s">
        <v>499</v>
      </c>
      <c r="O426" t="s">
        <v>1999</v>
      </c>
      <c r="P426">
        <v>35.54</v>
      </c>
      <c r="Q426">
        <f t="shared" si="6"/>
        <v>162.72399999999999</v>
      </c>
      <c r="R426">
        <v>3056.2159999999999</v>
      </c>
      <c r="S426" s="2">
        <v>44993</v>
      </c>
      <c r="T426" s="2">
        <v>45002</v>
      </c>
      <c r="U426" t="s">
        <v>33</v>
      </c>
      <c r="V426">
        <v>8</v>
      </c>
      <c r="W426">
        <v>3</v>
      </c>
      <c r="X426" t="s">
        <v>44</v>
      </c>
      <c r="Y426">
        <v>2023</v>
      </c>
      <c r="Z426">
        <v>1</v>
      </c>
      <c r="AA426">
        <v>10</v>
      </c>
    </row>
    <row r="427" spans="1:27" x14ac:dyDescent="0.3">
      <c r="A427" s="2">
        <v>45414</v>
      </c>
      <c r="B427" t="s">
        <v>4</v>
      </c>
      <c r="C427" t="s">
        <v>7</v>
      </c>
      <c r="D427">
        <v>5</v>
      </c>
      <c r="E427">
        <v>245.2</v>
      </c>
      <c r="F427" t="s">
        <v>12</v>
      </c>
      <c r="G427" t="s">
        <v>17</v>
      </c>
      <c r="H427">
        <v>0.15</v>
      </c>
      <c r="I427" t="s">
        <v>18</v>
      </c>
      <c r="J427">
        <v>1042.0999999999999</v>
      </c>
      <c r="K427" t="s">
        <v>24</v>
      </c>
      <c r="L427" t="s">
        <v>32</v>
      </c>
      <c r="M427">
        <v>0</v>
      </c>
      <c r="N427" t="s">
        <v>500</v>
      </c>
      <c r="O427" t="s">
        <v>2000</v>
      </c>
      <c r="P427">
        <v>46.37</v>
      </c>
      <c r="Q427">
        <f t="shared" si="6"/>
        <v>208.42</v>
      </c>
      <c r="R427">
        <v>995.7299999999999</v>
      </c>
      <c r="S427" s="2">
        <v>45414</v>
      </c>
      <c r="T427" s="2">
        <v>45418</v>
      </c>
      <c r="U427" t="s">
        <v>37</v>
      </c>
      <c r="V427">
        <v>2</v>
      </c>
      <c r="W427">
        <v>5</v>
      </c>
      <c r="X427" t="s">
        <v>40</v>
      </c>
      <c r="Y427">
        <v>2024</v>
      </c>
      <c r="Z427">
        <v>2</v>
      </c>
      <c r="AA427">
        <v>18</v>
      </c>
    </row>
    <row r="428" spans="1:27" x14ac:dyDescent="0.3">
      <c r="A428" s="2">
        <v>45185</v>
      </c>
      <c r="B428" t="s">
        <v>2</v>
      </c>
      <c r="C428" t="s">
        <v>7</v>
      </c>
      <c r="D428">
        <v>17</v>
      </c>
      <c r="E428">
        <v>163.37</v>
      </c>
      <c r="F428" t="s">
        <v>12</v>
      </c>
      <c r="G428" t="s">
        <v>16</v>
      </c>
      <c r="H428">
        <v>0.15</v>
      </c>
      <c r="I428" t="s">
        <v>18</v>
      </c>
      <c r="J428">
        <v>2360.6965</v>
      </c>
      <c r="K428" t="s">
        <v>25</v>
      </c>
      <c r="L428" t="s">
        <v>30</v>
      </c>
      <c r="M428">
        <v>0</v>
      </c>
      <c r="N428" t="s">
        <v>501</v>
      </c>
      <c r="O428" t="s">
        <v>2001</v>
      </c>
      <c r="P428">
        <v>5.36</v>
      </c>
      <c r="Q428">
        <f t="shared" si="6"/>
        <v>138.86449999999999</v>
      </c>
      <c r="R428">
        <v>2355.3364999999999</v>
      </c>
      <c r="S428" s="2">
        <v>45185</v>
      </c>
      <c r="T428" s="2">
        <v>45195</v>
      </c>
      <c r="U428" t="s">
        <v>35</v>
      </c>
      <c r="V428">
        <v>16</v>
      </c>
      <c r="W428">
        <v>9</v>
      </c>
      <c r="X428" t="s">
        <v>49</v>
      </c>
      <c r="Y428">
        <v>2023</v>
      </c>
      <c r="Z428">
        <v>3</v>
      </c>
      <c r="AA428">
        <v>37</v>
      </c>
    </row>
    <row r="429" spans="1:27" x14ac:dyDescent="0.3">
      <c r="A429" s="2">
        <v>45090</v>
      </c>
      <c r="B429" t="s">
        <v>1</v>
      </c>
      <c r="C429" t="s">
        <v>10</v>
      </c>
      <c r="D429">
        <v>14</v>
      </c>
      <c r="E429">
        <v>583.96</v>
      </c>
      <c r="F429" t="s">
        <v>14</v>
      </c>
      <c r="G429" t="s">
        <v>17</v>
      </c>
      <c r="H429">
        <v>0</v>
      </c>
      <c r="I429" t="s">
        <v>22</v>
      </c>
      <c r="J429">
        <v>8175.4400000000014</v>
      </c>
      <c r="K429" t="s">
        <v>27</v>
      </c>
      <c r="L429" t="s">
        <v>31</v>
      </c>
      <c r="M429">
        <v>0</v>
      </c>
      <c r="N429" t="s">
        <v>502</v>
      </c>
      <c r="O429" t="s">
        <v>2002</v>
      </c>
      <c r="P429">
        <v>23.03</v>
      </c>
      <c r="Q429">
        <f t="shared" si="6"/>
        <v>583.96000000000015</v>
      </c>
      <c r="R429">
        <v>8152.4100000000017</v>
      </c>
      <c r="S429" s="2">
        <v>45090</v>
      </c>
      <c r="T429" s="2">
        <v>45099</v>
      </c>
      <c r="U429" t="s">
        <v>34</v>
      </c>
      <c r="V429">
        <v>13</v>
      </c>
      <c r="W429">
        <v>6</v>
      </c>
      <c r="X429" t="s">
        <v>41</v>
      </c>
      <c r="Y429">
        <v>2023</v>
      </c>
      <c r="Z429">
        <v>2</v>
      </c>
      <c r="AA429">
        <v>24</v>
      </c>
    </row>
    <row r="430" spans="1:27" x14ac:dyDescent="0.3">
      <c r="A430" s="2">
        <v>45235</v>
      </c>
      <c r="B430" t="s">
        <v>2</v>
      </c>
      <c r="C430" t="s">
        <v>7</v>
      </c>
      <c r="D430">
        <v>16</v>
      </c>
      <c r="E430">
        <v>181.08</v>
      </c>
      <c r="F430" t="s">
        <v>14</v>
      </c>
      <c r="G430" t="s">
        <v>17</v>
      </c>
      <c r="H430">
        <v>0.1</v>
      </c>
      <c r="I430" t="s">
        <v>21</v>
      </c>
      <c r="J430">
        <v>2607.5520000000001</v>
      </c>
      <c r="K430" t="s">
        <v>24</v>
      </c>
      <c r="L430" t="s">
        <v>31</v>
      </c>
      <c r="M430">
        <v>0</v>
      </c>
      <c r="N430" t="s">
        <v>503</v>
      </c>
      <c r="O430" t="s">
        <v>2003</v>
      </c>
      <c r="P430">
        <v>39.840000000000003</v>
      </c>
      <c r="Q430">
        <f t="shared" si="6"/>
        <v>162.97200000000001</v>
      </c>
      <c r="R430">
        <v>2567.712</v>
      </c>
      <c r="S430" s="2">
        <v>45235</v>
      </c>
      <c r="T430" s="2">
        <v>45238</v>
      </c>
      <c r="U430" t="s">
        <v>35</v>
      </c>
      <c r="V430">
        <v>5</v>
      </c>
      <c r="W430">
        <v>11</v>
      </c>
      <c r="X430" t="s">
        <v>47</v>
      </c>
      <c r="Y430">
        <v>2023</v>
      </c>
      <c r="Z430">
        <v>4</v>
      </c>
      <c r="AA430">
        <v>44</v>
      </c>
    </row>
    <row r="431" spans="1:27" x14ac:dyDescent="0.3">
      <c r="A431" s="2">
        <v>45619</v>
      </c>
      <c r="B431" t="s">
        <v>1</v>
      </c>
      <c r="C431" t="s">
        <v>10</v>
      </c>
      <c r="D431">
        <v>8</v>
      </c>
      <c r="E431">
        <v>414.94</v>
      </c>
      <c r="F431" t="s">
        <v>13</v>
      </c>
      <c r="G431" t="s">
        <v>16</v>
      </c>
      <c r="H431">
        <v>0</v>
      </c>
      <c r="I431" t="s">
        <v>19</v>
      </c>
      <c r="J431">
        <v>3319.52</v>
      </c>
      <c r="K431" t="s">
        <v>27</v>
      </c>
      <c r="L431" t="s">
        <v>30</v>
      </c>
      <c r="M431">
        <v>0</v>
      </c>
      <c r="N431" t="s">
        <v>504</v>
      </c>
      <c r="O431" t="s">
        <v>2004</v>
      </c>
      <c r="P431">
        <v>46.58</v>
      </c>
      <c r="Q431">
        <f t="shared" si="6"/>
        <v>414.94</v>
      </c>
      <c r="R431">
        <v>3272.94</v>
      </c>
      <c r="S431" s="2">
        <v>45619</v>
      </c>
      <c r="T431" s="2">
        <v>45622</v>
      </c>
      <c r="U431" t="s">
        <v>34</v>
      </c>
      <c r="V431">
        <v>23</v>
      </c>
      <c r="W431">
        <v>11</v>
      </c>
      <c r="X431" t="s">
        <v>47</v>
      </c>
      <c r="Y431">
        <v>2024</v>
      </c>
      <c r="Z431">
        <v>4</v>
      </c>
      <c r="AA431">
        <v>47</v>
      </c>
    </row>
    <row r="432" spans="1:27" x14ac:dyDescent="0.3">
      <c r="A432" s="2">
        <v>45331</v>
      </c>
      <c r="B432" t="s">
        <v>3</v>
      </c>
      <c r="C432" t="s">
        <v>6</v>
      </c>
      <c r="D432">
        <v>16</v>
      </c>
      <c r="E432">
        <v>442.22</v>
      </c>
      <c r="F432" t="s">
        <v>12</v>
      </c>
      <c r="G432" t="s">
        <v>17</v>
      </c>
      <c r="H432">
        <v>0</v>
      </c>
      <c r="I432" t="s">
        <v>19</v>
      </c>
      <c r="J432">
        <v>7075.52</v>
      </c>
      <c r="K432" t="s">
        <v>28</v>
      </c>
      <c r="L432" t="s">
        <v>29</v>
      </c>
      <c r="M432">
        <v>0</v>
      </c>
      <c r="N432" t="s">
        <v>505</v>
      </c>
      <c r="O432" t="s">
        <v>2005</v>
      </c>
      <c r="P432">
        <v>27.36</v>
      </c>
      <c r="Q432">
        <f t="shared" si="6"/>
        <v>442.22</v>
      </c>
      <c r="R432">
        <v>7048.1600000000008</v>
      </c>
      <c r="S432" s="2">
        <v>45331</v>
      </c>
      <c r="T432" s="2">
        <v>45340</v>
      </c>
      <c r="U432" t="s">
        <v>36</v>
      </c>
      <c r="V432">
        <v>9</v>
      </c>
      <c r="W432">
        <v>2</v>
      </c>
      <c r="X432" t="s">
        <v>38</v>
      </c>
      <c r="Y432">
        <v>2024</v>
      </c>
      <c r="Z432">
        <v>1</v>
      </c>
      <c r="AA432">
        <v>6</v>
      </c>
    </row>
    <row r="433" spans="1:27" x14ac:dyDescent="0.3">
      <c r="A433" s="2">
        <v>45246</v>
      </c>
      <c r="B433" t="s">
        <v>3</v>
      </c>
      <c r="C433" t="s">
        <v>11</v>
      </c>
      <c r="D433">
        <v>14</v>
      </c>
      <c r="E433">
        <v>595.39</v>
      </c>
      <c r="F433" t="s">
        <v>13</v>
      </c>
      <c r="G433" t="s">
        <v>16</v>
      </c>
      <c r="H433">
        <v>0.1</v>
      </c>
      <c r="I433" t="s">
        <v>23</v>
      </c>
      <c r="J433">
        <v>7501.9139999999998</v>
      </c>
      <c r="K433" t="s">
        <v>26</v>
      </c>
      <c r="L433" t="s">
        <v>30</v>
      </c>
      <c r="M433">
        <v>0</v>
      </c>
      <c r="N433" t="s">
        <v>506</v>
      </c>
      <c r="O433" t="s">
        <v>2006</v>
      </c>
      <c r="P433">
        <v>9.51</v>
      </c>
      <c r="Q433">
        <f t="shared" si="6"/>
        <v>535.851</v>
      </c>
      <c r="R433">
        <v>7492.4039999999995</v>
      </c>
      <c r="S433" s="2">
        <v>45246</v>
      </c>
      <c r="T433" s="2">
        <v>45252</v>
      </c>
      <c r="U433" t="s">
        <v>36</v>
      </c>
      <c r="V433">
        <v>16</v>
      </c>
      <c r="W433">
        <v>11</v>
      </c>
      <c r="X433" t="s">
        <v>47</v>
      </c>
      <c r="Y433">
        <v>2023</v>
      </c>
      <c r="Z433">
        <v>4</v>
      </c>
      <c r="AA433">
        <v>46</v>
      </c>
    </row>
    <row r="434" spans="1:27" x14ac:dyDescent="0.3">
      <c r="A434" s="2">
        <v>45681</v>
      </c>
      <c r="B434" t="s">
        <v>3</v>
      </c>
      <c r="C434" t="s">
        <v>9</v>
      </c>
      <c r="D434">
        <v>6</v>
      </c>
      <c r="E434">
        <v>175.3</v>
      </c>
      <c r="F434" t="s">
        <v>13</v>
      </c>
      <c r="G434" t="s">
        <v>16</v>
      </c>
      <c r="H434">
        <v>0.15</v>
      </c>
      <c r="I434" t="s">
        <v>19</v>
      </c>
      <c r="J434">
        <v>894.03000000000009</v>
      </c>
      <c r="K434" t="s">
        <v>28</v>
      </c>
      <c r="L434" t="s">
        <v>30</v>
      </c>
      <c r="M434">
        <v>1</v>
      </c>
      <c r="N434" t="s">
        <v>507</v>
      </c>
      <c r="O434" t="s">
        <v>2007</v>
      </c>
      <c r="P434">
        <v>17.920000000000002</v>
      </c>
      <c r="Q434">
        <f t="shared" si="6"/>
        <v>149.00500000000002</v>
      </c>
      <c r="R434">
        <v>876.11000000000013</v>
      </c>
      <c r="S434" s="2">
        <v>45681</v>
      </c>
      <c r="T434" s="2">
        <v>45686</v>
      </c>
      <c r="U434" t="s">
        <v>36</v>
      </c>
      <c r="V434">
        <v>24</v>
      </c>
      <c r="W434">
        <v>1</v>
      </c>
      <c r="X434" t="s">
        <v>42</v>
      </c>
      <c r="Y434">
        <v>2025</v>
      </c>
      <c r="Z434">
        <v>1</v>
      </c>
      <c r="AA434">
        <v>4</v>
      </c>
    </row>
    <row r="435" spans="1:27" x14ac:dyDescent="0.3">
      <c r="A435" s="2">
        <v>45783</v>
      </c>
      <c r="B435" t="s">
        <v>3</v>
      </c>
      <c r="C435" t="s">
        <v>10</v>
      </c>
      <c r="D435">
        <v>7</v>
      </c>
      <c r="E435">
        <v>319.58999999999997</v>
      </c>
      <c r="F435" t="s">
        <v>14</v>
      </c>
      <c r="G435" t="s">
        <v>16</v>
      </c>
      <c r="H435">
        <v>0.15</v>
      </c>
      <c r="I435" t="s">
        <v>21</v>
      </c>
      <c r="J435">
        <v>1901.5605</v>
      </c>
      <c r="K435" t="s">
        <v>25</v>
      </c>
      <c r="L435" t="s">
        <v>31</v>
      </c>
      <c r="M435">
        <v>1</v>
      </c>
      <c r="N435" t="s">
        <v>508</v>
      </c>
      <c r="O435" t="s">
        <v>2008</v>
      </c>
      <c r="P435">
        <v>8.4700000000000006</v>
      </c>
      <c r="Q435">
        <f t="shared" si="6"/>
        <v>271.6515</v>
      </c>
      <c r="R435">
        <v>1893.0905</v>
      </c>
      <c r="S435" s="2">
        <v>45783</v>
      </c>
      <c r="T435" s="2">
        <v>45786</v>
      </c>
      <c r="U435" t="s">
        <v>36</v>
      </c>
      <c r="V435">
        <v>6</v>
      </c>
      <c r="W435">
        <v>5</v>
      </c>
      <c r="X435" t="s">
        <v>40</v>
      </c>
      <c r="Y435">
        <v>2025</v>
      </c>
      <c r="Z435">
        <v>2</v>
      </c>
      <c r="AA435">
        <v>19</v>
      </c>
    </row>
    <row r="436" spans="1:27" x14ac:dyDescent="0.3">
      <c r="A436" s="2">
        <v>45794</v>
      </c>
      <c r="B436" t="s">
        <v>0</v>
      </c>
      <c r="C436" t="s">
        <v>11</v>
      </c>
      <c r="D436">
        <v>15</v>
      </c>
      <c r="E436">
        <v>506.81</v>
      </c>
      <c r="F436" t="s">
        <v>13</v>
      </c>
      <c r="G436" t="s">
        <v>17</v>
      </c>
      <c r="H436">
        <v>0.15</v>
      </c>
      <c r="I436" t="s">
        <v>23</v>
      </c>
      <c r="J436">
        <v>6461.8274999999994</v>
      </c>
      <c r="K436" t="s">
        <v>28</v>
      </c>
      <c r="L436" t="s">
        <v>29</v>
      </c>
      <c r="M436">
        <v>1</v>
      </c>
      <c r="N436" t="s">
        <v>509</v>
      </c>
      <c r="O436" t="s">
        <v>2009</v>
      </c>
      <c r="P436">
        <v>41.03</v>
      </c>
      <c r="Q436">
        <f t="shared" si="6"/>
        <v>430.78849999999994</v>
      </c>
      <c r="R436">
        <v>6420.7974999999997</v>
      </c>
      <c r="S436" s="2">
        <v>45794</v>
      </c>
      <c r="T436" s="2">
        <v>45804</v>
      </c>
      <c r="U436" t="s">
        <v>33</v>
      </c>
      <c r="V436">
        <v>17</v>
      </c>
      <c r="W436">
        <v>5</v>
      </c>
      <c r="X436" t="s">
        <v>40</v>
      </c>
      <c r="Y436">
        <v>2025</v>
      </c>
      <c r="Z436">
        <v>2</v>
      </c>
      <c r="AA436">
        <v>20</v>
      </c>
    </row>
    <row r="437" spans="1:27" x14ac:dyDescent="0.3">
      <c r="A437" s="2">
        <v>45259</v>
      </c>
      <c r="B437" t="s">
        <v>3</v>
      </c>
      <c r="C437" t="s">
        <v>5</v>
      </c>
      <c r="D437">
        <v>17</v>
      </c>
      <c r="E437">
        <v>538.08000000000004</v>
      </c>
      <c r="F437" t="s">
        <v>13</v>
      </c>
      <c r="G437" t="s">
        <v>17</v>
      </c>
      <c r="H437">
        <v>0.05</v>
      </c>
      <c r="I437" t="s">
        <v>18</v>
      </c>
      <c r="J437">
        <v>8689.9920000000002</v>
      </c>
      <c r="K437" t="s">
        <v>27</v>
      </c>
      <c r="L437" t="s">
        <v>29</v>
      </c>
      <c r="M437">
        <v>0</v>
      </c>
      <c r="N437" t="s">
        <v>510</v>
      </c>
      <c r="O437" t="s">
        <v>2010</v>
      </c>
      <c r="P437">
        <v>19.61</v>
      </c>
      <c r="Q437">
        <f t="shared" si="6"/>
        <v>511.17599999999999</v>
      </c>
      <c r="R437">
        <v>8670.3819999999996</v>
      </c>
      <c r="S437" s="2">
        <v>45259</v>
      </c>
      <c r="T437" s="2">
        <v>45261</v>
      </c>
      <c r="U437" t="s">
        <v>36</v>
      </c>
      <c r="V437">
        <v>29</v>
      </c>
      <c r="W437">
        <v>11</v>
      </c>
      <c r="X437" t="s">
        <v>47</v>
      </c>
      <c r="Y437">
        <v>2023</v>
      </c>
      <c r="Z437">
        <v>4</v>
      </c>
      <c r="AA437">
        <v>48</v>
      </c>
    </row>
    <row r="438" spans="1:27" x14ac:dyDescent="0.3">
      <c r="A438" s="2">
        <v>44981</v>
      </c>
      <c r="B438" t="s">
        <v>1</v>
      </c>
      <c r="C438" t="s">
        <v>8</v>
      </c>
      <c r="D438">
        <v>16</v>
      </c>
      <c r="E438">
        <v>187.84</v>
      </c>
      <c r="F438" t="s">
        <v>13</v>
      </c>
      <c r="G438" t="s">
        <v>17</v>
      </c>
      <c r="H438">
        <v>0</v>
      </c>
      <c r="I438" t="s">
        <v>19</v>
      </c>
      <c r="J438">
        <v>3005.44</v>
      </c>
      <c r="K438" t="s">
        <v>26</v>
      </c>
      <c r="L438" t="s">
        <v>30</v>
      </c>
      <c r="M438">
        <v>0</v>
      </c>
      <c r="N438" t="s">
        <v>511</v>
      </c>
      <c r="O438" t="s">
        <v>2011</v>
      </c>
      <c r="P438">
        <v>18.649999999999999</v>
      </c>
      <c r="Q438">
        <f t="shared" si="6"/>
        <v>187.84</v>
      </c>
      <c r="R438">
        <v>2986.79</v>
      </c>
      <c r="S438" s="2">
        <v>44981</v>
      </c>
      <c r="T438" s="2">
        <v>44983</v>
      </c>
      <c r="U438" t="s">
        <v>34</v>
      </c>
      <c r="V438">
        <v>24</v>
      </c>
      <c r="W438">
        <v>2</v>
      </c>
      <c r="X438" t="s">
        <v>38</v>
      </c>
      <c r="Y438">
        <v>2023</v>
      </c>
      <c r="Z438">
        <v>1</v>
      </c>
      <c r="AA438">
        <v>8</v>
      </c>
    </row>
    <row r="439" spans="1:27" x14ac:dyDescent="0.3">
      <c r="A439" s="2">
        <v>45234</v>
      </c>
      <c r="B439" t="s">
        <v>1</v>
      </c>
      <c r="C439" t="s">
        <v>5</v>
      </c>
      <c r="D439">
        <v>18</v>
      </c>
      <c r="E439">
        <v>426.3</v>
      </c>
      <c r="F439" t="s">
        <v>13</v>
      </c>
      <c r="G439" t="s">
        <v>16</v>
      </c>
      <c r="H439">
        <v>0.15</v>
      </c>
      <c r="I439" t="s">
        <v>21</v>
      </c>
      <c r="J439">
        <v>6522.39</v>
      </c>
      <c r="K439" t="s">
        <v>26</v>
      </c>
      <c r="L439" t="s">
        <v>32</v>
      </c>
      <c r="M439">
        <v>1</v>
      </c>
      <c r="N439" t="s">
        <v>512</v>
      </c>
      <c r="O439" t="s">
        <v>2012</v>
      </c>
      <c r="P439">
        <v>29.81</v>
      </c>
      <c r="Q439">
        <f t="shared" si="6"/>
        <v>362.35500000000002</v>
      </c>
      <c r="R439">
        <v>6492.58</v>
      </c>
      <c r="S439" s="2">
        <v>45234</v>
      </c>
      <c r="T439" s="2">
        <v>45240</v>
      </c>
      <c r="U439" t="s">
        <v>34</v>
      </c>
      <c r="V439">
        <v>4</v>
      </c>
      <c r="W439">
        <v>11</v>
      </c>
      <c r="X439" t="s">
        <v>47</v>
      </c>
      <c r="Y439">
        <v>2023</v>
      </c>
      <c r="Z439">
        <v>4</v>
      </c>
      <c r="AA439">
        <v>44</v>
      </c>
    </row>
    <row r="440" spans="1:27" x14ac:dyDescent="0.3">
      <c r="A440" s="2">
        <v>45458</v>
      </c>
      <c r="B440" t="s">
        <v>0</v>
      </c>
      <c r="C440" t="s">
        <v>7</v>
      </c>
      <c r="D440">
        <v>1</v>
      </c>
      <c r="E440">
        <v>498.35</v>
      </c>
      <c r="F440" t="s">
        <v>12</v>
      </c>
      <c r="G440" t="s">
        <v>17</v>
      </c>
      <c r="H440">
        <v>0.1</v>
      </c>
      <c r="I440" t="s">
        <v>19</v>
      </c>
      <c r="J440">
        <v>448.51499999999999</v>
      </c>
      <c r="K440" t="s">
        <v>24</v>
      </c>
      <c r="L440" t="s">
        <v>29</v>
      </c>
      <c r="M440">
        <v>0</v>
      </c>
      <c r="N440" t="s">
        <v>513</v>
      </c>
      <c r="O440" t="s">
        <v>2013</v>
      </c>
      <c r="P440">
        <v>34.700000000000003</v>
      </c>
      <c r="Q440">
        <f t="shared" si="6"/>
        <v>448.51499999999999</v>
      </c>
      <c r="R440">
        <v>413.815</v>
      </c>
      <c r="S440" s="2">
        <v>45458</v>
      </c>
      <c r="T440" s="2">
        <v>45465</v>
      </c>
      <c r="U440" t="s">
        <v>33</v>
      </c>
      <c r="V440">
        <v>15</v>
      </c>
      <c r="W440">
        <v>6</v>
      </c>
      <c r="X440" t="s">
        <v>41</v>
      </c>
      <c r="Y440">
        <v>2024</v>
      </c>
      <c r="Z440">
        <v>2</v>
      </c>
      <c r="AA440">
        <v>24</v>
      </c>
    </row>
    <row r="441" spans="1:27" x14ac:dyDescent="0.3">
      <c r="A441" s="2">
        <v>45567</v>
      </c>
      <c r="B441" t="s">
        <v>2</v>
      </c>
      <c r="C441" t="s">
        <v>10</v>
      </c>
      <c r="D441">
        <v>19</v>
      </c>
      <c r="E441">
        <v>385.72</v>
      </c>
      <c r="F441" t="s">
        <v>13</v>
      </c>
      <c r="G441" t="s">
        <v>17</v>
      </c>
      <c r="H441">
        <v>0.05</v>
      </c>
      <c r="I441" t="s">
        <v>21</v>
      </c>
      <c r="J441">
        <v>6962.2460000000001</v>
      </c>
      <c r="K441" t="s">
        <v>28</v>
      </c>
      <c r="L441" t="s">
        <v>30</v>
      </c>
      <c r="M441">
        <v>1</v>
      </c>
      <c r="N441" t="s">
        <v>514</v>
      </c>
      <c r="O441" t="s">
        <v>2014</v>
      </c>
      <c r="P441">
        <v>12.46</v>
      </c>
      <c r="Q441">
        <f t="shared" si="6"/>
        <v>366.43400000000003</v>
      </c>
      <c r="R441">
        <v>6949.7860000000001</v>
      </c>
      <c r="S441" s="2">
        <v>45567</v>
      </c>
      <c r="T441" s="2">
        <v>45571</v>
      </c>
      <c r="U441" t="s">
        <v>35</v>
      </c>
      <c r="V441">
        <v>2</v>
      </c>
      <c r="W441">
        <v>10</v>
      </c>
      <c r="X441" t="s">
        <v>43</v>
      </c>
      <c r="Y441">
        <v>2024</v>
      </c>
      <c r="Z441">
        <v>4</v>
      </c>
      <c r="AA441">
        <v>40</v>
      </c>
    </row>
    <row r="442" spans="1:27" x14ac:dyDescent="0.3">
      <c r="A442" s="2">
        <v>45080</v>
      </c>
      <c r="B442" t="s">
        <v>4</v>
      </c>
      <c r="C442" t="s">
        <v>10</v>
      </c>
      <c r="D442">
        <v>3</v>
      </c>
      <c r="E442">
        <v>54.37</v>
      </c>
      <c r="F442" t="s">
        <v>12</v>
      </c>
      <c r="G442" t="s">
        <v>16</v>
      </c>
      <c r="H442">
        <v>0.1</v>
      </c>
      <c r="I442" t="s">
        <v>20</v>
      </c>
      <c r="J442">
        <v>146.79900000000001</v>
      </c>
      <c r="K442" t="s">
        <v>26</v>
      </c>
      <c r="L442" t="s">
        <v>31</v>
      </c>
      <c r="M442">
        <v>0</v>
      </c>
      <c r="N442" t="s">
        <v>515</v>
      </c>
      <c r="O442" t="s">
        <v>2015</v>
      </c>
      <c r="P442">
        <v>48.71</v>
      </c>
      <c r="Q442">
        <f t="shared" si="6"/>
        <v>48.933</v>
      </c>
      <c r="R442">
        <v>98.088999999999999</v>
      </c>
      <c r="S442" s="2">
        <v>45080</v>
      </c>
      <c r="T442" s="2">
        <v>45090</v>
      </c>
      <c r="U442" t="s">
        <v>37</v>
      </c>
      <c r="V442">
        <v>3</v>
      </c>
      <c r="W442">
        <v>6</v>
      </c>
      <c r="X442" t="s">
        <v>41</v>
      </c>
      <c r="Y442">
        <v>2023</v>
      </c>
      <c r="Z442">
        <v>2</v>
      </c>
      <c r="AA442">
        <v>22</v>
      </c>
    </row>
    <row r="443" spans="1:27" x14ac:dyDescent="0.3">
      <c r="A443" s="2">
        <v>45179</v>
      </c>
      <c r="B443" t="s">
        <v>0</v>
      </c>
      <c r="C443" t="s">
        <v>6</v>
      </c>
      <c r="D443">
        <v>6</v>
      </c>
      <c r="E443">
        <v>471.74</v>
      </c>
      <c r="F443" t="s">
        <v>14</v>
      </c>
      <c r="G443" t="s">
        <v>17</v>
      </c>
      <c r="H443">
        <v>0.15</v>
      </c>
      <c r="I443" t="s">
        <v>21</v>
      </c>
      <c r="J443">
        <v>2405.8739999999998</v>
      </c>
      <c r="K443" t="s">
        <v>24</v>
      </c>
      <c r="L443" t="s">
        <v>32</v>
      </c>
      <c r="M443">
        <v>0</v>
      </c>
      <c r="N443" t="s">
        <v>516</v>
      </c>
      <c r="O443" t="s">
        <v>2016</v>
      </c>
      <c r="P443">
        <v>36.79</v>
      </c>
      <c r="Q443">
        <f t="shared" si="6"/>
        <v>400.97899999999998</v>
      </c>
      <c r="R443">
        <v>2369.0839999999998</v>
      </c>
      <c r="S443" s="2">
        <v>45179</v>
      </c>
      <c r="T443" s="2">
        <v>45187</v>
      </c>
      <c r="U443" t="s">
        <v>33</v>
      </c>
      <c r="V443">
        <v>10</v>
      </c>
      <c r="W443">
        <v>9</v>
      </c>
      <c r="X443" t="s">
        <v>49</v>
      </c>
      <c r="Y443">
        <v>2023</v>
      </c>
      <c r="Z443">
        <v>3</v>
      </c>
      <c r="AA443">
        <v>36</v>
      </c>
    </row>
    <row r="444" spans="1:27" x14ac:dyDescent="0.3">
      <c r="A444" s="2">
        <v>45797</v>
      </c>
      <c r="B444" t="s">
        <v>3</v>
      </c>
      <c r="C444" t="s">
        <v>11</v>
      </c>
      <c r="D444">
        <v>19</v>
      </c>
      <c r="E444">
        <v>322.31</v>
      </c>
      <c r="F444" t="s">
        <v>12</v>
      </c>
      <c r="G444" t="s">
        <v>17</v>
      </c>
      <c r="H444">
        <v>0.15</v>
      </c>
      <c r="I444" t="s">
        <v>23</v>
      </c>
      <c r="J444">
        <v>5205.3065000000006</v>
      </c>
      <c r="K444" t="s">
        <v>28</v>
      </c>
      <c r="L444" t="s">
        <v>29</v>
      </c>
      <c r="M444">
        <v>0</v>
      </c>
      <c r="N444" t="s">
        <v>517</v>
      </c>
      <c r="O444" t="s">
        <v>2017</v>
      </c>
      <c r="P444">
        <v>33.950000000000003</v>
      </c>
      <c r="Q444">
        <f t="shared" si="6"/>
        <v>273.96350000000001</v>
      </c>
      <c r="R444">
        <v>5171.3565000000008</v>
      </c>
      <c r="S444" s="2">
        <v>45797</v>
      </c>
      <c r="T444" s="2">
        <v>45799</v>
      </c>
      <c r="U444" t="s">
        <v>36</v>
      </c>
      <c r="V444">
        <v>20</v>
      </c>
      <c r="W444">
        <v>5</v>
      </c>
      <c r="X444" t="s">
        <v>40</v>
      </c>
      <c r="Y444">
        <v>2025</v>
      </c>
      <c r="Z444">
        <v>2</v>
      </c>
      <c r="AA444">
        <v>21</v>
      </c>
    </row>
    <row r="445" spans="1:27" x14ac:dyDescent="0.3">
      <c r="A445" s="2">
        <v>45193</v>
      </c>
      <c r="B445" t="s">
        <v>2</v>
      </c>
      <c r="C445" t="s">
        <v>10</v>
      </c>
      <c r="D445">
        <v>13</v>
      </c>
      <c r="E445">
        <v>115.86</v>
      </c>
      <c r="F445" t="s">
        <v>13</v>
      </c>
      <c r="G445" t="s">
        <v>16</v>
      </c>
      <c r="H445">
        <v>0.1</v>
      </c>
      <c r="I445" t="s">
        <v>22</v>
      </c>
      <c r="J445">
        <v>1355.5619999999999</v>
      </c>
      <c r="K445" t="s">
        <v>28</v>
      </c>
      <c r="L445" t="s">
        <v>32</v>
      </c>
      <c r="M445">
        <v>1</v>
      </c>
      <c r="N445" t="s">
        <v>518</v>
      </c>
      <c r="O445" t="s">
        <v>2018</v>
      </c>
      <c r="P445">
        <v>28.52</v>
      </c>
      <c r="Q445">
        <f t="shared" si="6"/>
        <v>104.27399999999999</v>
      </c>
      <c r="R445">
        <v>1327.0419999999999</v>
      </c>
      <c r="S445" s="2">
        <v>45193</v>
      </c>
      <c r="T445" s="2">
        <v>45202</v>
      </c>
      <c r="U445" t="s">
        <v>35</v>
      </c>
      <c r="V445">
        <v>24</v>
      </c>
      <c r="W445">
        <v>9</v>
      </c>
      <c r="X445" t="s">
        <v>49</v>
      </c>
      <c r="Y445">
        <v>2023</v>
      </c>
      <c r="Z445">
        <v>3</v>
      </c>
      <c r="AA445">
        <v>38</v>
      </c>
    </row>
    <row r="446" spans="1:27" x14ac:dyDescent="0.3">
      <c r="A446" s="2">
        <v>45745</v>
      </c>
      <c r="B446" t="s">
        <v>0</v>
      </c>
      <c r="C446" t="s">
        <v>10</v>
      </c>
      <c r="D446">
        <v>18</v>
      </c>
      <c r="E446">
        <v>398.26</v>
      </c>
      <c r="F446" t="s">
        <v>12</v>
      </c>
      <c r="G446" t="s">
        <v>17</v>
      </c>
      <c r="H446">
        <v>0.1</v>
      </c>
      <c r="I446" t="s">
        <v>23</v>
      </c>
      <c r="J446">
        <v>6451.8120000000008</v>
      </c>
      <c r="K446" t="s">
        <v>27</v>
      </c>
      <c r="L446" t="s">
        <v>32</v>
      </c>
      <c r="M446">
        <v>0</v>
      </c>
      <c r="N446" t="s">
        <v>519</v>
      </c>
      <c r="O446" t="s">
        <v>2019</v>
      </c>
      <c r="P446">
        <v>16.8</v>
      </c>
      <c r="Q446">
        <f t="shared" si="6"/>
        <v>358.43400000000003</v>
      </c>
      <c r="R446">
        <v>6435.0120000000006</v>
      </c>
      <c r="S446" s="2">
        <v>45745</v>
      </c>
      <c r="T446" s="2">
        <v>45751</v>
      </c>
      <c r="U446" t="s">
        <v>33</v>
      </c>
      <c r="V446">
        <v>29</v>
      </c>
      <c r="W446">
        <v>3</v>
      </c>
      <c r="X446" t="s">
        <v>44</v>
      </c>
      <c r="Y446">
        <v>2025</v>
      </c>
      <c r="Z446">
        <v>1</v>
      </c>
      <c r="AA446">
        <v>13</v>
      </c>
    </row>
    <row r="447" spans="1:27" x14ac:dyDescent="0.3">
      <c r="A447" s="2">
        <v>45094</v>
      </c>
      <c r="B447" t="s">
        <v>0</v>
      </c>
      <c r="C447" t="s">
        <v>8</v>
      </c>
      <c r="D447">
        <v>4</v>
      </c>
      <c r="E447">
        <v>584.79999999999995</v>
      </c>
      <c r="F447" t="s">
        <v>12</v>
      </c>
      <c r="G447" t="s">
        <v>17</v>
      </c>
      <c r="H447">
        <v>0.1</v>
      </c>
      <c r="I447" t="s">
        <v>18</v>
      </c>
      <c r="J447">
        <v>2105.2800000000002</v>
      </c>
      <c r="K447" t="s">
        <v>24</v>
      </c>
      <c r="L447" t="s">
        <v>29</v>
      </c>
      <c r="M447">
        <v>0</v>
      </c>
      <c r="N447" t="s">
        <v>520</v>
      </c>
      <c r="O447" t="s">
        <v>2020</v>
      </c>
      <c r="P447">
        <v>16.440000000000001</v>
      </c>
      <c r="Q447">
        <f t="shared" si="6"/>
        <v>526.32000000000005</v>
      </c>
      <c r="R447">
        <v>2088.84</v>
      </c>
      <c r="S447" s="2">
        <v>45094</v>
      </c>
      <c r="T447" s="2">
        <v>45102</v>
      </c>
      <c r="U447" t="s">
        <v>33</v>
      </c>
      <c r="V447">
        <v>17</v>
      </c>
      <c r="W447">
        <v>6</v>
      </c>
      <c r="X447" t="s">
        <v>41</v>
      </c>
      <c r="Y447">
        <v>2023</v>
      </c>
      <c r="Z447">
        <v>2</v>
      </c>
      <c r="AA447">
        <v>24</v>
      </c>
    </row>
    <row r="448" spans="1:27" x14ac:dyDescent="0.3">
      <c r="A448" s="2">
        <v>45319</v>
      </c>
      <c r="B448" t="s">
        <v>4</v>
      </c>
      <c r="C448" t="s">
        <v>11</v>
      </c>
      <c r="D448">
        <v>20</v>
      </c>
      <c r="E448">
        <v>424.7</v>
      </c>
      <c r="F448" t="s">
        <v>12</v>
      </c>
      <c r="G448" t="s">
        <v>16</v>
      </c>
      <c r="H448">
        <v>0.15</v>
      </c>
      <c r="I448" t="s">
        <v>23</v>
      </c>
      <c r="J448">
        <v>7219.9</v>
      </c>
      <c r="K448" t="s">
        <v>24</v>
      </c>
      <c r="L448" t="s">
        <v>29</v>
      </c>
      <c r="M448">
        <v>0</v>
      </c>
      <c r="N448" t="s">
        <v>521</v>
      </c>
      <c r="O448" t="s">
        <v>2021</v>
      </c>
      <c r="P448">
        <v>42.03</v>
      </c>
      <c r="Q448">
        <f t="shared" si="6"/>
        <v>360.995</v>
      </c>
      <c r="R448">
        <v>7177.87</v>
      </c>
      <c r="S448" s="2">
        <v>45319</v>
      </c>
      <c r="T448" s="2">
        <v>45327</v>
      </c>
      <c r="U448" t="s">
        <v>37</v>
      </c>
      <c r="V448">
        <v>28</v>
      </c>
      <c r="W448">
        <v>1</v>
      </c>
      <c r="X448" t="s">
        <v>42</v>
      </c>
      <c r="Y448">
        <v>2024</v>
      </c>
      <c r="Z448">
        <v>1</v>
      </c>
      <c r="AA448">
        <v>4</v>
      </c>
    </row>
    <row r="449" spans="1:27" x14ac:dyDescent="0.3">
      <c r="A449" s="2">
        <v>44999</v>
      </c>
      <c r="B449" t="s">
        <v>3</v>
      </c>
      <c r="C449" t="s">
        <v>8</v>
      </c>
      <c r="D449">
        <v>16</v>
      </c>
      <c r="E449">
        <v>179.22</v>
      </c>
      <c r="F449" t="s">
        <v>15</v>
      </c>
      <c r="G449" t="s">
        <v>17</v>
      </c>
      <c r="H449">
        <v>0.1</v>
      </c>
      <c r="I449" t="s">
        <v>19</v>
      </c>
      <c r="J449">
        <v>2580.768</v>
      </c>
      <c r="K449" t="s">
        <v>24</v>
      </c>
      <c r="L449" t="s">
        <v>31</v>
      </c>
      <c r="M449">
        <v>0</v>
      </c>
      <c r="N449" t="s">
        <v>522</v>
      </c>
      <c r="O449" t="s">
        <v>2022</v>
      </c>
      <c r="P449">
        <v>45.99</v>
      </c>
      <c r="Q449">
        <f t="shared" si="6"/>
        <v>161.298</v>
      </c>
      <c r="R449">
        <v>2534.7780000000002</v>
      </c>
      <c r="S449" s="2">
        <v>44999</v>
      </c>
      <c r="T449" s="2">
        <v>45002</v>
      </c>
      <c r="U449" t="s">
        <v>36</v>
      </c>
      <c r="V449">
        <v>14</v>
      </c>
      <c r="W449">
        <v>3</v>
      </c>
      <c r="X449" t="s">
        <v>44</v>
      </c>
      <c r="Y449">
        <v>2023</v>
      </c>
      <c r="Z449">
        <v>1</v>
      </c>
      <c r="AA449">
        <v>11</v>
      </c>
    </row>
    <row r="450" spans="1:27" x14ac:dyDescent="0.3">
      <c r="A450" s="2">
        <v>45666</v>
      </c>
      <c r="B450" t="s">
        <v>0</v>
      </c>
      <c r="C450" t="s">
        <v>5</v>
      </c>
      <c r="D450">
        <v>12</v>
      </c>
      <c r="E450">
        <v>148.66</v>
      </c>
      <c r="F450" t="s">
        <v>13</v>
      </c>
      <c r="G450" t="s">
        <v>16</v>
      </c>
      <c r="H450">
        <v>0</v>
      </c>
      <c r="I450" t="s">
        <v>22</v>
      </c>
      <c r="J450">
        <v>1783.92</v>
      </c>
      <c r="K450" t="s">
        <v>24</v>
      </c>
      <c r="L450" t="s">
        <v>32</v>
      </c>
      <c r="M450">
        <v>1</v>
      </c>
      <c r="N450" t="s">
        <v>523</v>
      </c>
      <c r="O450" t="s">
        <v>2023</v>
      </c>
      <c r="P450">
        <v>27.16</v>
      </c>
      <c r="Q450">
        <f t="shared" si="6"/>
        <v>148.66</v>
      </c>
      <c r="R450">
        <v>1756.76</v>
      </c>
      <c r="S450" s="2">
        <v>45666</v>
      </c>
      <c r="T450" s="2">
        <v>45674</v>
      </c>
      <c r="U450" t="s">
        <v>33</v>
      </c>
      <c r="V450">
        <v>9</v>
      </c>
      <c r="W450">
        <v>1</v>
      </c>
      <c r="X450" t="s">
        <v>42</v>
      </c>
      <c r="Y450">
        <v>2025</v>
      </c>
      <c r="Z450">
        <v>1</v>
      </c>
      <c r="AA450">
        <v>2</v>
      </c>
    </row>
    <row r="451" spans="1:27" x14ac:dyDescent="0.3">
      <c r="A451" s="2">
        <v>45746</v>
      </c>
      <c r="B451" t="s">
        <v>3</v>
      </c>
      <c r="C451" t="s">
        <v>6</v>
      </c>
      <c r="D451">
        <v>16</v>
      </c>
      <c r="E451">
        <v>460.43</v>
      </c>
      <c r="F451" t="s">
        <v>12</v>
      </c>
      <c r="G451" t="s">
        <v>16</v>
      </c>
      <c r="H451">
        <v>0.15</v>
      </c>
      <c r="I451" t="s">
        <v>23</v>
      </c>
      <c r="J451">
        <v>6261.848</v>
      </c>
      <c r="K451" t="s">
        <v>24</v>
      </c>
      <c r="L451" t="s">
        <v>31</v>
      </c>
      <c r="M451">
        <v>0</v>
      </c>
      <c r="N451" t="s">
        <v>524</v>
      </c>
      <c r="O451" t="s">
        <v>2024</v>
      </c>
      <c r="P451">
        <v>20.38</v>
      </c>
      <c r="Q451">
        <f t="shared" ref="Q451:Q514" si="7">J451/D451</f>
        <v>391.3655</v>
      </c>
      <c r="R451">
        <v>6241.4679999999998</v>
      </c>
      <c r="S451" s="2">
        <v>45746</v>
      </c>
      <c r="T451" s="2">
        <v>45753</v>
      </c>
      <c r="U451" t="s">
        <v>36</v>
      </c>
      <c r="V451">
        <v>30</v>
      </c>
      <c r="W451">
        <v>3</v>
      </c>
      <c r="X451" t="s">
        <v>44</v>
      </c>
      <c r="Y451">
        <v>2025</v>
      </c>
      <c r="Z451">
        <v>1</v>
      </c>
      <c r="AA451">
        <v>13</v>
      </c>
    </row>
    <row r="452" spans="1:27" x14ac:dyDescent="0.3">
      <c r="A452" s="2">
        <v>45222</v>
      </c>
      <c r="B452" t="s">
        <v>0</v>
      </c>
      <c r="C452" t="s">
        <v>10</v>
      </c>
      <c r="D452">
        <v>5</v>
      </c>
      <c r="E452">
        <v>334.37</v>
      </c>
      <c r="F452" t="s">
        <v>12</v>
      </c>
      <c r="G452" t="s">
        <v>17</v>
      </c>
      <c r="H452">
        <v>0.05</v>
      </c>
      <c r="I452" t="s">
        <v>21</v>
      </c>
      <c r="J452">
        <v>1588.2574999999999</v>
      </c>
      <c r="K452" t="s">
        <v>26</v>
      </c>
      <c r="L452" t="s">
        <v>32</v>
      </c>
      <c r="M452">
        <v>0</v>
      </c>
      <c r="N452" t="s">
        <v>525</v>
      </c>
      <c r="O452" t="s">
        <v>2025</v>
      </c>
      <c r="P452">
        <v>32.130000000000003</v>
      </c>
      <c r="Q452">
        <f t="shared" si="7"/>
        <v>317.6515</v>
      </c>
      <c r="R452">
        <v>1556.1274999999998</v>
      </c>
      <c r="S452" s="2">
        <v>45222</v>
      </c>
      <c r="T452" s="2">
        <v>45227</v>
      </c>
      <c r="U452" t="s">
        <v>33</v>
      </c>
      <c r="V452">
        <v>23</v>
      </c>
      <c r="W452">
        <v>10</v>
      </c>
      <c r="X452" t="s">
        <v>43</v>
      </c>
      <c r="Y452">
        <v>2023</v>
      </c>
      <c r="Z452">
        <v>4</v>
      </c>
      <c r="AA452">
        <v>43</v>
      </c>
    </row>
    <row r="453" spans="1:27" x14ac:dyDescent="0.3">
      <c r="A453" s="2">
        <v>45816</v>
      </c>
      <c r="B453" t="s">
        <v>4</v>
      </c>
      <c r="C453" t="s">
        <v>9</v>
      </c>
      <c r="D453">
        <v>3</v>
      </c>
      <c r="E453">
        <v>599.72</v>
      </c>
      <c r="F453" t="s">
        <v>15</v>
      </c>
      <c r="G453" t="s">
        <v>17</v>
      </c>
      <c r="H453">
        <v>0.15</v>
      </c>
      <c r="I453" t="s">
        <v>19</v>
      </c>
      <c r="J453">
        <v>1529.2860000000001</v>
      </c>
      <c r="K453" t="s">
        <v>24</v>
      </c>
      <c r="L453" t="s">
        <v>31</v>
      </c>
      <c r="M453">
        <v>1</v>
      </c>
      <c r="N453" t="s">
        <v>526</v>
      </c>
      <c r="O453" t="s">
        <v>2026</v>
      </c>
      <c r="P453">
        <v>14.93</v>
      </c>
      <c r="Q453">
        <f t="shared" si="7"/>
        <v>509.762</v>
      </c>
      <c r="R453">
        <v>1514.356</v>
      </c>
      <c r="S453" s="2">
        <v>45816</v>
      </c>
      <c r="T453" s="2">
        <v>45822</v>
      </c>
      <c r="U453" t="s">
        <v>37</v>
      </c>
      <c r="V453">
        <v>8</v>
      </c>
      <c r="W453">
        <v>6</v>
      </c>
      <c r="X453" t="s">
        <v>41</v>
      </c>
      <c r="Y453">
        <v>2025</v>
      </c>
      <c r="Z453">
        <v>2</v>
      </c>
      <c r="AA453">
        <v>23</v>
      </c>
    </row>
    <row r="454" spans="1:27" x14ac:dyDescent="0.3">
      <c r="A454" s="2">
        <v>45348</v>
      </c>
      <c r="B454" t="s">
        <v>4</v>
      </c>
      <c r="C454" t="s">
        <v>9</v>
      </c>
      <c r="D454">
        <v>11</v>
      </c>
      <c r="E454">
        <v>389.84</v>
      </c>
      <c r="F454" t="s">
        <v>15</v>
      </c>
      <c r="G454" t="s">
        <v>16</v>
      </c>
      <c r="H454">
        <v>0</v>
      </c>
      <c r="I454" t="s">
        <v>19</v>
      </c>
      <c r="J454">
        <v>4288.24</v>
      </c>
      <c r="K454" t="s">
        <v>25</v>
      </c>
      <c r="L454" t="s">
        <v>30</v>
      </c>
      <c r="M454">
        <v>1</v>
      </c>
      <c r="N454" t="s">
        <v>527</v>
      </c>
      <c r="O454" t="s">
        <v>2027</v>
      </c>
      <c r="P454">
        <v>10.24</v>
      </c>
      <c r="Q454">
        <f t="shared" si="7"/>
        <v>389.84</v>
      </c>
      <c r="R454">
        <v>4278</v>
      </c>
      <c r="S454" s="2">
        <v>45348</v>
      </c>
      <c r="T454" s="2">
        <v>45351</v>
      </c>
      <c r="U454" t="s">
        <v>37</v>
      </c>
      <c r="V454">
        <v>26</v>
      </c>
      <c r="W454">
        <v>2</v>
      </c>
      <c r="X454" t="s">
        <v>38</v>
      </c>
      <c r="Y454">
        <v>2024</v>
      </c>
      <c r="Z454">
        <v>1</v>
      </c>
      <c r="AA454">
        <v>9</v>
      </c>
    </row>
    <row r="455" spans="1:27" x14ac:dyDescent="0.3">
      <c r="A455" s="2">
        <v>45595</v>
      </c>
      <c r="B455" t="s">
        <v>0</v>
      </c>
      <c r="C455" t="s">
        <v>8</v>
      </c>
      <c r="D455">
        <v>11</v>
      </c>
      <c r="E455">
        <v>445.75</v>
      </c>
      <c r="F455" t="s">
        <v>13</v>
      </c>
      <c r="G455" t="s">
        <v>16</v>
      </c>
      <c r="H455">
        <v>0.1</v>
      </c>
      <c r="I455" t="s">
        <v>20</v>
      </c>
      <c r="J455">
        <v>4412.9250000000002</v>
      </c>
      <c r="K455" t="s">
        <v>24</v>
      </c>
      <c r="L455" t="s">
        <v>30</v>
      </c>
      <c r="M455">
        <v>0</v>
      </c>
      <c r="N455" t="s">
        <v>528</v>
      </c>
      <c r="O455" t="s">
        <v>2028</v>
      </c>
      <c r="P455">
        <v>18.07</v>
      </c>
      <c r="Q455">
        <f t="shared" si="7"/>
        <v>401.17500000000001</v>
      </c>
      <c r="R455">
        <v>4394.8550000000005</v>
      </c>
      <c r="S455" s="2">
        <v>45595</v>
      </c>
      <c r="T455" s="2">
        <v>45603</v>
      </c>
      <c r="U455" t="s">
        <v>33</v>
      </c>
      <c r="V455">
        <v>30</v>
      </c>
      <c r="W455">
        <v>10</v>
      </c>
      <c r="X455" t="s">
        <v>43</v>
      </c>
      <c r="Y455">
        <v>2024</v>
      </c>
      <c r="Z455">
        <v>4</v>
      </c>
      <c r="AA455">
        <v>44</v>
      </c>
    </row>
    <row r="456" spans="1:27" x14ac:dyDescent="0.3">
      <c r="A456" s="2">
        <v>45523</v>
      </c>
      <c r="B456" t="s">
        <v>1</v>
      </c>
      <c r="C456" t="s">
        <v>5</v>
      </c>
      <c r="D456">
        <v>18</v>
      </c>
      <c r="E456">
        <v>96.84</v>
      </c>
      <c r="F456" t="s">
        <v>13</v>
      </c>
      <c r="G456" t="s">
        <v>16</v>
      </c>
      <c r="H456">
        <v>0.15</v>
      </c>
      <c r="I456" t="s">
        <v>20</v>
      </c>
      <c r="J456">
        <v>1481.652</v>
      </c>
      <c r="K456" t="s">
        <v>28</v>
      </c>
      <c r="L456" t="s">
        <v>30</v>
      </c>
      <c r="M456">
        <v>1</v>
      </c>
      <c r="N456" t="s">
        <v>529</v>
      </c>
      <c r="O456" t="s">
        <v>2029</v>
      </c>
      <c r="P456">
        <v>8.1</v>
      </c>
      <c r="Q456">
        <f t="shared" si="7"/>
        <v>82.314000000000007</v>
      </c>
      <c r="R456">
        <v>1473.5520000000001</v>
      </c>
      <c r="S456" s="2">
        <v>45523</v>
      </c>
      <c r="T456" s="2">
        <v>45527</v>
      </c>
      <c r="U456" t="s">
        <v>34</v>
      </c>
      <c r="V456">
        <v>19</v>
      </c>
      <c r="W456">
        <v>8</v>
      </c>
      <c r="X456" t="s">
        <v>48</v>
      </c>
      <c r="Y456">
        <v>2024</v>
      </c>
      <c r="Z456">
        <v>3</v>
      </c>
      <c r="AA456">
        <v>34</v>
      </c>
    </row>
    <row r="457" spans="1:27" x14ac:dyDescent="0.3">
      <c r="A457" s="2">
        <v>45137</v>
      </c>
      <c r="B457" t="s">
        <v>3</v>
      </c>
      <c r="C457" t="s">
        <v>8</v>
      </c>
      <c r="D457">
        <v>1</v>
      </c>
      <c r="E457">
        <v>528.30999999999995</v>
      </c>
      <c r="F457" t="s">
        <v>14</v>
      </c>
      <c r="G457" t="s">
        <v>16</v>
      </c>
      <c r="H457">
        <v>0.1</v>
      </c>
      <c r="I457" t="s">
        <v>19</v>
      </c>
      <c r="J457">
        <v>475.47899999999998</v>
      </c>
      <c r="K457" t="s">
        <v>24</v>
      </c>
      <c r="L457" t="s">
        <v>29</v>
      </c>
      <c r="M457">
        <v>0</v>
      </c>
      <c r="N457" t="s">
        <v>530</v>
      </c>
      <c r="O457" t="s">
        <v>2030</v>
      </c>
      <c r="P457">
        <v>24.55</v>
      </c>
      <c r="Q457">
        <f t="shared" si="7"/>
        <v>475.47899999999998</v>
      </c>
      <c r="R457">
        <v>450.92899999999997</v>
      </c>
      <c r="S457" s="2">
        <v>45137</v>
      </c>
      <c r="T457" s="2">
        <v>45147</v>
      </c>
      <c r="U457" t="s">
        <v>36</v>
      </c>
      <c r="V457">
        <v>30</v>
      </c>
      <c r="W457">
        <v>7</v>
      </c>
      <c r="X457" t="s">
        <v>46</v>
      </c>
      <c r="Y457">
        <v>2023</v>
      </c>
      <c r="Z457">
        <v>3</v>
      </c>
      <c r="AA457">
        <v>30</v>
      </c>
    </row>
    <row r="458" spans="1:27" x14ac:dyDescent="0.3">
      <c r="A458" s="2">
        <v>45517</v>
      </c>
      <c r="B458" t="s">
        <v>2</v>
      </c>
      <c r="C458" t="s">
        <v>9</v>
      </c>
      <c r="D458">
        <v>16</v>
      </c>
      <c r="E458">
        <v>64.03</v>
      </c>
      <c r="F458" t="s">
        <v>13</v>
      </c>
      <c r="G458" t="s">
        <v>16</v>
      </c>
      <c r="H458">
        <v>0</v>
      </c>
      <c r="I458" t="s">
        <v>21</v>
      </c>
      <c r="J458">
        <v>1024.48</v>
      </c>
      <c r="K458" t="s">
        <v>25</v>
      </c>
      <c r="L458" t="s">
        <v>31</v>
      </c>
      <c r="M458">
        <v>1</v>
      </c>
      <c r="N458" t="s">
        <v>531</v>
      </c>
      <c r="O458" t="s">
        <v>2031</v>
      </c>
      <c r="P458">
        <v>16.71</v>
      </c>
      <c r="Q458">
        <f t="shared" si="7"/>
        <v>64.03</v>
      </c>
      <c r="R458">
        <v>1007.77</v>
      </c>
      <c r="S458" s="2">
        <v>45517</v>
      </c>
      <c r="T458" s="2">
        <v>45527</v>
      </c>
      <c r="U458" t="s">
        <v>35</v>
      </c>
      <c r="V458">
        <v>13</v>
      </c>
      <c r="W458">
        <v>8</v>
      </c>
      <c r="X458" t="s">
        <v>48</v>
      </c>
      <c r="Y458">
        <v>2024</v>
      </c>
      <c r="Z458">
        <v>3</v>
      </c>
      <c r="AA458">
        <v>33</v>
      </c>
    </row>
    <row r="459" spans="1:27" x14ac:dyDescent="0.3">
      <c r="A459" s="2">
        <v>45234</v>
      </c>
      <c r="B459" t="s">
        <v>2</v>
      </c>
      <c r="C459" t="s">
        <v>11</v>
      </c>
      <c r="D459">
        <v>13</v>
      </c>
      <c r="E459">
        <v>179.37</v>
      </c>
      <c r="F459" t="s">
        <v>13</v>
      </c>
      <c r="G459" t="s">
        <v>17</v>
      </c>
      <c r="H459">
        <v>0.05</v>
      </c>
      <c r="I459" t="s">
        <v>18</v>
      </c>
      <c r="J459">
        <v>2215.2195000000002</v>
      </c>
      <c r="K459" t="s">
        <v>24</v>
      </c>
      <c r="L459" t="s">
        <v>29</v>
      </c>
      <c r="M459">
        <v>0</v>
      </c>
      <c r="N459" t="s">
        <v>532</v>
      </c>
      <c r="O459" t="s">
        <v>2032</v>
      </c>
      <c r="P459">
        <v>35.28</v>
      </c>
      <c r="Q459">
        <f t="shared" si="7"/>
        <v>170.4015</v>
      </c>
      <c r="R459">
        <v>2179.9395</v>
      </c>
      <c r="S459" s="2">
        <v>45234</v>
      </c>
      <c r="T459" s="2">
        <v>45242</v>
      </c>
      <c r="U459" t="s">
        <v>35</v>
      </c>
      <c r="V459">
        <v>4</v>
      </c>
      <c r="W459">
        <v>11</v>
      </c>
      <c r="X459" t="s">
        <v>47</v>
      </c>
      <c r="Y459">
        <v>2023</v>
      </c>
      <c r="Z459">
        <v>4</v>
      </c>
      <c r="AA459">
        <v>44</v>
      </c>
    </row>
    <row r="460" spans="1:27" x14ac:dyDescent="0.3">
      <c r="A460" s="2">
        <v>45813</v>
      </c>
      <c r="B460" t="s">
        <v>0</v>
      </c>
      <c r="C460" t="s">
        <v>11</v>
      </c>
      <c r="D460">
        <v>19</v>
      </c>
      <c r="E460">
        <v>491.15</v>
      </c>
      <c r="F460" t="s">
        <v>14</v>
      </c>
      <c r="G460" t="s">
        <v>17</v>
      </c>
      <c r="H460">
        <v>0</v>
      </c>
      <c r="I460" t="s">
        <v>20</v>
      </c>
      <c r="J460">
        <v>9331.85</v>
      </c>
      <c r="K460" t="s">
        <v>24</v>
      </c>
      <c r="L460" t="s">
        <v>32</v>
      </c>
      <c r="M460">
        <v>0</v>
      </c>
      <c r="N460" t="s">
        <v>533</v>
      </c>
      <c r="O460" t="s">
        <v>2033</v>
      </c>
      <c r="P460">
        <v>48.68</v>
      </c>
      <c r="Q460">
        <f t="shared" si="7"/>
        <v>491.15000000000003</v>
      </c>
      <c r="R460">
        <v>9283.17</v>
      </c>
      <c r="S460" s="2">
        <v>45813</v>
      </c>
      <c r="T460" s="2">
        <v>45823</v>
      </c>
      <c r="U460" t="s">
        <v>33</v>
      </c>
      <c r="V460">
        <v>5</v>
      </c>
      <c r="W460">
        <v>6</v>
      </c>
      <c r="X460" t="s">
        <v>41</v>
      </c>
      <c r="Y460">
        <v>2025</v>
      </c>
      <c r="Z460">
        <v>2</v>
      </c>
      <c r="AA460">
        <v>23</v>
      </c>
    </row>
    <row r="461" spans="1:27" x14ac:dyDescent="0.3">
      <c r="A461" s="2">
        <v>45100</v>
      </c>
      <c r="B461" t="s">
        <v>2</v>
      </c>
      <c r="C461" t="s">
        <v>11</v>
      </c>
      <c r="D461">
        <v>5</v>
      </c>
      <c r="E461">
        <v>360.34</v>
      </c>
      <c r="F461" t="s">
        <v>14</v>
      </c>
      <c r="G461" t="s">
        <v>16</v>
      </c>
      <c r="H461">
        <v>0</v>
      </c>
      <c r="I461" t="s">
        <v>21</v>
      </c>
      <c r="J461">
        <v>1801.7</v>
      </c>
      <c r="K461" t="s">
        <v>25</v>
      </c>
      <c r="L461" t="s">
        <v>32</v>
      </c>
      <c r="M461">
        <v>0</v>
      </c>
      <c r="N461" t="s">
        <v>534</v>
      </c>
      <c r="O461" t="s">
        <v>2034</v>
      </c>
      <c r="P461">
        <v>33.76</v>
      </c>
      <c r="Q461">
        <f t="shared" si="7"/>
        <v>360.34000000000003</v>
      </c>
      <c r="R461">
        <v>1767.94</v>
      </c>
      <c r="S461" s="2">
        <v>45100</v>
      </c>
      <c r="T461" s="2">
        <v>45105</v>
      </c>
      <c r="U461" t="s">
        <v>35</v>
      </c>
      <c r="V461">
        <v>23</v>
      </c>
      <c r="W461">
        <v>6</v>
      </c>
      <c r="X461" t="s">
        <v>41</v>
      </c>
      <c r="Y461">
        <v>2023</v>
      </c>
      <c r="Z461">
        <v>2</v>
      </c>
      <c r="AA461">
        <v>25</v>
      </c>
    </row>
    <row r="462" spans="1:27" x14ac:dyDescent="0.3">
      <c r="A462" s="2">
        <v>45556</v>
      </c>
      <c r="B462" t="s">
        <v>1</v>
      </c>
      <c r="C462" t="s">
        <v>5</v>
      </c>
      <c r="D462">
        <v>20</v>
      </c>
      <c r="E462">
        <v>296.8</v>
      </c>
      <c r="F462" t="s">
        <v>13</v>
      </c>
      <c r="G462" t="s">
        <v>17</v>
      </c>
      <c r="H462">
        <v>0.1</v>
      </c>
      <c r="I462" t="s">
        <v>20</v>
      </c>
      <c r="J462">
        <v>5342.4000000000005</v>
      </c>
      <c r="K462" t="s">
        <v>25</v>
      </c>
      <c r="L462" t="s">
        <v>32</v>
      </c>
      <c r="M462">
        <v>0</v>
      </c>
      <c r="N462" t="s">
        <v>535</v>
      </c>
      <c r="O462" t="s">
        <v>2035</v>
      </c>
      <c r="P462">
        <v>19.57</v>
      </c>
      <c r="Q462">
        <f t="shared" si="7"/>
        <v>267.12</v>
      </c>
      <c r="R462">
        <v>5322.8300000000008</v>
      </c>
      <c r="S462" s="2">
        <v>45556</v>
      </c>
      <c r="T462" s="2">
        <v>45563</v>
      </c>
      <c r="U462" t="s">
        <v>34</v>
      </c>
      <c r="V462">
        <v>21</v>
      </c>
      <c r="W462">
        <v>9</v>
      </c>
      <c r="X462" t="s">
        <v>49</v>
      </c>
      <c r="Y462">
        <v>2024</v>
      </c>
      <c r="Z462">
        <v>3</v>
      </c>
      <c r="AA462">
        <v>38</v>
      </c>
    </row>
    <row r="463" spans="1:27" x14ac:dyDescent="0.3">
      <c r="A463" s="2">
        <v>45292</v>
      </c>
      <c r="B463" t="s">
        <v>1</v>
      </c>
      <c r="C463" t="s">
        <v>7</v>
      </c>
      <c r="D463">
        <v>3</v>
      </c>
      <c r="E463">
        <v>599.41999999999996</v>
      </c>
      <c r="F463" t="s">
        <v>13</v>
      </c>
      <c r="G463" t="s">
        <v>16</v>
      </c>
      <c r="H463">
        <v>0.1</v>
      </c>
      <c r="I463" t="s">
        <v>23</v>
      </c>
      <c r="J463">
        <v>1618.434</v>
      </c>
      <c r="K463" t="s">
        <v>24</v>
      </c>
      <c r="L463" t="s">
        <v>30</v>
      </c>
      <c r="M463">
        <v>0</v>
      </c>
      <c r="N463" t="s">
        <v>536</v>
      </c>
      <c r="O463" t="s">
        <v>2036</v>
      </c>
      <c r="P463">
        <v>48.02</v>
      </c>
      <c r="Q463">
        <f t="shared" si="7"/>
        <v>539.47799999999995</v>
      </c>
      <c r="R463">
        <v>1570.414</v>
      </c>
      <c r="S463" s="2">
        <v>45292</v>
      </c>
      <c r="T463" s="2">
        <v>45294</v>
      </c>
      <c r="U463" t="s">
        <v>34</v>
      </c>
      <c r="V463">
        <v>1</v>
      </c>
      <c r="W463">
        <v>1</v>
      </c>
      <c r="X463" t="s">
        <v>42</v>
      </c>
      <c r="Y463">
        <v>2024</v>
      </c>
      <c r="Z463">
        <v>1</v>
      </c>
      <c r="AA463">
        <v>1</v>
      </c>
    </row>
    <row r="464" spans="1:27" x14ac:dyDescent="0.3">
      <c r="A464" s="2">
        <v>45659</v>
      </c>
      <c r="B464" t="s">
        <v>4</v>
      </c>
      <c r="C464" t="s">
        <v>5</v>
      </c>
      <c r="D464">
        <v>1</v>
      </c>
      <c r="E464">
        <v>374.33</v>
      </c>
      <c r="F464" t="s">
        <v>12</v>
      </c>
      <c r="G464" t="s">
        <v>16</v>
      </c>
      <c r="H464">
        <v>0</v>
      </c>
      <c r="I464" t="s">
        <v>21</v>
      </c>
      <c r="J464">
        <v>374.33</v>
      </c>
      <c r="K464" t="s">
        <v>26</v>
      </c>
      <c r="L464" t="s">
        <v>29</v>
      </c>
      <c r="M464">
        <v>0</v>
      </c>
      <c r="N464" t="s">
        <v>537</v>
      </c>
      <c r="O464" t="s">
        <v>2037</v>
      </c>
      <c r="P464">
        <v>33.31</v>
      </c>
      <c r="Q464">
        <f t="shared" si="7"/>
        <v>374.33</v>
      </c>
      <c r="R464">
        <v>341.02</v>
      </c>
      <c r="S464" s="2">
        <v>45659</v>
      </c>
      <c r="T464" s="2">
        <v>45669</v>
      </c>
      <c r="U464" t="s">
        <v>37</v>
      </c>
      <c r="V464">
        <v>2</v>
      </c>
      <c r="W464">
        <v>1</v>
      </c>
      <c r="X464" t="s">
        <v>42</v>
      </c>
      <c r="Y464">
        <v>2025</v>
      </c>
      <c r="Z464">
        <v>1</v>
      </c>
      <c r="AA464">
        <v>1</v>
      </c>
    </row>
    <row r="465" spans="1:27" x14ac:dyDescent="0.3">
      <c r="A465" s="2">
        <v>45365</v>
      </c>
      <c r="B465" t="s">
        <v>2</v>
      </c>
      <c r="C465" t="s">
        <v>7</v>
      </c>
      <c r="D465">
        <v>13</v>
      </c>
      <c r="E465">
        <v>588.79999999999995</v>
      </c>
      <c r="F465" t="s">
        <v>15</v>
      </c>
      <c r="G465" t="s">
        <v>16</v>
      </c>
      <c r="H465">
        <v>0.15</v>
      </c>
      <c r="I465" t="s">
        <v>20</v>
      </c>
      <c r="J465">
        <v>6506.24</v>
      </c>
      <c r="K465" t="s">
        <v>28</v>
      </c>
      <c r="L465" t="s">
        <v>30</v>
      </c>
      <c r="M465">
        <v>0</v>
      </c>
      <c r="N465" t="s">
        <v>538</v>
      </c>
      <c r="O465" t="s">
        <v>2038</v>
      </c>
      <c r="P465">
        <v>45.03</v>
      </c>
      <c r="Q465">
        <f t="shared" si="7"/>
        <v>500.47999999999996</v>
      </c>
      <c r="R465">
        <v>6461.21</v>
      </c>
      <c r="S465" s="2">
        <v>45365</v>
      </c>
      <c r="T465" s="2">
        <v>45372</v>
      </c>
      <c r="U465" t="s">
        <v>35</v>
      </c>
      <c r="V465">
        <v>14</v>
      </c>
      <c r="W465">
        <v>3</v>
      </c>
      <c r="X465" t="s">
        <v>44</v>
      </c>
      <c r="Y465">
        <v>2024</v>
      </c>
      <c r="Z465">
        <v>1</v>
      </c>
      <c r="AA465">
        <v>11</v>
      </c>
    </row>
    <row r="466" spans="1:27" x14ac:dyDescent="0.3">
      <c r="A466" s="2">
        <v>45416</v>
      </c>
      <c r="B466" t="s">
        <v>4</v>
      </c>
      <c r="C466" t="s">
        <v>9</v>
      </c>
      <c r="D466">
        <v>13</v>
      </c>
      <c r="E466">
        <v>198.44</v>
      </c>
      <c r="F466" t="s">
        <v>15</v>
      </c>
      <c r="G466" t="s">
        <v>16</v>
      </c>
      <c r="H466">
        <v>0</v>
      </c>
      <c r="I466" t="s">
        <v>21</v>
      </c>
      <c r="J466">
        <v>2579.7199999999998</v>
      </c>
      <c r="K466" t="s">
        <v>28</v>
      </c>
      <c r="L466" t="s">
        <v>30</v>
      </c>
      <c r="M466">
        <v>1</v>
      </c>
      <c r="N466" t="s">
        <v>539</v>
      </c>
      <c r="O466" t="s">
        <v>2039</v>
      </c>
      <c r="P466">
        <v>31.51</v>
      </c>
      <c r="Q466">
        <f t="shared" si="7"/>
        <v>198.44</v>
      </c>
      <c r="R466">
        <v>2548.2099999999996</v>
      </c>
      <c r="S466" s="2">
        <v>45416</v>
      </c>
      <c r="T466" s="2">
        <v>45421</v>
      </c>
      <c r="U466" t="s">
        <v>37</v>
      </c>
      <c r="V466">
        <v>4</v>
      </c>
      <c r="W466">
        <v>5</v>
      </c>
      <c r="X466" t="s">
        <v>40</v>
      </c>
      <c r="Y466">
        <v>2024</v>
      </c>
      <c r="Z466">
        <v>2</v>
      </c>
      <c r="AA466">
        <v>18</v>
      </c>
    </row>
    <row r="467" spans="1:27" x14ac:dyDescent="0.3">
      <c r="A467" s="2">
        <v>45715</v>
      </c>
      <c r="B467" t="s">
        <v>1</v>
      </c>
      <c r="C467" t="s">
        <v>11</v>
      </c>
      <c r="D467">
        <v>12</v>
      </c>
      <c r="E467">
        <v>384.2</v>
      </c>
      <c r="F467" t="s">
        <v>13</v>
      </c>
      <c r="G467" t="s">
        <v>17</v>
      </c>
      <c r="H467">
        <v>0</v>
      </c>
      <c r="I467" t="s">
        <v>18</v>
      </c>
      <c r="J467">
        <v>4610.3999999999996</v>
      </c>
      <c r="K467" t="s">
        <v>28</v>
      </c>
      <c r="L467" t="s">
        <v>29</v>
      </c>
      <c r="M467">
        <v>0</v>
      </c>
      <c r="N467" t="s">
        <v>540</v>
      </c>
      <c r="O467" t="s">
        <v>2040</v>
      </c>
      <c r="P467">
        <v>38.99</v>
      </c>
      <c r="Q467">
        <f t="shared" si="7"/>
        <v>384.2</v>
      </c>
      <c r="R467">
        <v>4571.41</v>
      </c>
      <c r="S467" s="2">
        <v>45715</v>
      </c>
      <c r="T467" s="2">
        <v>45718</v>
      </c>
      <c r="U467" t="s">
        <v>34</v>
      </c>
      <c r="V467">
        <v>27</v>
      </c>
      <c r="W467">
        <v>2</v>
      </c>
      <c r="X467" t="s">
        <v>38</v>
      </c>
      <c r="Y467">
        <v>2025</v>
      </c>
      <c r="Z467">
        <v>1</v>
      </c>
      <c r="AA467">
        <v>9</v>
      </c>
    </row>
    <row r="468" spans="1:27" x14ac:dyDescent="0.3">
      <c r="A468" s="2">
        <v>45609</v>
      </c>
      <c r="B468" t="s">
        <v>3</v>
      </c>
      <c r="C468" t="s">
        <v>6</v>
      </c>
      <c r="D468">
        <v>4</v>
      </c>
      <c r="E468">
        <v>475.49</v>
      </c>
      <c r="F468" t="s">
        <v>12</v>
      </c>
      <c r="G468" t="s">
        <v>16</v>
      </c>
      <c r="H468">
        <v>0.15</v>
      </c>
      <c r="I468" t="s">
        <v>20</v>
      </c>
      <c r="J468">
        <v>1616.6659999999999</v>
      </c>
      <c r="K468" t="s">
        <v>28</v>
      </c>
      <c r="L468" t="s">
        <v>31</v>
      </c>
      <c r="M468">
        <v>0</v>
      </c>
      <c r="N468" t="s">
        <v>541</v>
      </c>
      <c r="O468" t="s">
        <v>2041</v>
      </c>
      <c r="P468">
        <v>11.6</v>
      </c>
      <c r="Q468">
        <f t="shared" si="7"/>
        <v>404.16649999999998</v>
      </c>
      <c r="R468">
        <v>1605.066</v>
      </c>
      <c r="S468" s="2">
        <v>45609</v>
      </c>
      <c r="T468" s="2">
        <v>45613</v>
      </c>
      <c r="U468" t="s">
        <v>36</v>
      </c>
      <c r="V468">
        <v>13</v>
      </c>
      <c r="W468">
        <v>11</v>
      </c>
      <c r="X468" t="s">
        <v>47</v>
      </c>
      <c r="Y468">
        <v>2024</v>
      </c>
      <c r="Z468">
        <v>4</v>
      </c>
      <c r="AA468">
        <v>46</v>
      </c>
    </row>
    <row r="469" spans="1:27" x14ac:dyDescent="0.3">
      <c r="A469" s="2">
        <v>45230</v>
      </c>
      <c r="B469" t="s">
        <v>4</v>
      </c>
      <c r="C469" t="s">
        <v>11</v>
      </c>
      <c r="D469">
        <v>6</v>
      </c>
      <c r="E469">
        <v>202.97</v>
      </c>
      <c r="F469" t="s">
        <v>14</v>
      </c>
      <c r="G469" t="s">
        <v>17</v>
      </c>
      <c r="H469">
        <v>0.1</v>
      </c>
      <c r="I469" t="s">
        <v>18</v>
      </c>
      <c r="J469">
        <v>1096.038</v>
      </c>
      <c r="K469" t="s">
        <v>25</v>
      </c>
      <c r="L469" t="s">
        <v>31</v>
      </c>
      <c r="M469">
        <v>0</v>
      </c>
      <c r="N469" t="s">
        <v>542</v>
      </c>
      <c r="O469" t="s">
        <v>2042</v>
      </c>
      <c r="P469">
        <v>43.55</v>
      </c>
      <c r="Q469">
        <f t="shared" si="7"/>
        <v>182.673</v>
      </c>
      <c r="R469">
        <v>1052.4880000000001</v>
      </c>
      <c r="S469" s="2">
        <v>45230</v>
      </c>
      <c r="T469" s="2">
        <v>45240</v>
      </c>
      <c r="U469" t="s">
        <v>37</v>
      </c>
      <c r="V469">
        <v>31</v>
      </c>
      <c r="W469">
        <v>10</v>
      </c>
      <c r="X469" t="s">
        <v>43</v>
      </c>
      <c r="Y469">
        <v>2023</v>
      </c>
      <c r="Z469">
        <v>4</v>
      </c>
      <c r="AA469">
        <v>44</v>
      </c>
    </row>
    <row r="470" spans="1:27" x14ac:dyDescent="0.3">
      <c r="A470" s="2">
        <v>45279</v>
      </c>
      <c r="B470" t="s">
        <v>3</v>
      </c>
      <c r="C470" t="s">
        <v>10</v>
      </c>
      <c r="D470">
        <v>18</v>
      </c>
      <c r="E470">
        <v>135.22999999999999</v>
      </c>
      <c r="F470" t="s">
        <v>14</v>
      </c>
      <c r="G470" t="s">
        <v>16</v>
      </c>
      <c r="H470">
        <v>0</v>
      </c>
      <c r="I470" t="s">
        <v>22</v>
      </c>
      <c r="J470">
        <v>2434.14</v>
      </c>
      <c r="K470" t="s">
        <v>24</v>
      </c>
      <c r="L470" t="s">
        <v>31</v>
      </c>
      <c r="M470">
        <v>1</v>
      </c>
      <c r="N470" t="s">
        <v>543</v>
      </c>
      <c r="O470" t="s">
        <v>2043</v>
      </c>
      <c r="P470">
        <v>46.1</v>
      </c>
      <c r="Q470">
        <f t="shared" si="7"/>
        <v>135.22999999999999</v>
      </c>
      <c r="R470">
        <v>2388.04</v>
      </c>
      <c r="S470" s="2">
        <v>45279</v>
      </c>
      <c r="T470" s="2">
        <v>45284</v>
      </c>
      <c r="U470" t="s">
        <v>36</v>
      </c>
      <c r="V470">
        <v>19</v>
      </c>
      <c r="W470">
        <v>12</v>
      </c>
      <c r="X470" t="s">
        <v>39</v>
      </c>
      <c r="Y470">
        <v>2023</v>
      </c>
      <c r="Z470">
        <v>4</v>
      </c>
      <c r="AA470">
        <v>51</v>
      </c>
    </row>
    <row r="471" spans="1:27" x14ac:dyDescent="0.3">
      <c r="A471" s="2">
        <v>45257</v>
      </c>
      <c r="B471" t="s">
        <v>1</v>
      </c>
      <c r="C471" t="s">
        <v>10</v>
      </c>
      <c r="D471">
        <v>20</v>
      </c>
      <c r="E471">
        <v>356.4</v>
      </c>
      <c r="F471" t="s">
        <v>14</v>
      </c>
      <c r="G471" t="s">
        <v>16</v>
      </c>
      <c r="H471">
        <v>0.05</v>
      </c>
      <c r="I471" t="s">
        <v>22</v>
      </c>
      <c r="J471">
        <v>6771.5999999999995</v>
      </c>
      <c r="K471" t="s">
        <v>28</v>
      </c>
      <c r="L471" t="s">
        <v>29</v>
      </c>
      <c r="M471">
        <v>1</v>
      </c>
      <c r="N471" t="s">
        <v>544</v>
      </c>
      <c r="O471" t="s">
        <v>2044</v>
      </c>
      <c r="P471">
        <v>26.7</v>
      </c>
      <c r="Q471">
        <f t="shared" si="7"/>
        <v>338.58</v>
      </c>
      <c r="R471">
        <v>6744.9</v>
      </c>
      <c r="S471" s="2">
        <v>45257</v>
      </c>
      <c r="T471" s="2">
        <v>45263</v>
      </c>
      <c r="U471" t="s">
        <v>34</v>
      </c>
      <c r="V471">
        <v>27</v>
      </c>
      <c r="W471">
        <v>11</v>
      </c>
      <c r="X471" t="s">
        <v>47</v>
      </c>
      <c r="Y471">
        <v>2023</v>
      </c>
      <c r="Z471">
        <v>4</v>
      </c>
      <c r="AA471">
        <v>48</v>
      </c>
    </row>
    <row r="472" spans="1:27" x14ac:dyDescent="0.3">
      <c r="A472" s="2">
        <v>45153</v>
      </c>
      <c r="B472" t="s">
        <v>0</v>
      </c>
      <c r="C472" t="s">
        <v>5</v>
      </c>
      <c r="D472">
        <v>3</v>
      </c>
      <c r="E472">
        <v>294.72000000000003</v>
      </c>
      <c r="F472" t="s">
        <v>14</v>
      </c>
      <c r="G472" t="s">
        <v>16</v>
      </c>
      <c r="H472">
        <v>0.05</v>
      </c>
      <c r="I472" t="s">
        <v>19</v>
      </c>
      <c r="J472">
        <v>839.952</v>
      </c>
      <c r="K472" t="s">
        <v>28</v>
      </c>
      <c r="L472" t="s">
        <v>30</v>
      </c>
      <c r="M472">
        <v>0</v>
      </c>
      <c r="N472" t="s">
        <v>545</v>
      </c>
      <c r="O472" t="s">
        <v>2045</v>
      </c>
      <c r="P472">
        <v>45.33</v>
      </c>
      <c r="Q472">
        <f t="shared" si="7"/>
        <v>279.98399999999998</v>
      </c>
      <c r="R472">
        <v>794.62199999999996</v>
      </c>
      <c r="S472" s="2">
        <v>45153</v>
      </c>
      <c r="T472" s="2">
        <v>45156</v>
      </c>
      <c r="U472" t="s">
        <v>33</v>
      </c>
      <c r="V472">
        <v>15</v>
      </c>
      <c r="W472">
        <v>8</v>
      </c>
      <c r="X472" t="s">
        <v>48</v>
      </c>
      <c r="Y472">
        <v>2023</v>
      </c>
      <c r="Z472">
        <v>3</v>
      </c>
      <c r="AA472">
        <v>33</v>
      </c>
    </row>
    <row r="473" spans="1:27" x14ac:dyDescent="0.3">
      <c r="A473" s="2">
        <v>44942</v>
      </c>
      <c r="B473" t="s">
        <v>4</v>
      </c>
      <c r="C473" t="s">
        <v>6</v>
      </c>
      <c r="D473">
        <v>20</v>
      </c>
      <c r="E473">
        <v>553.85</v>
      </c>
      <c r="F473" t="s">
        <v>13</v>
      </c>
      <c r="G473" t="s">
        <v>17</v>
      </c>
      <c r="H473">
        <v>0</v>
      </c>
      <c r="I473" t="s">
        <v>20</v>
      </c>
      <c r="J473">
        <v>11077</v>
      </c>
      <c r="K473" t="s">
        <v>28</v>
      </c>
      <c r="L473" t="s">
        <v>31</v>
      </c>
      <c r="M473">
        <v>0</v>
      </c>
      <c r="N473" t="s">
        <v>546</v>
      </c>
      <c r="O473" t="s">
        <v>2046</v>
      </c>
      <c r="P473">
        <v>33.21</v>
      </c>
      <c r="Q473">
        <f t="shared" si="7"/>
        <v>553.85</v>
      </c>
      <c r="R473">
        <v>11043.79</v>
      </c>
      <c r="S473" s="2">
        <v>44942</v>
      </c>
      <c r="T473" s="2">
        <v>44950</v>
      </c>
      <c r="U473" t="s">
        <v>37</v>
      </c>
      <c r="V473">
        <v>16</v>
      </c>
      <c r="W473">
        <v>1</v>
      </c>
      <c r="X473" t="s">
        <v>42</v>
      </c>
      <c r="Y473">
        <v>2023</v>
      </c>
      <c r="Z473">
        <v>1</v>
      </c>
      <c r="AA473">
        <v>3</v>
      </c>
    </row>
    <row r="474" spans="1:27" x14ac:dyDescent="0.3">
      <c r="A474" s="2">
        <v>45716</v>
      </c>
      <c r="B474" t="s">
        <v>3</v>
      </c>
      <c r="C474" t="s">
        <v>10</v>
      </c>
      <c r="D474">
        <v>13</v>
      </c>
      <c r="E474">
        <v>81.17</v>
      </c>
      <c r="F474" t="s">
        <v>15</v>
      </c>
      <c r="G474" t="s">
        <v>17</v>
      </c>
      <c r="H474">
        <v>0.1</v>
      </c>
      <c r="I474" t="s">
        <v>20</v>
      </c>
      <c r="J474">
        <v>949.68900000000008</v>
      </c>
      <c r="K474" t="s">
        <v>28</v>
      </c>
      <c r="L474" t="s">
        <v>30</v>
      </c>
      <c r="M474">
        <v>1</v>
      </c>
      <c r="N474" t="s">
        <v>547</v>
      </c>
      <c r="O474" t="s">
        <v>2047</v>
      </c>
      <c r="P474">
        <v>48.21</v>
      </c>
      <c r="Q474">
        <f t="shared" si="7"/>
        <v>73.053000000000011</v>
      </c>
      <c r="R474">
        <v>901.47900000000004</v>
      </c>
      <c r="S474" s="2">
        <v>45716</v>
      </c>
      <c r="T474" s="2">
        <v>45724</v>
      </c>
      <c r="U474" t="s">
        <v>36</v>
      </c>
      <c r="V474">
        <v>28</v>
      </c>
      <c r="W474">
        <v>2</v>
      </c>
      <c r="X474" t="s">
        <v>38</v>
      </c>
      <c r="Y474">
        <v>2025</v>
      </c>
      <c r="Z474">
        <v>1</v>
      </c>
      <c r="AA474">
        <v>9</v>
      </c>
    </row>
    <row r="475" spans="1:27" x14ac:dyDescent="0.3">
      <c r="A475" s="2">
        <v>45258</v>
      </c>
      <c r="B475" t="s">
        <v>4</v>
      </c>
      <c r="C475" t="s">
        <v>6</v>
      </c>
      <c r="D475">
        <v>2</v>
      </c>
      <c r="E475">
        <v>532.51</v>
      </c>
      <c r="F475" t="s">
        <v>12</v>
      </c>
      <c r="G475" t="s">
        <v>16</v>
      </c>
      <c r="H475">
        <v>0</v>
      </c>
      <c r="I475" t="s">
        <v>21</v>
      </c>
      <c r="J475">
        <v>1065.02</v>
      </c>
      <c r="K475" t="s">
        <v>26</v>
      </c>
      <c r="L475" t="s">
        <v>31</v>
      </c>
      <c r="M475">
        <v>1</v>
      </c>
      <c r="N475" t="s">
        <v>548</v>
      </c>
      <c r="O475" t="s">
        <v>2048</v>
      </c>
      <c r="P475">
        <v>49.67</v>
      </c>
      <c r="Q475">
        <f t="shared" si="7"/>
        <v>532.51</v>
      </c>
      <c r="R475">
        <v>1015.35</v>
      </c>
      <c r="S475" s="2">
        <v>45258</v>
      </c>
      <c r="T475" s="2">
        <v>45261</v>
      </c>
      <c r="U475" t="s">
        <v>37</v>
      </c>
      <c r="V475">
        <v>28</v>
      </c>
      <c r="W475">
        <v>11</v>
      </c>
      <c r="X475" t="s">
        <v>47</v>
      </c>
      <c r="Y475">
        <v>2023</v>
      </c>
      <c r="Z475">
        <v>4</v>
      </c>
      <c r="AA475">
        <v>48</v>
      </c>
    </row>
    <row r="476" spans="1:27" x14ac:dyDescent="0.3">
      <c r="A476" s="2">
        <v>45264</v>
      </c>
      <c r="B476" t="s">
        <v>4</v>
      </c>
      <c r="C476" t="s">
        <v>11</v>
      </c>
      <c r="D476">
        <v>1</v>
      </c>
      <c r="E476">
        <v>268.19</v>
      </c>
      <c r="F476" t="s">
        <v>12</v>
      </c>
      <c r="G476" t="s">
        <v>16</v>
      </c>
      <c r="H476">
        <v>0.1</v>
      </c>
      <c r="I476" t="s">
        <v>21</v>
      </c>
      <c r="J476">
        <v>241.37100000000001</v>
      </c>
      <c r="K476" t="s">
        <v>25</v>
      </c>
      <c r="L476" t="s">
        <v>31</v>
      </c>
      <c r="M476">
        <v>0</v>
      </c>
      <c r="N476" t="s">
        <v>549</v>
      </c>
      <c r="O476" t="s">
        <v>2049</v>
      </c>
      <c r="P476">
        <v>9.48</v>
      </c>
      <c r="Q476">
        <f t="shared" si="7"/>
        <v>241.37100000000001</v>
      </c>
      <c r="R476">
        <v>231.89100000000002</v>
      </c>
      <c r="S476" s="2">
        <v>45264</v>
      </c>
      <c r="T476" s="2">
        <v>45273</v>
      </c>
      <c r="U476" t="s">
        <v>37</v>
      </c>
      <c r="V476">
        <v>4</v>
      </c>
      <c r="W476">
        <v>12</v>
      </c>
      <c r="X476" t="s">
        <v>39</v>
      </c>
      <c r="Y476">
        <v>2023</v>
      </c>
      <c r="Z476">
        <v>4</v>
      </c>
      <c r="AA476">
        <v>49</v>
      </c>
    </row>
    <row r="477" spans="1:27" x14ac:dyDescent="0.3">
      <c r="A477" s="2">
        <v>45464</v>
      </c>
      <c r="B477" t="s">
        <v>1</v>
      </c>
      <c r="C477" t="s">
        <v>11</v>
      </c>
      <c r="D477">
        <v>17</v>
      </c>
      <c r="E477">
        <v>432.65</v>
      </c>
      <c r="F477" t="s">
        <v>13</v>
      </c>
      <c r="G477" t="s">
        <v>17</v>
      </c>
      <c r="H477">
        <v>0.15</v>
      </c>
      <c r="I477" t="s">
        <v>20</v>
      </c>
      <c r="J477">
        <v>6251.7924999999996</v>
      </c>
      <c r="K477" t="s">
        <v>28</v>
      </c>
      <c r="L477" t="s">
        <v>29</v>
      </c>
      <c r="M477">
        <v>0</v>
      </c>
      <c r="N477" t="s">
        <v>550</v>
      </c>
      <c r="O477" t="s">
        <v>2050</v>
      </c>
      <c r="P477">
        <v>18.850000000000001</v>
      </c>
      <c r="Q477">
        <f t="shared" si="7"/>
        <v>367.7525</v>
      </c>
      <c r="R477">
        <v>6232.9424999999992</v>
      </c>
      <c r="S477" s="2">
        <v>45464</v>
      </c>
      <c r="T477" s="2">
        <v>45472</v>
      </c>
      <c r="U477" t="s">
        <v>34</v>
      </c>
      <c r="V477">
        <v>21</v>
      </c>
      <c r="W477">
        <v>6</v>
      </c>
      <c r="X477" t="s">
        <v>41</v>
      </c>
      <c r="Y477">
        <v>2024</v>
      </c>
      <c r="Z477">
        <v>2</v>
      </c>
      <c r="AA477">
        <v>25</v>
      </c>
    </row>
    <row r="478" spans="1:27" x14ac:dyDescent="0.3">
      <c r="A478" s="2">
        <v>45733</v>
      </c>
      <c r="B478" t="s">
        <v>0</v>
      </c>
      <c r="C478" t="s">
        <v>7</v>
      </c>
      <c r="D478">
        <v>14</v>
      </c>
      <c r="E478">
        <v>123.04</v>
      </c>
      <c r="F478" t="s">
        <v>13</v>
      </c>
      <c r="G478" t="s">
        <v>16</v>
      </c>
      <c r="H478">
        <v>0.1</v>
      </c>
      <c r="I478" t="s">
        <v>22</v>
      </c>
      <c r="J478">
        <v>1550.3040000000001</v>
      </c>
      <c r="K478" t="s">
        <v>28</v>
      </c>
      <c r="L478" t="s">
        <v>31</v>
      </c>
      <c r="M478">
        <v>1</v>
      </c>
      <c r="N478" t="s">
        <v>551</v>
      </c>
      <c r="O478" t="s">
        <v>2051</v>
      </c>
      <c r="P478">
        <v>43.28</v>
      </c>
      <c r="Q478">
        <f t="shared" si="7"/>
        <v>110.736</v>
      </c>
      <c r="R478">
        <v>1507.0240000000001</v>
      </c>
      <c r="S478" s="2">
        <v>45733</v>
      </c>
      <c r="T478" s="2">
        <v>45742</v>
      </c>
      <c r="U478" t="s">
        <v>33</v>
      </c>
      <c r="V478">
        <v>17</v>
      </c>
      <c r="W478">
        <v>3</v>
      </c>
      <c r="X478" t="s">
        <v>44</v>
      </c>
      <c r="Y478">
        <v>2025</v>
      </c>
      <c r="Z478">
        <v>1</v>
      </c>
      <c r="AA478">
        <v>12</v>
      </c>
    </row>
    <row r="479" spans="1:27" x14ac:dyDescent="0.3">
      <c r="A479" s="2">
        <v>45155</v>
      </c>
      <c r="B479" t="s">
        <v>3</v>
      </c>
      <c r="C479" t="s">
        <v>7</v>
      </c>
      <c r="D479">
        <v>16</v>
      </c>
      <c r="E479">
        <v>454.54</v>
      </c>
      <c r="F479" t="s">
        <v>12</v>
      </c>
      <c r="G479" t="s">
        <v>17</v>
      </c>
      <c r="H479">
        <v>0.1</v>
      </c>
      <c r="I479" t="s">
        <v>23</v>
      </c>
      <c r="J479">
        <v>6545.3760000000002</v>
      </c>
      <c r="K479" t="s">
        <v>24</v>
      </c>
      <c r="L479" t="s">
        <v>29</v>
      </c>
      <c r="M479">
        <v>0</v>
      </c>
      <c r="N479" t="s">
        <v>552</v>
      </c>
      <c r="O479" t="s">
        <v>2052</v>
      </c>
      <c r="P479">
        <v>20.55</v>
      </c>
      <c r="Q479">
        <f t="shared" si="7"/>
        <v>409.08600000000001</v>
      </c>
      <c r="R479">
        <v>6524.826</v>
      </c>
      <c r="S479" s="2">
        <v>45155</v>
      </c>
      <c r="T479" s="2">
        <v>45157</v>
      </c>
      <c r="U479" t="s">
        <v>36</v>
      </c>
      <c r="V479">
        <v>17</v>
      </c>
      <c r="W479">
        <v>8</v>
      </c>
      <c r="X479" t="s">
        <v>48</v>
      </c>
      <c r="Y479">
        <v>2023</v>
      </c>
      <c r="Z479">
        <v>3</v>
      </c>
      <c r="AA479">
        <v>33</v>
      </c>
    </row>
    <row r="480" spans="1:27" x14ac:dyDescent="0.3">
      <c r="A480" s="2">
        <v>45168</v>
      </c>
      <c r="B480" t="s">
        <v>3</v>
      </c>
      <c r="C480" t="s">
        <v>9</v>
      </c>
      <c r="D480">
        <v>11</v>
      </c>
      <c r="E480">
        <v>414.58</v>
      </c>
      <c r="F480" t="s">
        <v>15</v>
      </c>
      <c r="G480" t="s">
        <v>16</v>
      </c>
      <c r="H480">
        <v>0.05</v>
      </c>
      <c r="I480" t="s">
        <v>22</v>
      </c>
      <c r="J480">
        <v>4332.3609999999999</v>
      </c>
      <c r="K480" t="s">
        <v>28</v>
      </c>
      <c r="L480" t="s">
        <v>31</v>
      </c>
      <c r="M480">
        <v>0</v>
      </c>
      <c r="N480" t="s">
        <v>553</v>
      </c>
      <c r="O480" t="s">
        <v>2053</v>
      </c>
      <c r="P480">
        <v>25.33</v>
      </c>
      <c r="Q480">
        <f t="shared" si="7"/>
        <v>393.851</v>
      </c>
      <c r="R480">
        <v>4307.0309999999999</v>
      </c>
      <c r="S480" s="2">
        <v>45168</v>
      </c>
      <c r="T480" s="2">
        <v>45174</v>
      </c>
      <c r="U480" t="s">
        <v>36</v>
      </c>
      <c r="V480">
        <v>30</v>
      </c>
      <c r="W480">
        <v>8</v>
      </c>
      <c r="X480" t="s">
        <v>48</v>
      </c>
      <c r="Y480">
        <v>2023</v>
      </c>
      <c r="Z480">
        <v>3</v>
      </c>
      <c r="AA480">
        <v>35</v>
      </c>
    </row>
    <row r="481" spans="1:27" x14ac:dyDescent="0.3">
      <c r="A481" s="2">
        <v>45824</v>
      </c>
      <c r="B481" t="s">
        <v>0</v>
      </c>
      <c r="C481" t="s">
        <v>6</v>
      </c>
      <c r="D481">
        <v>9</v>
      </c>
      <c r="E481">
        <v>352.91</v>
      </c>
      <c r="F481" t="s">
        <v>12</v>
      </c>
      <c r="G481" t="s">
        <v>16</v>
      </c>
      <c r="H481">
        <v>0.1</v>
      </c>
      <c r="I481" t="s">
        <v>23</v>
      </c>
      <c r="J481">
        <v>2858.5709999999999</v>
      </c>
      <c r="K481" t="s">
        <v>28</v>
      </c>
      <c r="L481" t="s">
        <v>29</v>
      </c>
      <c r="M481">
        <v>0</v>
      </c>
      <c r="N481" t="s">
        <v>554</v>
      </c>
      <c r="O481" t="s">
        <v>2054</v>
      </c>
      <c r="P481">
        <v>30.57</v>
      </c>
      <c r="Q481">
        <f t="shared" si="7"/>
        <v>317.61899999999997</v>
      </c>
      <c r="R481">
        <v>2828.0009999999997</v>
      </c>
      <c r="S481" s="2">
        <v>45824</v>
      </c>
      <c r="T481" s="2">
        <v>45826</v>
      </c>
      <c r="U481" t="s">
        <v>33</v>
      </c>
      <c r="V481">
        <v>16</v>
      </c>
      <c r="W481">
        <v>6</v>
      </c>
      <c r="X481" t="s">
        <v>41</v>
      </c>
      <c r="Y481">
        <v>2025</v>
      </c>
      <c r="Z481">
        <v>2</v>
      </c>
      <c r="AA481">
        <v>25</v>
      </c>
    </row>
    <row r="482" spans="1:27" x14ac:dyDescent="0.3">
      <c r="A482" s="2">
        <v>45106</v>
      </c>
      <c r="B482" t="s">
        <v>2</v>
      </c>
      <c r="C482" t="s">
        <v>8</v>
      </c>
      <c r="D482">
        <v>10</v>
      </c>
      <c r="E482">
        <v>126.46</v>
      </c>
      <c r="F482" t="s">
        <v>13</v>
      </c>
      <c r="G482" t="s">
        <v>17</v>
      </c>
      <c r="H482">
        <v>0.1</v>
      </c>
      <c r="I482" t="s">
        <v>18</v>
      </c>
      <c r="J482">
        <v>1138.1400000000001</v>
      </c>
      <c r="K482" t="s">
        <v>24</v>
      </c>
      <c r="L482" t="s">
        <v>31</v>
      </c>
      <c r="M482">
        <v>0</v>
      </c>
      <c r="N482" t="s">
        <v>555</v>
      </c>
      <c r="O482" t="s">
        <v>2055</v>
      </c>
      <c r="P482">
        <v>26.96</v>
      </c>
      <c r="Q482">
        <f t="shared" si="7"/>
        <v>113.81400000000001</v>
      </c>
      <c r="R482">
        <v>1111.18</v>
      </c>
      <c r="S482" s="2">
        <v>45106</v>
      </c>
      <c r="T482" s="2">
        <v>45116</v>
      </c>
      <c r="U482" t="s">
        <v>35</v>
      </c>
      <c r="V482">
        <v>29</v>
      </c>
      <c r="W482">
        <v>6</v>
      </c>
      <c r="X482" t="s">
        <v>41</v>
      </c>
      <c r="Y482">
        <v>2023</v>
      </c>
      <c r="Z482">
        <v>2</v>
      </c>
      <c r="AA482">
        <v>26</v>
      </c>
    </row>
    <row r="483" spans="1:27" x14ac:dyDescent="0.3">
      <c r="A483" s="2">
        <v>45151</v>
      </c>
      <c r="B483" t="s">
        <v>2</v>
      </c>
      <c r="C483" t="s">
        <v>9</v>
      </c>
      <c r="D483">
        <v>7</v>
      </c>
      <c r="E483">
        <v>125.02</v>
      </c>
      <c r="F483" t="s">
        <v>15</v>
      </c>
      <c r="G483" t="s">
        <v>16</v>
      </c>
      <c r="H483">
        <v>0</v>
      </c>
      <c r="I483" t="s">
        <v>21</v>
      </c>
      <c r="J483">
        <v>875.14</v>
      </c>
      <c r="K483" t="s">
        <v>26</v>
      </c>
      <c r="L483" t="s">
        <v>29</v>
      </c>
      <c r="M483">
        <v>0</v>
      </c>
      <c r="N483" t="s">
        <v>556</v>
      </c>
      <c r="O483" t="s">
        <v>2056</v>
      </c>
      <c r="P483">
        <v>12.45</v>
      </c>
      <c r="Q483">
        <f t="shared" si="7"/>
        <v>125.02</v>
      </c>
      <c r="R483">
        <v>862.68999999999994</v>
      </c>
      <c r="S483" s="2">
        <v>45151</v>
      </c>
      <c r="T483" s="2">
        <v>45158</v>
      </c>
      <c r="U483" t="s">
        <v>35</v>
      </c>
      <c r="V483">
        <v>13</v>
      </c>
      <c r="W483">
        <v>8</v>
      </c>
      <c r="X483" t="s">
        <v>48</v>
      </c>
      <c r="Y483">
        <v>2023</v>
      </c>
      <c r="Z483">
        <v>3</v>
      </c>
      <c r="AA483">
        <v>32</v>
      </c>
    </row>
    <row r="484" spans="1:27" x14ac:dyDescent="0.3">
      <c r="A484" s="2">
        <v>45411</v>
      </c>
      <c r="B484" t="s">
        <v>4</v>
      </c>
      <c r="C484" t="s">
        <v>10</v>
      </c>
      <c r="D484">
        <v>20</v>
      </c>
      <c r="E484">
        <v>367.24</v>
      </c>
      <c r="F484" t="s">
        <v>13</v>
      </c>
      <c r="G484" t="s">
        <v>16</v>
      </c>
      <c r="H484">
        <v>0.05</v>
      </c>
      <c r="I484" t="s">
        <v>21</v>
      </c>
      <c r="J484">
        <v>6977.5599999999986</v>
      </c>
      <c r="K484" t="s">
        <v>25</v>
      </c>
      <c r="L484" t="s">
        <v>29</v>
      </c>
      <c r="M484">
        <v>0</v>
      </c>
      <c r="N484" t="s">
        <v>557</v>
      </c>
      <c r="O484" t="s">
        <v>2057</v>
      </c>
      <c r="P484">
        <v>45.67</v>
      </c>
      <c r="Q484">
        <f t="shared" si="7"/>
        <v>348.87799999999993</v>
      </c>
      <c r="R484">
        <v>6931.8899999999985</v>
      </c>
      <c r="S484" s="2">
        <v>45411</v>
      </c>
      <c r="T484" s="2">
        <v>45419</v>
      </c>
      <c r="U484" t="s">
        <v>37</v>
      </c>
      <c r="V484">
        <v>29</v>
      </c>
      <c r="W484">
        <v>4</v>
      </c>
      <c r="X484" t="s">
        <v>45</v>
      </c>
      <c r="Y484">
        <v>2024</v>
      </c>
      <c r="Z484">
        <v>2</v>
      </c>
      <c r="AA484">
        <v>18</v>
      </c>
    </row>
    <row r="485" spans="1:27" x14ac:dyDescent="0.3">
      <c r="A485" s="2">
        <v>45122</v>
      </c>
      <c r="B485" t="s">
        <v>4</v>
      </c>
      <c r="C485" t="s">
        <v>9</v>
      </c>
      <c r="D485">
        <v>8</v>
      </c>
      <c r="E485">
        <v>432.12</v>
      </c>
      <c r="F485" t="s">
        <v>12</v>
      </c>
      <c r="G485" t="s">
        <v>17</v>
      </c>
      <c r="H485">
        <v>0</v>
      </c>
      <c r="I485" t="s">
        <v>22</v>
      </c>
      <c r="J485">
        <v>3456.96</v>
      </c>
      <c r="K485" t="s">
        <v>26</v>
      </c>
      <c r="L485" t="s">
        <v>31</v>
      </c>
      <c r="M485">
        <v>0</v>
      </c>
      <c r="N485" t="s">
        <v>558</v>
      </c>
      <c r="O485" t="s">
        <v>2058</v>
      </c>
      <c r="P485">
        <v>42.1</v>
      </c>
      <c r="Q485">
        <f t="shared" si="7"/>
        <v>432.12</v>
      </c>
      <c r="R485">
        <v>3414.86</v>
      </c>
      <c r="S485" s="2">
        <v>45122</v>
      </c>
      <c r="T485" s="2">
        <v>45132</v>
      </c>
      <c r="U485" t="s">
        <v>37</v>
      </c>
      <c r="V485">
        <v>15</v>
      </c>
      <c r="W485">
        <v>7</v>
      </c>
      <c r="X485" t="s">
        <v>46</v>
      </c>
      <c r="Y485">
        <v>2023</v>
      </c>
      <c r="Z485">
        <v>3</v>
      </c>
      <c r="AA485">
        <v>28</v>
      </c>
    </row>
    <row r="486" spans="1:27" x14ac:dyDescent="0.3">
      <c r="A486" s="2">
        <v>45674</v>
      </c>
      <c r="B486" t="s">
        <v>2</v>
      </c>
      <c r="C486" t="s">
        <v>10</v>
      </c>
      <c r="D486">
        <v>3</v>
      </c>
      <c r="E486">
        <v>13.33</v>
      </c>
      <c r="F486" t="s">
        <v>15</v>
      </c>
      <c r="G486" t="s">
        <v>17</v>
      </c>
      <c r="H486">
        <v>0.1</v>
      </c>
      <c r="I486" t="s">
        <v>18</v>
      </c>
      <c r="J486">
        <v>35.991</v>
      </c>
      <c r="K486" t="s">
        <v>28</v>
      </c>
      <c r="L486" t="s">
        <v>30</v>
      </c>
      <c r="M486">
        <v>0</v>
      </c>
      <c r="N486" t="s">
        <v>559</v>
      </c>
      <c r="O486" t="s">
        <v>2059</v>
      </c>
      <c r="P486">
        <v>17.62</v>
      </c>
      <c r="Q486">
        <f t="shared" si="7"/>
        <v>11.997</v>
      </c>
      <c r="R486">
        <v>18.370999999999999</v>
      </c>
      <c r="S486" s="2">
        <v>45674</v>
      </c>
      <c r="T486" s="2">
        <v>45680</v>
      </c>
      <c r="U486" t="s">
        <v>35</v>
      </c>
      <c r="V486">
        <v>17</v>
      </c>
      <c r="W486">
        <v>1</v>
      </c>
      <c r="X486" t="s">
        <v>42</v>
      </c>
      <c r="Y486">
        <v>2025</v>
      </c>
      <c r="Z486">
        <v>1</v>
      </c>
      <c r="AA486">
        <v>3</v>
      </c>
    </row>
    <row r="487" spans="1:27" x14ac:dyDescent="0.3">
      <c r="A487" s="2">
        <v>45709</v>
      </c>
      <c r="B487" t="s">
        <v>0</v>
      </c>
      <c r="C487" t="s">
        <v>11</v>
      </c>
      <c r="D487">
        <v>13</v>
      </c>
      <c r="E487">
        <v>105.93</v>
      </c>
      <c r="F487" t="s">
        <v>14</v>
      </c>
      <c r="G487" t="s">
        <v>17</v>
      </c>
      <c r="H487">
        <v>0</v>
      </c>
      <c r="I487" t="s">
        <v>23</v>
      </c>
      <c r="J487">
        <v>1377.09</v>
      </c>
      <c r="K487" t="s">
        <v>27</v>
      </c>
      <c r="L487" t="s">
        <v>29</v>
      </c>
      <c r="M487">
        <v>0</v>
      </c>
      <c r="N487" t="s">
        <v>560</v>
      </c>
      <c r="O487" t="s">
        <v>2060</v>
      </c>
      <c r="P487">
        <v>38.96</v>
      </c>
      <c r="Q487">
        <f t="shared" si="7"/>
        <v>105.92999999999999</v>
      </c>
      <c r="R487">
        <v>1338.1299999999999</v>
      </c>
      <c r="S487" s="2">
        <v>45709</v>
      </c>
      <c r="T487" s="2">
        <v>45719</v>
      </c>
      <c r="U487" t="s">
        <v>33</v>
      </c>
      <c r="V487">
        <v>21</v>
      </c>
      <c r="W487">
        <v>2</v>
      </c>
      <c r="X487" t="s">
        <v>38</v>
      </c>
      <c r="Y487">
        <v>2025</v>
      </c>
      <c r="Z487">
        <v>1</v>
      </c>
      <c r="AA487">
        <v>8</v>
      </c>
    </row>
    <row r="488" spans="1:27" x14ac:dyDescent="0.3">
      <c r="A488" s="2">
        <v>45126</v>
      </c>
      <c r="B488" t="s">
        <v>4</v>
      </c>
      <c r="C488" t="s">
        <v>9</v>
      </c>
      <c r="D488">
        <v>20</v>
      </c>
      <c r="E488">
        <v>526.54999999999995</v>
      </c>
      <c r="F488" t="s">
        <v>13</v>
      </c>
      <c r="G488" t="s">
        <v>16</v>
      </c>
      <c r="H488">
        <v>0</v>
      </c>
      <c r="I488" t="s">
        <v>19</v>
      </c>
      <c r="J488">
        <v>10531</v>
      </c>
      <c r="K488" t="s">
        <v>27</v>
      </c>
      <c r="L488" t="s">
        <v>29</v>
      </c>
      <c r="M488">
        <v>1</v>
      </c>
      <c r="N488" t="s">
        <v>561</v>
      </c>
      <c r="O488" t="s">
        <v>2061</v>
      </c>
      <c r="P488">
        <v>25.64</v>
      </c>
      <c r="Q488">
        <f t="shared" si="7"/>
        <v>526.54999999999995</v>
      </c>
      <c r="R488">
        <v>10505.36</v>
      </c>
      <c r="S488" s="2">
        <v>45126</v>
      </c>
      <c r="T488" s="2">
        <v>45133</v>
      </c>
      <c r="U488" t="s">
        <v>37</v>
      </c>
      <c r="V488">
        <v>19</v>
      </c>
      <c r="W488">
        <v>7</v>
      </c>
      <c r="X488" t="s">
        <v>46</v>
      </c>
      <c r="Y488">
        <v>2023</v>
      </c>
      <c r="Z488">
        <v>3</v>
      </c>
      <c r="AA488">
        <v>29</v>
      </c>
    </row>
    <row r="489" spans="1:27" x14ac:dyDescent="0.3">
      <c r="A489" s="2">
        <v>45564</v>
      </c>
      <c r="B489" t="s">
        <v>4</v>
      </c>
      <c r="C489" t="s">
        <v>6</v>
      </c>
      <c r="D489">
        <v>11</v>
      </c>
      <c r="E489">
        <v>339.78</v>
      </c>
      <c r="F489" t="s">
        <v>13</v>
      </c>
      <c r="G489" t="s">
        <v>17</v>
      </c>
      <c r="H489">
        <v>0.05</v>
      </c>
      <c r="I489" t="s">
        <v>22</v>
      </c>
      <c r="J489">
        <v>3550.701</v>
      </c>
      <c r="K489" t="s">
        <v>27</v>
      </c>
      <c r="L489" t="s">
        <v>31</v>
      </c>
      <c r="M489">
        <v>1</v>
      </c>
      <c r="N489" t="s">
        <v>562</v>
      </c>
      <c r="O489" t="s">
        <v>2062</v>
      </c>
      <c r="P489">
        <v>11.56</v>
      </c>
      <c r="Q489">
        <f t="shared" si="7"/>
        <v>322.791</v>
      </c>
      <c r="R489">
        <v>3539.1410000000001</v>
      </c>
      <c r="S489" s="2">
        <v>45564</v>
      </c>
      <c r="T489" s="2">
        <v>45571</v>
      </c>
      <c r="U489" t="s">
        <v>37</v>
      </c>
      <c r="V489">
        <v>29</v>
      </c>
      <c r="W489">
        <v>9</v>
      </c>
      <c r="X489" t="s">
        <v>49</v>
      </c>
      <c r="Y489">
        <v>2024</v>
      </c>
      <c r="Z489">
        <v>3</v>
      </c>
      <c r="AA489">
        <v>39</v>
      </c>
    </row>
    <row r="490" spans="1:27" x14ac:dyDescent="0.3">
      <c r="A490" s="2">
        <v>45582</v>
      </c>
      <c r="B490" t="s">
        <v>0</v>
      </c>
      <c r="C490" t="s">
        <v>5</v>
      </c>
      <c r="D490">
        <v>10</v>
      </c>
      <c r="E490">
        <v>91.75</v>
      </c>
      <c r="F490" t="s">
        <v>15</v>
      </c>
      <c r="G490" t="s">
        <v>16</v>
      </c>
      <c r="H490">
        <v>0.15</v>
      </c>
      <c r="I490" t="s">
        <v>20</v>
      </c>
      <c r="J490">
        <v>779.875</v>
      </c>
      <c r="K490" t="s">
        <v>28</v>
      </c>
      <c r="L490" t="s">
        <v>31</v>
      </c>
      <c r="M490">
        <v>0</v>
      </c>
      <c r="N490" t="s">
        <v>563</v>
      </c>
      <c r="O490" t="s">
        <v>2063</v>
      </c>
      <c r="P490">
        <v>37.270000000000003</v>
      </c>
      <c r="Q490">
        <f t="shared" si="7"/>
        <v>77.987499999999997</v>
      </c>
      <c r="R490">
        <v>742.60500000000002</v>
      </c>
      <c r="S490" s="2">
        <v>45582</v>
      </c>
      <c r="T490" s="2">
        <v>45586</v>
      </c>
      <c r="U490" t="s">
        <v>33</v>
      </c>
      <c r="V490">
        <v>17</v>
      </c>
      <c r="W490">
        <v>10</v>
      </c>
      <c r="X490" t="s">
        <v>43</v>
      </c>
      <c r="Y490">
        <v>2024</v>
      </c>
      <c r="Z490">
        <v>4</v>
      </c>
      <c r="AA490">
        <v>42</v>
      </c>
    </row>
    <row r="491" spans="1:27" x14ac:dyDescent="0.3">
      <c r="A491" s="2">
        <v>45819</v>
      </c>
      <c r="B491" t="s">
        <v>0</v>
      </c>
      <c r="C491" t="s">
        <v>6</v>
      </c>
      <c r="D491">
        <v>15</v>
      </c>
      <c r="E491">
        <v>13.66</v>
      </c>
      <c r="F491" t="s">
        <v>12</v>
      </c>
      <c r="G491" t="s">
        <v>17</v>
      </c>
      <c r="H491">
        <v>0.1</v>
      </c>
      <c r="I491" t="s">
        <v>19</v>
      </c>
      <c r="J491">
        <v>184.41</v>
      </c>
      <c r="K491" t="s">
        <v>27</v>
      </c>
      <c r="L491" t="s">
        <v>29</v>
      </c>
      <c r="M491">
        <v>0</v>
      </c>
      <c r="N491" t="s">
        <v>564</v>
      </c>
      <c r="O491" t="s">
        <v>2064</v>
      </c>
      <c r="P491">
        <v>38.04</v>
      </c>
      <c r="Q491">
        <f t="shared" si="7"/>
        <v>12.294</v>
      </c>
      <c r="R491">
        <v>146.37</v>
      </c>
      <c r="S491" s="2">
        <v>45819</v>
      </c>
      <c r="T491" s="2">
        <v>45825</v>
      </c>
      <c r="U491" t="s">
        <v>33</v>
      </c>
      <c r="V491">
        <v>11</v>
      </c>
      <c r="W491">
        <v>6</v>
      </c>
      <c r="X491" t="s">
        <v>41</v>
      </c>
      <c r="Y491">
        <v>2025</v>
      </c>
      <c r="Z491">
        <v>2</v>
      </c>
      <c r="AA491">
        <v>24</v>
      </c>
    </row>
    <row r="492" spans="1:27" x14ac:dyDescent="0.3">
      <c r="A492" s="2">
        <v>45310</v>
      </c>
      <c r="B492" t="s">
        <v>4</v>
      </c>
      <c r="C492" t="s">
        <v>7</v>
      </c>
      <c r="D492">
        <v>6</v>
      </c>
      <c r="E492">
        <v>148.22999999999999</v>
      </c>
      <c r="F492" t="s">
        <v>12</v>
      </c>
      <c r="G492" t="s">
        <v>17</v>
      </c>
      <c r="H492">
        <v>0.1</v>
      </c>
      <c r="I492" t="s">
        <v>18</v>
      </c>
      <c r="J492">
        <v>800.44199999999989</v>
      </c>
      <c r="K492" t="s">
        <v>26</v>
      </c>
      <c r="L492" t="s">
        <v>29</v>
      </c>
      <c r="M492">
        <v>0</v>
      </c>
      <c r="N492" t="s">
        <v>565</v>
      </c>
      <c r="O492" t="s">
        <v>2065</v>
      </c>
      <c r="P492">
        <v>19.579999999999998</v>
      </c>
      <c r="Q492">
        <f t="shared" si="7"/>
        <v>133.40699999999998</v>
      </c>
      <c r="R492">
        <v>780.86199999999985</v>
      </c>
      <c r="S492" s="2">
        <v>45310</v>
      </c>
      <c r="T492" s="2">
        <v>45320</v>
      </c>
      <c r="U492" t="s">
        <v>37</v>
      </c>
      <c r="V492">
        <v>19</v>
      </c>
      <c r="W492">
        <v>1</v>
      </c>
      <c r="X492" t="s">
        <v>42</v>
      </c>
      <c r="Y492">
        <v>2024</v>
      </c>
      <c r="Z492">
        <v>1</v>
      </c>
      <c r="AA492">
        <v>3</v>
      </c>
    </row>
    <row r="493" spans="1:27" x14ac:dyDescent="0.3">
      <c r="A493" s="2">
        <v>45263</v>
      </c>
      <c r="B493" t="s">
        <v>0</v>
      </c>
      <c r="C493" t="s">
        <v>8</v>
      </c>
      <c r="D493">
        <v>11</v>
      </c>
      <c r="E493">
        <v>495.03</v>
      </c>
      <c r="F493" t="s">
        <v>15</v>
      </c>
      <c r="G493" t="s">
        <v>16</v>
      </c>
      <c r="H493">
        <v>0.15</v>
      </c>
      <c r="I493" t="s">
        <v>20</v>
      </c>
      <c r="J493">
        <v>4628.5304999999998</v>
      </c>
      <c r="K493" t="s">
        <v>28</v>
      </c>
      <c r="L493" t="s">
        <v>31</v>
      </c>
      <c r="M493">
        <v>0</v>
      </c>
      <c r="N493" t="s">
        <v>566</v>
      </c>
      <c r="O493" t="s">
        <v>2066</v>
      </c>
      <c r="P493">
        <v>27.37</v>
      </c>
      <c r="Q493">
        <f t="shared" si="7"/>
        <v>420.77549999999997</v>
      </c>
      <c r="R493">
        <v>4601.1605</v>
      </c>
      <c r="S493" s="2">
        <v>45263</v>
      </c>
      <c r="T493" s="2">
        <v>45265</v>
      </c>
      <c r="U493" t="s">
        <v>33</v>
      </c>
      <c r="V493">
        <v>3</v>
      </c>
      <c r="W493">
        <v>12</v>
      </c>
      <c r="X493" t="s">
        <v>39</v>
      </c>
      <c r="Y493">
        <v>2023</v>
      </c>
      <c r="Z493">
        <v>4</v>
      </c>
      <c r="AA493">
        <v>48</v>
      </c>
    </row>
    <row r="494" spans="1:27" x14ac:dyDescent="0.3">
      <c r="A494" s="2">
        <v>45462</v>
      </c>
      <c r="B494" t="s">
        <v>3</v>
      </c>
      <c r="C494" t="s">
        <v>8</v>
      </c>
      <c r="D494">
        <v>6</v>
      </c>
      <c r="E494">
        <v>247.2</v>
      </c>
      <c r="F494" t="s">
        <v>13</v>
      </c>
      <c r="G494" t="s">
        <v>16</v>
      </c>
      <c r="H494">
        <v>0.05</v>
      </c>
      <c r="I494" t="s">
        <v>22</v>
      </c>
      <c r="J494">
        <v>1409.04</v>
      </c>
      <c r="K494" t="s">
        <v>26</v>
      </c>
      <c r="L494" t="s">
        <v>29</v>
      </c>
      <c r="M494">
        <v>0</v>
      </c>
      <c r="N494" t="s">
        <v>567</v>
      </c>
      <c r="O494" t="s">
        <v>2067</v>
      </c>
      <c r="P494">
        <v>18.75</v>
      </c>
      <c r="Q494">
        <f t="shared" si="7"/>
        <v>234.84</v>
      </c>
      <c r="R494">
        <v>1390.29</v>
      </c>
      <c r="S494" s="2">
        <v>45462</v>
      </c>
      <c r="T494" s="2">
        <v>45470</v>
      </c>
      <c r="U494" t="s">
        <v>36</v>
      </c>
      <c r="V494">
        <v>19</v>
      </c>
      <c r="W494">
        <v>6</v>
      </c>
      <c r="X494" t="s">
        <v>41</v>
      </c>
      <c r="Y494">
        <v>2024</v>
      </c>
      <c r="Z494">
        <v>2</v>
      </c>
      <c r="AA494">
        <v>25</v>
      </c>
    </row>
    <row r="495" spans="1:27" x14ac:dyDescent="0.3">
      <c r="A495" s="2">
        <v>45581</v>
      </c>
      <c r="B495" t="s">
        <v>4</v>
      </c>
      <c r="C495" t="s">
        <v>10</v>
      </c>
      <c r="D495">
        <v>19</v>
      </c>
      <c r="E495">
        <v>207.45</v>
      </c>
      <c r="F495" t="s">
        <v>14</v>
      </c>
      <c r="G495" t="s">
        <v>17</v>
      </c>
      <c r="H495">
        <v>0.05</v>
      </c>
      <c r="I495" t="s">
        <v>23</v>
      </c>
      <c r="J495">
        <v>3744.4724999999989</v>
      </c>
      <c r="K495" t="s">
        <v>27</v>
      </c>
      <c r="L495" t="s">
        <v>30</v>
      </c>
      <c r="M495">
        <v>0</v>
      </c>
      <c r="N495" t="s">
        <v>568</v>
      </c>
      <c r="O495" t="s">
        <v>2068</v>
      </c>
      <c r="P495">
        <v>11.5</v>
      </c>
      <c r="Q495">
        <f t="shared" si="7"/>
        <v>197.07749999999996</v>
      </c>
      <c r="R495">
        <v>3732.9724999999989</v>
      </c>
      <c r="S495" s="2">
        <v>45581</v>
      </c>
      <c r="T495" s="2">
        <v>45586</v>
      </c>
      <c r="U495" t="s">
        <v>37</v>
      </c>
      <c r="V495">
        <v>16</v>
      </c>
      <c r="W495">
        <v>10</v>
      </c>
      <c r="X495" t="s">
        <v>43</v>
      </c>
      <c r="Y495">
        <v>2024</v>
      </c>
      <c r="Z495">
        <v>4</v>
      </c>
      <c r="AA495">
        <v>42</v>
      </c>
    </row>
    <row r="496" spans="1:27" x14ac:dyDescent="0.3">
      <c r="A496" s="2">
        <v>45680</v>
      </c>
      <c r="B496" t="s">
        <v>0</v>
      </c>
      <c r="C496" t="s">
        <v>5</v>
      </c>
      <c r="D496">
        <v>2</v>
      </c>
      <c r="E496">
        <v>370.78</v>
      </c>
      <c r="F496" t="s">
        <v>15</v>
      </c>
      <c r="G496" t="s">
        <v>16</v>
      </c>
      <c r="H496">
        <v>0.15</v>
      </c>
      <c r="I496" t="s">
        <v>22</v>
      </c>
      <c r="J496">
        <v>630.32599999999991</v>
      </c>
      <c r="K496" t="s">
        <v>24</v>
      </c>
      <c r="L496" t="s">
        <v>29</v>
      </c>
      <c r="M496">
        <v>0</v>
      </c>
      <c r="N496" t="s">
        <v>569</v>
      </c>
      <c r="O496" t="s">
        <v>2069</v>
      </c>
      <c r="P496">
        <v>20.45</v>
      </c>
      <c r="Q496">
        <f t="shared" si="7"/>
        <v>315.16299999999995</v>
      </c>
      <c r="R496">
        <v>609.87599999999986</v>
      </c>
      <c r="S496" s="2">
        <v>45680</v>
      </c>
      <c r="T496" s="2">
        <v>45684</v>
      </c>
      <c r="U496" t="s">
        <v>33</v>
      </c>
      <c r="V496">
        <v>23</v>
      </c>
      <c r="W496">
        <v>1</v>
      </c>
      <c r="X496" t="s">
        <v>42</v>
      </c>
      <c r="Y496">
        <v>2025</v>
      </c>
      <c r="Z496">
        <v>1</v>
      </c>
      <c r="AA496">
        <v>4</v>
      </c>
    </row>
    <row r="497" spans="1:27" x14ac:dyDescent="0.3">
      <c r="A497" s="2">
        <v>45201</v>
      </c>
      <c r="B497" t="s">
        <v>3</v>
      </c>
      <c r="C497" t="s">
        <v>5</v>
      </c>
      <c r="D497">
        <v>9</v>
      </c>
      <c r="E497">
        <v>146.72</v>
      </c>
      <c r="F497" t="s">
        <v>13</v>
      </c>
      <c r="G497" t="s">
        <v>16</v>
      </c>
      <c r="H497">
        <v>0.1</v>
      </c>
      <c r="I497" t="s">
        <v>22</v>
      </c>
      <c r="J497">
        <v>1188.432</v>
      </c>
      <c r="K497" t="s">
        <v>26</v>
      </c>
      <c r="L497" t="s">
        <v>32</v>
      </c>
      <c r="M497">
        <v>0</v>
      </c>
      <c r="N497" t="s">
        <v>570</v>
      </c>
      <c r="O497" t="s">
        <v>2070</v>
      </c>
      <c r="P497">
        <v>10.45</v>
      </c>
      <c r="Q497">
        <f t="shared" si="7"/>
        <v>132.048</v>
      </c>
      <c r="R497">
        <v>1177.982</v>
      </c>
      <c r="S497" s="2">
        <v>45201</v>
      </c>
      <c r="T497" s="2">
        <v>45209</v>
      </c>
      <c r="U497" t="s">
        <v>36</v>
      </c>
      <c r="V497">
        <v>2</v>
      </c>
      <c r="W497">
        <v>10</v>
      </c>
      <c r="X497" t="s">
        <v>43</v>
      </c>
      <c r="Y497">
        <v>2023</v>
      </c>
      <c r="Z497">
        <v>4</v>
      </c>
      <c r="AA497">
        <v>40</v>
      </c>
    </row>
    <row r="498" spans="1:27" x14ac:dyDescent="0.3">
      <c r="A498" s="2">
        <v>45235</v>
      </c>
      <c r="B498" t="s">
        <v>0</v>
      </c>
      <c r="C498" t="s">
        <v>7</v>
      </c>
      <c r="D498">
        <v>12</v>
      </c>
      <c r="E498">
        <v>159.85</v>
      </c>
      <c r="F498" t="s">
        <v>15</v>
      </c>
      <c r="G498" t="s">
        <v>17</v>
      </c>
      <c r="H498">
        <v>0.1</v>
      </c>
      <c r="I498" t="s">
        <v>19</v>
      </c>
      <c r="J498">
        <v>1726.38</v>
      </c>
      <c r="K498" t="s">
        <v>28</v>
      </c>
      <c r="L498" t="s">
        <v>31</v>
      </c>
      <c r="M498">
        <v>0</v>
      </c>
      <c r="N498" t="s">
        <v>571</v>
      </c>
      <c r="O498" t="s">
        <v>2071</v>
      </c>
      <c r="P498">
        <v>32.61</v>
      </c>
      <c r="Q498">
        <f t="shared" si="7"/>
        <v>143.86500000000001</v>
      </c>
      <c r="R498">
        <v>1693.7700000000002</v>
      </c>
      <c r="S498" s="2">
        <v>45235</v>
      </c>
      <c r="T498" s="2">
        <v>45237</v>
      </c>
      <c r="U498" t="s">
        <v>33</v>
      </c>
      <c r="V498">
        <v>5</v>
      </c>
      <c r="W498">
        <v>11</v>
      </c>
      <c r="X498" t="s">
        <v>47</v>
      </c>
      <c r="Y498">
        <v>2023</v>
      </c>
      <c r="Z498">
        <v>4</v>
      </c>
      <c r="AA498">
        <v>44</v>
      </c>
    </row>
    <row r="499" spans="1:27" x14ac:dyDescent="0.3">
      <c r="A499" s="2">
        <v>45095</v>
      </c>
      <c r="B499" t="s">
        <v>1</v>
      </c>
      <c r="C499" t="s">
        <v>11</v>
      </c>
      <c r="D499">
        <v>13</v>
      </c>
      <c r="E499">
        <v>181.68</v>
      </c>
      <c r="F499" t="s">
        <v>14</v>
      </c>
      <c r="G499" t="s">
        <v>16</v>
      </c>
      <c r="H499">
        <v>0.05</v>
      </c>
      <c r="I499" t="s">
        <v>22</v>
      </c>
      <c r="J499">
        <v>2243.748</v>
      </c>
      <c r="K499" t="s">
        <v>25</v>
      </c>
      <c r="L499" t="s">
        <v>30</v>
      </c>
      <c r="M499">
        <v>0</v>
      </c>
      <c r="N499" t="s">
        <v>572</v>
      </c>
      <c r="O499" t="s">
        <v>2072</v>
      </c>
      <c r="P499">
        <v>14.69</v>
      </c>
      <c r="Q499">
        <f t="shared" si="7"/>
        <v>172.596</v>
      </c>
      <c r="R499">
        <v>2229.058</v>
      </c>
      <c r="S499" s="2">
        <v>45095</v>
      </c>
      <c r="T499" s="2">
        <v>45100</v>
      </c>
      <c r="U499" t="s">
        <v>34</v>
      </c>
      <c r="V499">
        <v>18</v>
      </c>
      <c r="W499">
        <v>6</v>
      </c>
      <c r="X499" t="s">
        <v>41</v>
      </c>
      <c r="Y499">
        <v>2023</v>
      </c>
      <c r="Z499">
        <v>2</v>
      </c>
      <c r="AA499">
        <v>24</v>
      </c>
    </row>
    <row r="500" spans="1:27" x14ac:dyDescent="0.3">
      <c r="A500" s="2">
        <v>45488</v>
      </c>
      <c r="B500" t="s">
        <v>3</v>
      </c>
      <c r="C500" t="s">
        <v>6</v>
      </c>
      <c r="D500">
        <v>16</v>
      </c>
      <c r="E500">
        <v>34.159999999999997</v>
      </c>
      <c r="F500" t="s">
        <v>13</v>
      </c>
      <c r="G500" t="s">
        <v>17</v>
      </c>
      <c r="H500">
        <v>0.15</v>
      </c>
      <c r="I500" t="s">
        <v>23</v>
      </c>
      <c r="J500">
        <v>464.57600000000002</v>
      </c>
      <c r="K500" t="s">
        <v>28</v>
      </c>
      <c r="L500" t="s">
        <v>30</v>
      </c>
      <c r="M500">
        <v>0</v>
      </c>
      <c r="N500" t="s">
        <v>573</v>
      </c>
      <c r="O500" t="s">
        <v>2073</v>
      </c>
      <c r="P500">
        <v>36.33</v>
      </c>
      <c r="Q500">
        <f t="shared" si="7"/>
        <v>29.036000000000001</v>
      </c>
      <c r="R500">
        <v>428.24600000000004</v>
      </c>
      <c r="S500" s="2">
        <v>45488</v>
      </c>
      <c r="T500" s="2">
        <v>45494</v>
      </c>
      <c r="U500" t="s">
        <v>36</v>
      </c>
      <c r="V500">
        <v>15</v>
      </c>
      <c r="W500">
        <v>7</v>
      </c>
      <c r="X500" t="s">
        <v>46</v>
      </c>
      <c r="Y500">
        <v>2024</v>
      </c>
      <c r="Z500">
        <v>3</v>
      </c>
      <c r="AA500">
        <v>29</v>
      </c>
    </row>
    <row r="501" spans="1:27" x14ac:dyDescent="0.3">
      <c r="A501" s="2">
        <v>45457</v>
      </c>
      <c r="B501" t="s">
        <v>3</v>
      </c>
      <c r="C501" t="s">
        <v>5</v>
      </c>
      <c r="D501">
        <v>2</v>
      </c>
      <c r="E501">
        <v>287.43</v>
      </c>
      <c r="F501" t="s">
        <v>14</v>
      </c>
      <c r="G501" t="s">
        <v>16</v>
      </c>
      <c r="H501">
        <v>0.1</v>
      </c>
      <c r="I501" t="s">
        <v>22</v>
      </c>
      <c r="J501">
        <v>517.37400000000002</v>
      </c>
      <c r="K501" t="s">
        <v>28</v>
      </c>
      <c r="L501" t="s">
        <v>31</v>
      </c>
      <c r="M501">
        <v>0</v>
      </c>
      <c r="N501" t="s">
        <v>574</v>
      </c>
      <c r="O501" t="s">
        <v>2074</v>
      </c>
      <c r="P501">
        <v>25.34</v>
      </c>
      <c r="Q501">
        <f t="shared" si="7"/>
        <v>258.68700000000001</v>
      </c>
      <c r="R501">
        <v>492.03400000000005</v>
      </c>
      <c r="S501" s="2">
        <v>45457</v>
      </c>
      <c r="T501" s="2">
        <v>45466</v>
      </c>
      <c r="U501" t="s">
        <v>36</v>
      </c>
      <c r="V501">
        <v>14</v>
      </c>
      <c r="W501">
        <v>6</v>
      </c>
      <c r="X501" t="s">
        <v>41</v>
      </c>
      <c r="Y501">
        <v>2024</v>
      </c>
      <c r="Z501">
        <v>2</v>
      </c>
      <c r="AA501">
        <v>24</v>
      </c>
    </row>
    <row r="502" spans="1:27" x14ac:dyDescent="0.3">
      <c r="A502" s="2">
        <v>45387</v>
      </c>
      <c r="B502" t="s">
        <v>0</v>
      </c>
      <c r="C502" t="s">
        <v>9</v>
      </c>
      <c r="D502">
        <v>15</v>
      </c>
      <c r="E502">
        <v>405.95</v>
      </c>
      <c r="F502" t="s">
        <v>15</v>
      </c>
      <c r="G502" t="s">
        <v>16</v>
      </c>
      <c r="H502">
        <v>0.15</v>
      </c>
      <c r="I502" t="s">
        <v>18</v>
      </c>
      <c r="J502">
        <v>5175.8625000000002</v>
      </c>
      <c r="K502" t="s">
        <v>25</v>
      </c>
      <c r="L502" t="s">
        <v>32</v>
      </c>
      <c r="M502">
        <v>0</v>
      </c>
      <c r="N502" t="s">
        <v>575</v>
      </c>
      <c r="O502" t="s">
        <v>2075</v>
      </c>
      <c r="P502">
        <v>32.04</v>
      </c>
      <c r="Q502">
        <f t="shared" si="7"/>
        <v>345.0575</v>
      </c>
      <c r="R502">
        <v>5143.8225000000002</v>
      </c>
      <c r="S502" s="2">
        <v>45387</v>
      </c>
      <c r="T502" s="2">
        <v>45392</v>
      </c>
      <c r="U502" t="s">
        <v>33</v>
      </c>
      <c r="V502">
        <v>5</v>
      </c>
      <c r="W502">
        <v>4</v>
      </c>
      <c r="X502" t="s">
        <v>45</v>
      </c>
      <c r="Y502">
        <v>2024</v>
      </c>
      <c r="Z502">
        <v>2</v>
      </c>
      <c r="AA502">
        <v>14</v>
      </c>
    </row>
    <row r="503" spans="1:27" x14ac:dyDescent="0.3">
      <c r="A503" s="2">
        <v>44984</v>
      </c>
      <c r="B503" t="s">
        <v>2</v>
      </c>
      <c r="C503" t="s">
        <v>5</v>
      </c>
      <c r="D503">
        <v>1</v>
      </c>
      <c r="E503">
        <v>430.61</v>
      </c>
      <c r="F503" t="s">
        <v>12</v>
      </c>
      <c r="G503" t="s">
        <v>17</v>
      </c>
      <c r="H503">
        <v>0</v>
      </c>
      <c r="I503" t="s">
        <v>19</v>
      </c>
      <c r="J503">
        <v>430.61</v>
      </c>
      <c r="K503" t="s">
        <v>25</v>
      </c>
      <c r="L503" t="s">
        <v>31</v>
      </c>
      <c r="M503">
        <v>0</v>
      </c>
      <c r="N503" t="s">
        <v>576</v>
      </c>
      <c r="O503" t="s">
        <v>2076</v>
      </c>
      <c r="P503">
        <v>14.53</v>
      </c>
      <c r="Q503">
        <f t="shared" si="7"/>
        <v>430.61</v>
      </c>
      <c r="R503">
        <v>416.08000000000004</v>
      </c>
      <c r="S503" s="2">
        <v>44984</v>
      </c>
      <c r="T503" s="2">
        <v>44992</v>
      </c>
      <c r="U503" t="s">
        <v>35</v>
      </c>
      <c r="V503">
        <v>27</v>
      </c>
      <c r="W503">
        <v>2</v>
      </c>
      <c r="X503" t="s">
        <v>38</v>
      </c>
      <c r="Y503">
        <v>2023</v>
      </c>
      <c r="Z503">
        <v>1</v>
      </c>
      <c r="AA503">
        <v>9</v>
      </c>
    </row>
    <row r="504" spans="1:27" x14ac:dyDescent="0.3">
      <c r="A504" s="2">
        <v>45138</v>
      </c>
      <c r="B504" t="s">
        <v>4</v>
      </c>
      <c r="C504" t="s">
        <v>5</v>
      </c>
      <c r="D504">
        <v>5</v>
      </c>
      <c r="E504">
        <v>508.05</v>
      </c>
      <c r="F504" t="s">
        <v>15</v>
      </c>
      <c r="G504" t="s">
        <v>17</v>
      </c>
      <c r="H504">
        <v>0</v>
      </c>
      <c r="I504" t="s">
        <v>20</v>
      </c>
      <c r="J504">
        <v>2540.25</v>
      </c>
      <c r="K504" t="s">
        <v>26</v>
      </c>
      <c r="L504" t="s">
        <v>31</v>
      </c>
      <c r="M504">
        <v>1</v>
      </c>
      <c r="N504" t="s">
        <v>577</v>
      </c>
      <c r="O504" t="s">
        <v>2077</v>
      </c>
      <c r="P504">
        <v>35.630000000000003</v>
      </c>
      <c r="Q504">
        <f t="shared" si="7"/>
        <v>508.05</v>
      </c>
      <c r="R504">
        <v>2504.62</v>
      </c>
      <c r="S504" s="2">
        <v>45138</v>
      </c>
      <c r="T504" s="2">
        <v>45147</v>
      </c>
      <c r="U504" t="s">
        <v>37</v>
      </c>
      <c r="V504">
        <v>31</v>
      </c>
      <c r="W504">
        <v>7</v>
      </c>
      <c r="X504" t="s">
        <v>46</v>
      </c>
      <c r="Y504">
        <v>2023</v>
      </c>
      <c r="Z504">
        <v>3</v>
      </c>
      <c r="AA504">
        <v>31</v>
      </c>
    </row>
    <row r="505" spans="1:27" x14ac:dyDescent="0.3">
      <c r="A505" s="2">
        <v>44988</v>
      </c>
      <c r="B505" t="s">
        <v>4</v>
      </c>
      <c r="C505" t="s">
        <v>5</v>
      </c>
      <c r="D505">
        <v>13</v>
      </c>
      <c r="E505">
        <v>522.97</v>
      </c>
      <c r="F505" t="s">
        <v>14</v>
      </c>
      <c r="G505" t="s">
        <v>17</v>
      </c>
      <c r="H505">
        <v>0.15</v>
      </c>
      <c r="I505" t="s">
        <v>21</v>
      </c>
      <c r="J505">
        <v>5778.8185000000003</v>
      </c>
      <c r="K505" t="s">
        <v>27</v>
      </c>
      <c r="L505" t="s">
        <v>29</v>
      </c>
      <c r="M505">
        <v>0</v>
      </c>
      <c r="N505" t="s">
        <v>578</v>
      </c>
      <c r="O505" t="s">
        <v>2078</v>
      </c>
      <c r="P505">
        <v>33.9</v>
      </c>
      <c r="Q505">
        <f t="shared" si="7"/>
        <v>444.52450000000005</v>
      </c>
      <c r="R505">
        <v>5744.9185000000007</v>
      </c>
      <c r="S505" s="2">
        <v>44988</v>
      </c>
      <c r="T505" s="2">
        <v>44995</v>
      </c>
      <c r="U505" t="s">
        <v>37</v>
      </c>
      <c r="V505">
        <v>3</v>
      </c>
      <c r="W505">
        <v>3</v>
      </c>
      <c r="X505" t="s">
        <v>44</v>
      </c>
      <c r="Y505">
        <v>2023</v>
      </c>
      <c r="Z505">
        <v>1</v>
      </c>
      <c r="AA505">
        <v>9</v>
      </c>
    </row>
    <row r="506" spans="1:27" x14ac:dyDescent="0.3">
      <c r="A506" s="2">
        <v>45042</v>
      </c>
      <c r="B506" t="s">
        <v>1</v>
      </c>
      <c r="C506" t="s">
        <v>5</v>
      </c>
      <c r="D506">
        <v>17</v>
      </c>
      <c r="E506">
        <v>260.25</v>
      </c>
      <c r="F506" t="s">
        <v>15</v>
      </c>
      <c r="G506" t="s">
        <v>16</v>
      </c>
      <c r="H506">
        <v>0.1</v>
      </c>
      <c r="I506" t="s">
        <v>20</v>
      </c>
      <c r="J506">
        <v>3981.8249999999998</v>
      </c>
      <c r="K506" t="s">
        <v>26</v>
      </c>
      <c r="L506" t="s">
        <v>30</v>
      </c>
      <c r="M506">
        <v>0</v>
      </c>
      <c r="N506" t="s">
        <v>579</v>
      </c>
      <c r="O506" t="s">
        <v>2079</v>
      </c>
      <c r="P506">
        <v>23.26</v>
      </c>
      <c r="Q506">
        <f t="shared" si="7"/>
        <v>234.22499999999999</v>
      </c>
      <c r="R506">
        <v>3958.5649999999996</v>
      </c>
      <c r="S506" s="2">
        <v>45042</v>
      </c>
      <c r="T506" s="2">
        <v>45044</v>
      </c>
      <c r="U506" t="s">
        <v>34</v>
      </c>
      <c r="V506">
        <v>26</v>
      </c>
      <c r="W506">
        <v>4</v>
      </c>
      <c r="X506" t="s">
        <v>45</v>
      </c>
      <c r="Y506">
        <v>2023</v>
      </c>
      <c r="Z506">
        <v>2</v>
      </c>
      <c r="AA506">
        <v>17</v>
      </c>
    </row>
    <row r="507" spans="1:27" x14ac:dyDescent="0.3">
      <c r="A507" s="2">
        <v>45584</v>
      </c>
      <c r="B507" t="s">
        <v>0</v>
      </c>
      <c r="C507" t="s">
        <v>6</v>
      </c>
      <c r="D507">
        <v>6</v>
      </c>
      <c r="E507">
        <v>549.21</v>
      </c>
      <c r="F507" t="s">
        <v>12</v>
      </c>
      <c r="G507" t="s">
        <v>17</v>
      </c>
      <c r="H507">
        <v>0.1</v>
      </c>
      <c r="I507" t="s">
        <v>18</v>
      </c>
      <c r="J507">
        <v>2965.7339999999999</v>
      </c>
      <c r="K507" t="s">
        <v>26</v>
      </c>
      <c r="L507" t="s">
        <v>31</v>
      </c>
      <c r="M507">
        <v>1</v>
      </c>
      <c r="N507" t="s">
        <v>580</v>
      </c>
      <c r="O507" t="s">
        <v>2080</v>
      </c>
      <c r="P507">
        <v>12.29</v>
      </c>
      <c r="Q507">
        <f t="shared" si="7"/>
        <v>494.28899999999999</v>
      </c>
      <c r="R507">
        <v>2953.444</v>
      </c>
      <c r="S507" s="2">
        <v>45584</v>
      </c>
      <c r="T507" s="2">
        <v>45592</v>
      </c>
      <c r="U507" t="s">
        <v>33</v>
      </c>
      <c r="V507">
        <v>19</v>
      </c>
      <c r="W507">
        <v>10</v>
      </c>
      <c r="X507" t="s">
        <v>43</v>
      </c>
      <c r="Y507">
        <v>2024</v>
      </c>
      <c r="Z507">
        <v>4</v>
      </c>
      <c r="AA507">
        <v>42</v>
      </c>
    </row>
    <row r="508" spans="1:27" x14ac:dyDescent="0.3">
      <c r="A508" s="2">
        <v>45473</v>
      </c>
      <c r="B508" t="s">
        <v>3</v>
      </c>
      <c r="C508" t="s">
        <v>11</v>
      </c>
      <c r="D508">
        <v>17</v>
      </c>
      <c r="E508">
        <v>472.33</v>
      </c>
      <c r="F508" t="s">
        <v>14</v>
      </c>
      <c r="G508" t="s">
        <v>17</v>
      </c>
      <c r="H508">
        <v>0.15</v>
      </c>
      <c r="I508" t="s">
        <v>21</v>
      </c>
      <c r="J508">
        <v>6825.1684999999998</v>
      </c>
      <c r="K508" t="s">
        <v>27</v>
      </c>
      <c r="L508" t="s">
        <v>31</v>
      </c>
      <c r="M508">
        <v>0</v>
      </c>
      <c r="N508" t="s">
        <v>581</v>
      </c>
      <c r="O508" t="s">
        <v>2081</v>
      </c>
      <c r="P508">
        <v>22.63</v>
      </c>
      <c r="Q508">
        <f t="shared" si="7"/>
        <v>401.48050000000001</v>
      </c>
      <c r="R508">
        <v>6802.5384999999997</v>
      </c>
      <c r="S508" s="2">
        <v>45473</v>
      </c>
      <c r="T508" s="2">
        <v>45477</v>
      </c>
      <c r="U508" t="s">
        <v>36</v>
      </c>
      <c r="V508">
        <v>30</v>
      </c>
      <c r="W508">
        <v>6</v>
      </c>
      <c r="X508" t="s">
        <v>41</v>
      </c>
      <c r="Y508">
        <v>2024</v>
      </c>
      <c r="Z508">
        <v>2</v>
      </c>
      <c r="AA508">
        <v>26</v>
      </c>
    </row>
    <row r="509" spans="1:27" x14ac:dyDescent="0.3">
      <c r="A509" s="2">
        <v>45576</v>
      </c>
      <c r="B509" t="s">
        <v>4</v>
      </c>
      <c r="C509" t="s">
        <v>5</v>
      </c>
      <c r="D509">
        <v>9</v>
      </c>
      <c r="E509">
        <v>596.83000000000004</v>
      </c>
      <c r="F509" t="s">
        <v>13</v>
      </c>
      <c r="G509" t="s">
        <v>17</v>
      </c>
      <c r="H509">
        <v>0</v>
      </c>
      <c r="I509" t="s">
        <v>18</v>
      </c>
      <c r="J509">
        <v>5371.47</v>
      </c>
      <c r="K509" t="s">
        <v>28</v>
      </c>
      <c r="L509" t="s">
        <v>31</v>
      </c>
      <c r="M509">
        <v>0</v>
      </c>
      <c r="N509" t="s">
        <v>582</v>
      </c>
      <c r="O509" t="s">
        <v>2082</v>
      </c>
      <c r="P509">
        <v>6.43</v>
      </c>
      <c r="Q509">
        <f t="shared" si="7"/>
        <v>596.83000000000004</v>
      </c>
      <c r="R509">
        <v>5365.04</v>
      </c>
      <c r="S509" s="2">
        <v>45576</v>
      </c>
      <c r="T509" s="2">
        <v>45584</v>
      </c>
      <c r="U509" t="s">
        <v>37</v>
      </c>
      <c r="V509">
        <v>11</v>
      </c>
      <c r="W509">
        <v>10</v>
      </c>
      <c r="X509" t="s">
        <v>43</v>
      </c>
      <c r="Y509">
        <v>2024</v>
      </c>
      <c r="Z509">
        <v>4</v>
      </c>
      <c r="AA509">
        <v>41</v>
      </c>
    </row>
    <row r="510" spans="1:27" x14ac:dyDescent="0.3">
      <c r="A510" s="2">
        <v>45822</v>
      </c>
      <c r="B510" t="s">
        <v>3</v>
      </c>
      <c r="C510" t="s">
        <v>9</v>
      </c>
      <c r="D510">
        <v>15</v>
      </c>
      <c r="E510">
        <v>154.04</v>
      </c>
      <c r="F510" t="s">
        <v>15</v>
      </c>
      <c r="G510" t="s">
        <v>17</v>
      </c>
      <c r="H510">
        <v>0.1</v>
      </c>
      <c r="I510" t="s">
        <v>19</v>
      </c>
      <c r="J510">
        <v>2079.54</v>
      </c>
      <c r="K510" t="s">
        <v>28</v>
      </c>
      <c r="L510" t="s">
        <v>29</v>
      </c>
      <c r="M510">
        <v>1</v>
      </c>
      <c r="N510" t="s">
        <v>583</v>
      </c>
      <c r="O510" t="s">
        <v>2083</v>
      </c>
      <c r="P510">
        <v>24.53</v>
      </c>
      <c r="Q510">
        <f t="shared" si="7"/>
        <v>138.636</v>
      </c>
      <c r="R510">
        <v>2055.0099999999998</v>
      </c>
      <c r="S510" s="2">
        <v>45822</v>
      </c>
      <c r="T510" s="2">
        <v>45831</v>
      </c>
      <c r="U510" t="s">
        <v>36</v>
      </c>
      <c r="V510">
        <v>14</v>
      </c>
      <c r="W510">
        <v>6</v>
      </c>
      <c r="X510" t="s">
        <v>41</v>
      </c>
      <c r="Y510">
        <v>2025</v>
      </c>
      <c r="Z510">
        <v>2</v>
      </c>
      <c r="AA510">
        <v>24</v>
      </c>
    </row>
    <row r="511" spans="1:27" x14ac:dyDescent="0.3">
      <c r="A511" s="2">
        <v>45648</v>
      </c>
      <c r="B511" t="s">
        <v>0</v>
      </c>
      <c r="C511" t="s">
        <v>5</v>
      </c>
      <c r="D511">
        <v>18</v>
      </c>
      <c r="E511">
        <v>500.44</v>
      </c>
      <c r="F511" t="s">
        <v>15</v>
      </c>
      <c r="G511" t="s">
        <v>16</v>
      </c>
      <c r="H511">
        <v>0.1</v>
      </c>
      <c r="I511" t="s">
        <v>23</v>
      </c>
      <c r="J511">
        <v>8107.1280000000006</v>
      </c>
      <c r="K511" t="s">
        <v>26</v>
      </c>
      <c r="L511" t="s">
        <v>32</v>
      </c>
      <c r="M511">
        <v>0</v>
      </c>
      <c r="N511" t="s">
        <v>584</v>
      </c>
      <c r="O511" t="s">
        <v>2084</v>
      </c>
      <c r="P511">
        <v>8.8699999999999992</v>
      </c>
      <c r="Q511">
        <f t="shared" si="7"/>
        <v>450.39600000000002</v>
      </c>
      <c r="R511">
        <v>8098.2580000000007</v>
      </c>
      <c r="S511" s="2">
        <v>45648</v>
      </c>
      <c r="T511" s="2">
        <v>45656</v>
      </c>
      <c r="U511" t="s">
        <v>33</v>
      </c>
      <c r="V511">
        <v>22</v>
      </c>
      <c r="W511">
        <v>12</v>
      </c>
      <c r="X511" t="s">
        <v>39</v>
      </c>
      <c r="Y511">
        <v>2024</v>
      </c>
      <c r="Z511">
        <v>4</v>
      </c>
      <c r="AA511">
        <v>51</v>
      </c>
    </row>
    <row r="512" spans="1:27" x14ac:dyDescent="0.3">
      <c r="A512" s="2">
        <v>45404</v>
      </c>
      <c r="B512" t="s">
        <v>4</v>
      </c>
      <c r="C512" t="s">
        <v>10</v>
      </c>
      <c r="D512">
        <v>5</v>
      </c>
      <c r="E512">
        <v>382.17</v>
      </c>
      <c r="F512" t="s">
        <v>14</v>
      </c>
      <c r="G512" t="s">
        <v>16</v>
      </c>
      <c r="H512">
        <v>0</v>
      </c>
      <c r="I512" t="s">
        <v>22</v>
      </c>
      <c r="J512">
        <v>1910.85</v>
      </c>
      <c r="K512" t="s">
        <v>26</v>
      </c>
      <c r="L512" t="s">
        <v>29</v>
      </c>
      <c r="M512">
        <v>0</v>
      </c>
      <c r="N512" t="s">
        <v>585</v>
      </c>
      <c r="O512" t="s">
        <v>2085</v>
      </c>
      <c r="P512">
        <v>17.72</v>
      </c>
      <c r="Q512">
        <f t="shared" si="7"/>
        <v>382.16999999999996</v>
      </c>
      <c r="R512">
        <v>1893.1299999999999</v>
      </c>
      <c r="S512" s="2">
        <v>45404</v>
      </c>
      <c r="T512" s="2">
        <v>45407</v>
      </c>
      <c r="U512" t="s">
        <v>37</v>
      </c>
      <c r="V512">
        <v>22</v>
      </c>
      <c r="W512">
        <v>4</v>
      </c>
      <c r="X512" t="s">
        <v>45</v>
      </c>
      <c r="Y512">
        <v>2024</v>
      </c>
      <c r="Z512">
        <v>2</v>
      </c>
      <c r="AA512">
        <v>17</v>
      </c>
    </row>
    <row r="513" spans="1:27" x14ac:dyDescent="0.3">
      <c r="A513" s="2">
        <v>45682</v>
      </c>
      <c r="B513" t="s">
        <v>2</v>
      </c>
      <c r="C513" t="s">
        <v>8</v>
      </c>
      <c r="D513">
        <v>3</v>
      </c>
      <c r="E513">
        <v>365.54</v>
      </c>
      <c r="F513" t="s">
        <v>12</v>
      </c>
      <c r="G513" t="s">
        <v>17</v>
      </c>
      <c r="H513">
        <v>0.15</v>
      </c>
      <c r="I513" t="s">
        <v>20</v>
      </c>
      <c r="J513">
        <v>932.12700000000007</v>
      </c>
      <c r="K513" t="s">
        <v>24</v>
      </c>
      <c r="L513" t="s">
        <v>32</v>
      </c>
      <c r="M513">
        <v>0</v>
      </c>
      <c r="N513" t="s">
        <v>586</v>
      </c>
      <c r="O513" t="s">
        <v>2086</v>
      </c>
      <c r="P513">
        <v>45.89</v>
      </c>
      <c r="Q513">
        <f t="shared" si="7"/>
        <v>310.709</v>
      </c>
      <c r="R513">
        <v>886.23700000000008</v>
      </c>
      <c r="S513" s="2">
        <v>45682</v>
      </c>
      <c r="T513" s="2">
        <v>45686</v>
      </c>
      <c r="U513" t="s">
        <v>35</v>
      </c>
      <c r="V513">
        <v>25</v>
      </c>
      <c r="W513">
        <v>1</v>
      </c>
      <c r="X513" t="s">
        <v>42</v>
      </c>
      <c r="Y513">
        <v>2025</v>
      </c>
      <c r="Z513">
        <v>1</v>
      </c>
      <c r="AA513">
        <v>4</v>
      </c>
    </row>
    <row r="514" spans="1:27" x14ac:dyDescent="0.3">
      <c r="A514" s="2">
        <v>45609</v>
      </c>
      <c r="B514" t="s">
        <v>2</v>
      </c>
      <c r="C514" t="s">
        <v>5</v>
      </c>
      <c r="D514">
        <v>5</v>
      </c>
      <c r="E514">
        <v>270.13</v>
      </c>
      <c r="F514" t="s">
        <v>14</v>
      </c>
      <c r="G514" t="s">
        <v>17</v>
      </c>
      <c r="H514">
        <v>0.15</v>
      </c>
      <c r="I514" t="s">
        <v>18</v>
      </c>
      <c r="J514">
        <v>1148.0525</v>
      </c>
      <c r="K514" t="s">
        <v>26</v>
      </c>
      <c r="L514" t="s">
        <v>32</v>
      </c>
      <c r="M514">
        <v>0</v>
      </c>
      <c r="N514" t="s">
        <v>587</v>
      </c>
      <c r="O514" t="s">
        <v>2087</v>
      </c>
      <c r="P514">
        <v>15.74</v>
      </c>
      <c r="Q514">
        <f t="shared" si="7"/>
        <v>229.6105</v>
      </c>
      <c r="R514">
        <v>1132.3125</v>
      </c>
      <c r="S514" s="2">
        <v>45609</v>
      </c>
      <c r="T514" s="2">
        <v>45615</v>
      </c>
      <c r="U514" t="s">
        <v>35</v>
      </c>
      <c r="V514">
        <v>13</v>
      </c>
      <c r="W514">
        <v>11</v>
      </c>
      <c r="X514" t="s">
        <v>47</v>
      </c>
      <c r="Y514">
        <v>2024</v>
      </c>
      <c r="Z514">
        <v>4</v>
      </c>
      <c r="AA514">
        <v>46</v>
      </c>
    </row>
    <row r="515" spans="1:27" x14ac:dyDescent="0.3">
      <c r="A515" s="2">
        <v>45001</v>
      </c>
      <c r="B515" t="s">
        <v>0</v>
      </c>
      <c r="C515" t="s">
        <v>10</v>
      </c>
      <c r="D515">
        <v>2</v>
      </c>
      <c r="E515">
        <v>480.15</v>
      </c>
      <c r="F515" t="s">
        <v>15</v>
      </c>
      <c r="G515" t="s">
        <v>17</v>
      </c>
      <c r="H515">
        <v>0.15</v>
      </c>
      <c r="I515" t="s">
        <v>22</v>
      </c>
      <c r="J515">
        <v>816.255</v>
      </c>
      <c r="K515" t="s">
        <v>24</v>
      </c>
      <c r="L515" t="s">
        <v>32</v>
      </c>
      <c r="M515">
        <v>0</v>
      </c>
      <c r="N515" t="s">
        <v>588</v>
      </c>
      <c r="O515" t="s">
        <v>2088</v>
      </c>
      <c r="P515">
        <v>42.07</v>
      </c>
      <c r="Q515">
        <f t="shared" ref="Q515:Q578" si="8">J515/D515</f>
        <v>408.1275</v>
      </c>
      <c r="R515">
        <v>774.18499999999995</v>
      </c>
      <c r="S515" s="2">
        <v>45001</v>
      </c>
      <c r="T515" s="2">
        <v>45006</v>
      </c>
      <c r="U515" t="s">
        <v>33</v>
      </c>
      <c r="V515">
        <v>16</v>
      </c>
      <c r="W515">
        <v>3</v>
      </c>
      <c r="X515" t="s">
        <v>44</v>
      </c>
      <c r="Y515">
        <v>2023</v>
      </c>
      <c r="Z515">
        <v>1</v>
      </c>
      <c r="AA515">
        <v>11</v>
      </c>
    </row>
    <row r="516" spans="1:27" x14ac:dyDescent="0.3">
      <c r="A516" s="2">
        <v>45052</v>
      </c>
      <c r="B516" t="s">
        <v>2</v>
      </c>
      <c r="C516" t="s">
        <v>5</v>
      </c>
      <c r="D516">
        <v>18</v>
      </c>
      <c r="E516">
        <v>414.77</v>
      </c>
      <c r="F516" t="s">
        <v>14</v>
      </c>
      <c r="G516" t="s">
        <v>16</v>
      </c>
      <c r="H516">
        <v>0.1</v>
      </c>
      <c r="I516" t="s">
        <v>18</v>
      </c>
      <c r="J516">
        <v>6719.2739999999994</v>
      </c>
      <c r="K516" t="s">
        <v>26</v>
      </c>
      <c r="L516" t="s">
        <v>32</v>
      </c>
      <c r="M516">
        <v>1</v>
      </c>
      <c r="N516" t="s">
        <v>589</v>
      </c>
      <c r="O516" t="s">
        <v>2089</v>
      </c>
      <c r="P516">
        <v>28.55</v>
      </c>
      <c r="Q516">
        <f t="shared" si="8"/>
        <v>373.29299999999995</v>
      </c>
      <c r="R516">
        <v>6690.7239999999993</v>
      </c>
      <c r="S516" s="2">
        <v>45052</v>
      </c>
      <c r="T516" s="2">
        <v>45061</v>
      </c>
      <c r="U516" t="s">
        <v>35</v>
      </c>
      <c r="V516">
        <v>6</v>
      </c>
      <c r="W516">
        <v>5</v>
      </c>
      <c r="X516" t="s">
        <v>40</v>
      </c>
      <c r="Y516">
        <v>2023</v>
      </c>
      <c r="Z516">
        <v>2</v>
      </c>
      <c r="AA516">
        <v>18</v>
      </c>
    </row>
    <row r="517" spans="1:27" x14ac:dyDescent="0.3">
      <c r="A517" s="2">
        <v>45611</v>
      </c>
      <c r="B517" t="s">
        <v>0</v>
      </c>
      <c r="C517" t="s">
        <v>9</v>
      </c>
      <c r="D517">
        <v>10</v>
      </c>
      <c r="E517">
        <v>98.24</v>
      </c>
      <c r="F517" t="s">
        <v>14</v>
      </c>
      <c r="G517" t="s">
        <v>16</v>
      </c>
      <c r="H517">
        <v>0</v>
      </c>
      <c r="I517" t="s">
        <v>20</v>
      </c>
      <c r="J517">
        <v>982.4</v>
      </c>
      <c r="K517" t="s">
        <v>26</v>
      </c>
      <c r="L517" t="s">
        <v>29</v>
      </c>
      <c r="M517">
        <v>1</v>
      </c>
      <c r="N517" t="s">
        <v>590</v>
      </c>
      <c r="O517" t="s">
        <v>2090</v>
      </c>
      <c r="P517">
        <v>21.01</v>
      </c>
      <c r="Q517">
        <f t="shared" si="8"/>
        <v>98.24</v>
      </c>
      <c r="R517">
        <v>961.39</v>
      </c>
      <c r="S517" s="2">
        <v>45611</v>
      </c>
      <c r="T517" s="2">
        <v>45613</v>
      </c>
      <c r="U517" t="s">
        <v>33</v>
      </c>
      <c r="V517">
        <v>15</v>
      </c>
      <c r="W517">
        <v>11</v>
      </c>
      <c r="X517" t="s">
        <v>47</v>
      </c>
      <c r="Y517">
        <v>2024</v>
      </c>
      <c r="Z517">
        <v>4</v>
      </c>
      <c r="AA517">
        <v>46</v>
      </c>
    </row>
    <row r="518" spans="1:27" x14ac:dyDescent="0.3">
      <c r="A518" s="2">
        <v>45471</v>
      </c>
      <c r="B518" t="s">
        <v>3</v>
      </c>
      <c r="C518" t="s">
        <v>5</v>
      </c>
      <c r="D518">
        <v>6</v>
      </c>
      <c r="E518">
        <v>227.6</v>
      </c>
      <c r="F518" t="s">
        <v>15</v>
      </c>
      <c r="G518" t="s">
        <v>17</v>
      </c>
      <c r="H518">
        <v>0.05</v>
      </c>
      <c r="I518" t="s">
        <v>21</v>
      </c>
      <c r="J518">
        <v>1297.32</v>
      </c>
      <c r="K518" t="s">
        <v>27</v>
      </c>
      <c r="L518" t="s">
        <v>29</v>
      </c>
      <c r="M518">
        <v>0</v>
      </c>
      <c r="N518" t="s">
        <v>591</v>
      </c>
      <c r="O518" t="s">
        <v>2091</v>
      </c>
      <c r="P518">
        <v>38.22</v>
      </c>
      <c r="Q518">
        <f t="shared" si="8"/>
        <v>216.22</v>
      </c>
      <c r="R518">
        <v>1259.0999999999999</v>
      </c>
      <c r="S518" s="2">
        <v>45471</v>
      </c>
      <c r="T518" s="2">
        <v>45478</v>
      </c>
      <c r="U518" t="s">
        <v>36</v>
      </c>
      <c r="V518">
        <v>28</v>
      </c>
      <c r="W518">
        <v>6</v>
      </c>
      <c r="X518" t="s">
        <v>41</v>
      </c>
      <c r="Y518">
        <v>2024</v>
      </c>
      <c r="Z518">
        <v>2</v>
      </c>
      <c r="AA518">
        <v>26</v>
      </c>
    </row>
    <row r="519" spans="1:27" x14ac:dyDescent="0.3">
      <c r="A519" s="2">
        <v>45788</v>
      </c>
      <c r="B519" t="s">
        <v>3</v>
      </c>
      <c r="C519" t="s">
        <v>9</v>
      </c>
      <c r="D519">
        <v>5</v>
      </c>
      <c r="E519">
        <v>136.13</v>
      </c>
      <c r="F519" t="s">
        <v>14</v>
      </c>
      <c r="G519" t="s">
        <v>17</v>
      </c>
      <c r="H519">
        <v>0.15</v>
      </c>
      <c r="I519" t="s">
        <v>21</v>
      </c>
      <c r="J519">
        <v>578.55250000000001</v>
      </c>
      <c r="K519" t="s">
        <v>24</v>
      </c>
      <c r="L519" t="s">
        <v>32</v>
      </c>
      <c r="M519">
        <v>0</v>
      </c>
      <c r="N519" t="s">
        <v>592</v>
      </c>
      <c r="O519" t="s">
        <v>2092</v>
      </c>
      <c r="P519">
        <v>10.02</v>
      </c>
      <c r="Q519">
        <f t="shared" si="8"/>
        <v>115.7105</v>
      </c>
      <c r="R519">
        <v>568.53250000000003</v>
      </c>
      <c r="S519" s="2">
        <v>45788</v>
      </c>
      <c r="T519" s="2">
        <v>45797</v>
      </c>
      <c r="U519" t="s">
        <v>36</v>
      </c>
      <c r="V519">
        <v>11</v>
      </c>
      <c r="W519">
        <v>5</v>
      </c>
      <c r="X519" t="s">
        <v>40</v>
      </c>
      <c r="Y519">
        <v>2025</v>
      </c>
      <c r="Z519">
        <v>2</v>
      </c>
      <c r="AA519">
        <v>19</v>
      </c>
    </row>
    <row r="520" spans="1:27" x14ac:dyDescent="0.3">
      <c r="A520" s="2">
        <v>44983</v>
      </c>
      <c r="B520" t="s">
        <v>3</v>
      </c>
      <c r="C520" t="s">
        <v>10</v>
      </c>
      <c r="D520">
        <v>5</v>
      </c>
      <c r="E520">
        <v>489.13</v>
      </c>
      <c r="F520" t="s">
        <v>14</v>
      </c>
      <c r="G520" t="s">
        <v>17</v>
      </c>
      <c r="H520">
        <v>0.1</v>
      </c>
      <c r="I520" t="s">
        <v>22</v>
      </c>
      <c r="J520">
        <v>2201.085</v>
      </c>
      <c r="K520" t="s">
        <v>25</v>
      </c>
      <c r="L520" t="s">
        <v>29</v>
      </c>
      <c r="M520">
        <v>0</v>
      </c>
      <c r="N520" t="s">
        <v>593</v>
      </c>
      <c r="O520" t="s">
        <v>2093</v>
      </c>
      <c r="P520">
        <v>44.73</v>
      </c>
      <c r="Q520">
        <f t="shared" si="8"/>
        <v>440.21699999999998</v>
      </c>
      <c r="R520">
        <v>2156.355</v>
      </c>
      <c r="S520" s="2">
        <v>44983</v>
      </c>
      <c r="T520" s="2">
        <v>44989</v>
      </c>
      <c r="U520" t="s">
        <v>36</v>
      </c>
      <c r="V520">
        <v>26</v>
      </c>
      <c r="W520">
        <v>2</v>
      </c>
      <c r="X520" t="s">
        <v>38</v>
      </c>
      <c r="Y520">
        <v>2023</v>
      </c>
      <c r="Z520">
        <v>1</v>
      </c>
      <c r="AA520">
        <v>8</v>
      </c>
    </row>
    <row r="521" spans="1:27" x14ac:dyDescent="0.3">
      <c r="A521" s="2">
        <v>45412</v>
      </c>
      <c r="B521" t="s">
        <v>1</v>
      </c>
      <c r="C521" t="s">
        <v>5</v>
      </c>
      <c r="D521">
        <v>4</v>
      </c>
      <c r="E521">
        <v>414.36</v>
      </c>
      <c r="F521" t="s">
        <v>13</v>
      </c>
      <c r="G521" t="s">
        <v>17</v>
      </c>
      <c r="H521">
        <v>0</v>
      </c>
      <c r="I521" t="s">
        <v>23</v>
      </c>
      <c r="J521">
        <v>1657.44</v>
      </c>
      <c r="K521" t="s">
        <v>27</v>
      </c>
      <c r="L521" t="s">
        <v>29</v>
      </c>
      <c r="M521">
        <v>0</v>
      </c>
      <c r="N521" t="s">
        <v>594</v>
      </c>
      <c r="O521" t="s">
        <v>2094</v>
      </c>
      <c r="P521">
        <v>8.02</v>
      </c>
      <c r="Q521">
        <f t="shared" si="8"/>
        <v>414.36</v>
      </c>
      <c r="R521">
        <v>1649.42</v>
      </c>
      <c r="S521" s="2">
        <v>45412</v>
      </c>
      <c r="T521" s="2">
        <v>45419</v>
      </c>
      <c r="U521" t="s">
        <v>34</v>
      </c>
      <c r="V521">
        <v>30</v>
      </c>
      <c r="W521">
        <v>4</v>
      </c>
      <c r="X521" t="s">
        <v>45</v>
      </c>
      <c r="Y521">
        <v>2024</v>
      </c>
      <c r="Z521">
        <v>2</v>
      </c>
      <c r="AA521">
        <v>18</v>
      </c>
    </row>
    <row r="522" spans="1:27" x14ac:dyDescent="0.3">
      <c r="A522" s="2">
        <v>45727</v>
      </c>
      <c r="B522" t="s">
        <v>0</v>
      </c>
      <c r="C522" t="s">
        <v>5</v>
      </c>
      <c r="D522">
        <v>6</v>
      </c>
      <c r="E522">
        <v>138.26</v>
      </c>
      <c r="F522" t="s">
        <v>12</v>
      </c>
      <c r="G522" t="s">
        <v>17</v>
      </c>
      <c r="H522">
        <v>0.15</v>
      </c>
      <c r="I522" t="s">
        <v>18</v>
      </c>
      <c r="J522">
        <v>705.12599999999998</v>
      </c>
      <c r="K522" t="s">
        <v>24</v>
      </c>
      <c r="L522" t="s">
        <v>32</v>
      </c>
      <c r="M522">
        <v>1</v>
      </c>
      <c r="N522" t="s">
        <v>595</v>
      </c>
      <c r="O522" t="s">
        <v>2095</v>
      </c>
      <c r="P522">
        <v>31.4</v>
      </c>
      <c r="Q522">
        <f t="shared" si="8"/>
        <v>117.521</v>
      </c>
      <c r="R522">
        <v>673.726</v>
      </c>
      <c r="S522" s="2">
        <v>45727</v>
      </c>
      <c r="T522" s="2">
        <v>45729</v>
      </c>
      <c r="U522" t="s">
        <v>33</v>
      </c>
      <c r="V522">
        <v>11</v>
      </c>
      <c r="W522">
        <v>3</v>
      </c>
      <c r="X522" t="s">
        <v>44</v>
      </c>
      <c r="Y522">
        <v>2025</v>
      </c>
      <c r="Z522">
        <v>1</v>
      </c>
      <c r="AA522">
        <v>11</v>
      </c>
    </row>
    <row r="523" spans="1:27" x14ac:dyDescent="0.3">
      <c r="A523" s="2">
        <v>45838</v>
      </c>
      <c r="B523" t="s">
        <v>0</v>
      </c>
      <c r="C523" t="s">
        <v>6</v>
      </c>
      <c r="D523">
        <v>12</v>
      </c>
      <c r="E523">
        <v>487.57</v>
      </c>
      <c r="F523" t="s">
        <v>13</v>
      </c>
      <c r="G523" t="s">
        <v>16</v>
      </c>
      <c r="H523">
        <v>0.05</v>
      </c>
      <c r="I523" t="s">
        <v>18</v>
      </c>
      <c r="J523">
        <v>5558.2979999999998</v>
      </c>
      <c r="K523" t="s">
        <v>28</v>
      </c>
      <c r="L523" t="s">
        <v>32</v>
      </c>
      <c r="M523">
        <v>0</v>
      </c>
      <c r="N523" t="s">
        <v>596</v>
      </c>
      <c r="O523" t="s">
        <v>2096</v>
      </c>
      <c r="P523">
        <v>37.33</v>
      </c>
      <c r="Q523">
        <f t="shared" si="8"/>
        <v>463.19149999999996</v>
      </c>
      <c r="R523">
        <v>5520.9679999999998</v>
      </c>
      <c r="S523" s="2">
        <v>45838</v>
      </c>
      <c r="T523" s="2">
        <v>45848</v>
      </c>
      <c r="U523" t="s">
        <v>33</v>
      </c>
      <c r="V523">
        <v>30</v>
      </c>
      <c r="W523">
        <v>6</v>
      </c>
      <c r="X523" t="s">
        <v>41</v>
      </c>
      <c r="Y523">
        <v>2025</v>
      </c>
      <c r="Z523">
        <v>2</v>
      </c>
      <c r="AA523">
        <v>27</v>
      </c>
    </row>
    <row r="524" spans="1:27" x14ac:dyDescent="0.3">
      <c r="A524" s="2">
        <v>45445</v>
      </c>
      <c r="B524" t="s">
        <v>2</v>
      </c>
      <c r="C524" t="s">
        <v>8</v>
      </c>
      <c r="D524">
        <v>20</v>
      </c>
      <c r="E524">
        <v>427.3</v>
      </c>
      <c r="F524" t="s">
        <v>14</v>
      </c>
      <c r="G524" t="s">
        <v>16</v>
      </c>
      <c r="H524">
        <v>0.05</v>
      </c>
      <c r="I524" t="s">
        <v>20</v>
      </c>
      <c r="J524">
        <v>8118.7</v>
      </c>
      <c r="K524" t="s">
        <v>25</v>
      </c>
      <c r="L524" t="s">
        <v>29</v>
      </c>
      <c r="M524">
        <v>1</v>
      </c>
      <c r="N524" t="s">
        <v>597</v>
      </c>
      <c r="O524" t="s">
        <v>2097</v>
      </c>
      <c r="P524">
        <v>25.19</v>
      </c>
      <c r="Q524">
        <f t="shared" si="8"/>
        <v>405.935</v>
      </c>
      <c r="R524">
        <v>8093.51</v>
      </c>
      <c r="S524" s="2">
        <v>45445</v>
      </c>
      <c r="T524" s="2">
        <v>45451</v>
      </c>
      <c r="U524" t="s">
        <v>35</v>
      </c>
      <c r="V524">
        <v>2</v>
      </c>
      <c r="W524">
        <v>6</v>
      </c>
      <c r="X524" t="s">
        <v>41</v>
      </c>
      <c r="Y524">
        <v>2024</v>
      </c>
      <c r="Z524">
        <v>2</v>
      </c>
      <c r="AA524">
        <v>22</v>
      </c>
    </row>
    <row r="525" spans="1:27" x14ac:dyDescent="0.3">
      <c r="A525" s="2">
        <v>45536</v>
      </c>
      <c r="B525" t="s">
        <v>1</v>
      </c>
      <c r="C525" t="s">
        <v>5</v>
      </c>
      <c r="D525">
        <v>16</v>
      </c>
      <c r="E525">
        <v>588.91999999999996</v>
      </c>
      <c r="F525" t="s">
        <v>15</v>
      </c>
      <c r="G525" t="s">
        <v>16</v>
      </c>
      <c r="H525">
        <v>0.15</v>
      </c>
      <c r="I525" t="s">
        <v>19</v>
      </c>
      <c r="J525">
        <v>8009.311999999999</v>
      </c>
      <c r="K525" t="s">
        <v>28</v>
      </c>
      <c r="L525" t="s">
        <v>29</v>
      </c>
      <c r="M525">
        <v>0</v>
      </c>
      <c r="N525" t="s">
        <v>598</v>
      </c>
      <c r="O525" t="s">
        <v>2098</v>
      </c>
      <c r="P525">
        <v>7.89</v>
      </c>
      <c r="Q525">
        <f t="shared" si="8"/>
        <v>500.58199999999994</v>
      </c>
      <c r="R525">
        <v>8001.4219999999987</v>
      </c>
      <c r="S525" s="2">
        <v>45536</v>
      </c>
      <c r="T525" s="2">
        <v>45540</v>
      </c>
      <c r="U525" t="s">
        <v>34</v>
      </c>
      <c r="V525">
        <v>1</v>
      </c>
      <c r="W525">
        <v>9</v>
      </c>
      <c r="X525" t="s">
        <v>49</v>
      </c>
      <c r="Y525">
        <v>2024</v>
      </c>
      <c r="Z525">
        <v>3</v>
      </c>
      <c r="AA525">
        <v>35</v>
      </c>
    </row>
    <row r="526" spans="1:27" x14ac:dyDescent="0.3">
      <c r="A526" s="2">
        <v>45668</v>
      </c>
      <c r="B526" t="s">
        <v>1</v>
      </c>
      <c r="C526" t="s">
        <v>5</v>
      </c>
      <c r="D526">
        <v>6</v>
      </c>
      <c r="E526">
        <v>429.45</v>
      </c>
      <c r="F526" t="s">
        <v>12</v>
      </c>
      <c r="G526" t="s">
        <v>17</v>
      </c>
      <c r="H526">
        <v>0.1</v>
      </c>
      <c r="I526" t="s">
        <v>19</v>
      </c>
      <c r="J526">
        <v>2319.0300000000002</v>
      </c>
      <c r="K526" t="s">
        <v>28</v>
      </c>
      <c r="L526" t="s">
        <v>32</v>
      </c>
      <c r="M526">
        <v>0</v>
      </c>
      <c r="N526" t="s">
        <v>599</v>
      </c>
      <c r="O526" t="s">
        <v>2099</v>
      </c>
      <c r="P526">
        <v>47.18</v>
      </c>
      <c r="Q526">
        <f t="shared" si="8"/>
        <v>386.50500000000005</v>
      </c>
      <c r="R526">
        <v>2271.8500000000004</v>
      </c>
      <c r="S526" s="2">
        <v>45668</v>
      </c>
      <c r="T526" s="2">
        <v>45675</v>
      </c>
      <c r="U526" t="s">
        <v>34</v>
      </c>
      <c r="V526">
        <v>11</v>
      </c>
      <c r="W526">
        <v>1</v>
      </c>
      <c r="X526" t="s">
        <v>42</v>
      </c>
      <c r="Y526">
        <v>2025</v>
      </c>
      <c r="Z526">
        <v>1</v>
      </c>
      <c r="AA526">
        <v>2</v>
      </c>
    </row>
    <row r="527" spans="1:27" x14ac:dyDescent="0.3">
      <c r="A527" s="2">
        <v>45747</v>
      </c>
      <c r="B527" t="s">
        <v>1</v>
      </c>
      <c r="C527" t="s">
        <v>6</v>
      </c>
      <c r="D527">
        <v>1</v>
      </c>
      <c r="E527">
        <v>476</v>
      </c>
      <c r="F527" t="s">
        <v>13</v>
      </c>
      <c r="G527" t="s">
        <v>16</v>
      </c>
      <c r="H527">
        <v>0.15</v>
      </c>
      <c r="I527" t="s">
        <v>21</v>
      </c>
      <c r="J527">
        <v>404.6</v>
      </c>
      <c r="K527" t="s">
        <v>28</v>
      </c>
      <c r="L527" t="s">
        <v>29</v>
      </c>
      <c r="M527">
        <v>0</v>
      </c>
      <c r="N527" t="s">
        <v>600</v>
      </c>
      <c r="O527" t="s">
        <v>2100</v>
      </c>
      <c r="P527">
        <v>18.95</v>
      </c>
      <c r="Q527">
        <f t="shared" si="8"/>
        <v>404.6</v>
      </c>
      <c r="R527">
        <v>385.65000000000003</v>
      </c>
      <c r="S527" s="2">
        <v>45747</v>
      </c>
      <c r="T527" s="2">
        <v>45750</v>
      </c>
      <c r="U527" t="s">
        <v>34</v>
      </c>
      <c r="V527">
        <v>31</v>
      </c>
      <c r="W527">
        <v>3</v>
      </c>
      <c r="X527" t="s">
        <v>44</v>
      </c>
      <c r="Y527">
        <v>2025</v>
      </c>
      <c r="Z527">
        <v>1</v>
      </c>
      <c r="AA527">
        <v>14</v>
      </c>
    </row>
    <row r="528" spans="1:27" x14ac:dyDescent="0.3">
      <c r="A528" s="2">
        <v>45624</v>
      </c>
      <c r="B528" t="s">
        <v>1</v>
      </c>
      <c r="C528" t="s">
        <v>6</v>
      </c>
      <c r="D528">
        <v>13</v>
      </c>
      <c r="E528">
        <v>141.26</v>
      </c>
      <c r="F528" t="s">
        <v>12</v>
      </c>
      <c r="G528" t="s">
        <v>17</v>
      </c>
      <c r="H528">
        <v>0</v>
      </c>
      <c r="I528" t="s">
        <v>20</v>
      </c>
      <c r="J528">
        <v>1836.38</v>
      </c>
      <c r="K528" t="s">
        <v>24</v>
      </c>
      <c r="L528" t="s">
        <v>32</v>
      </c>
      <c r="M528">
        <v>0</v>
      </c>
      <c r="N528" t="s">
        <v>601</v>
      </c>
      <c r="O528" t="s">
        <v>2101</v>
      </c>
      <c r="P528">
        <v>23.68</v>
      </c>
      <c r="Q528">
        <f t="shared" si="8"/>
        <v>141.26000000000002</v>
      </c>
      <c r="R528">
        <v>1812.7</v>
      </c>
      <c r="S528" s="2">
        <v>45624</v>
      </c>
      <c r="T528" s="2">
        <v>45631</v>
      </c>
      <c r="U528" t="s">
        <v>34</v>
      </c>
      <c r="V528">
        <v>28</v>
      </c>
      <c r="W528">
        <v>11</v>
      </c>
      <c r="X528" t="s">
        <v>47</v>
      </c>
      <c r="Y528">
        <v>2024</v>
      </c>
      <c r="Z528">
        <v>4</v>
      </c>
      <c r="AA528">
        <v>48</v>
      </c>
    </row>
    <row r="529" spans="1:27" x14ac:dyDescent="0.3">
      <c r="A529" s="2">
        <v>45112</v>
      </c>
      <c r="B529" t="s">
        <v>2</v>
      </c>
      <c r="C529" t="s">
        <v>8</v>
      </c>
      <c r="D529">
        <v>3</v>
      </c>
      <c r="E529">
        <v>250.65</v>
      </c>
      <c r="F529" t="s">
        <v>15</v>
      </c>
      <c r="G529" t="s">
        <v>17</v>
      </c>
      <c r="H529">
        <v>0.15</v>
      </c>
      <c r="I529" t="s">
        <v>18</v>
      </c>
      <c r="J529">
        <v>639.15750000000003</v>
      </c>
      <c r="K529" t="s">
        <v>26</v>
      </c>
      <c r="L529" t="s">
        <v>30</v>
      </c>
      <c r="M529">
        <v>0</v>
      </c>
      <c r="N529" t="s">
        <v>602</v>
      </c>
      <c r="O529" t="s">
        <v>2102</v>
      </c>
      <c r="P529">
        <v>44.46</v>
      </c>
      <c r="Q529">
        <f t="shared" si="8"/>
        <v>213.05250000000001</v>
      </c>
      <c r="R529">
        <v>594.69749999999999</v>
      </c>
      <c r="S529" s="2">
        <v>45112</v>
      </c>
      <c r="T529" s="2">
        <v>45114</v>
      </c>
      <c r="U529" t="s">
        <v>35</v>
      </c>
      <c r="V529">
        <v>5</v>
      </c>
      <c r="W529">
        <v>7</v>
      </c>
      <c r="X529" t="s">
        <v>46</v>
      </c>
      <c r="Y529">
        <v>2023</v>
      </c>
      <c r="Z529">
        <v>3</v>
      </c>
      <c r="AA529">
        <v>27</v>
      </c>
    </row>
    <row r="530" spans="1:27" x14ac:dyDescent="0.3">
      <c r="A530" s="2">
        <v>45589</v>
      </c>
      <c r="B530" t="s">
        <v>4</v>
      </c>
      <c r="C530" t="s">
        <v>9</v>
      </c>
      <c r="D530">
        <v>19</v>
      </c>
      <c r="E530">
        <v>301.17</v>
      </c>
      <c r="F530" t="s">
        <v>15</v>
      </c>
      <c r="G530" t="s">
        <v>17</v>
      </c>
      <c r="H530">
        <v>0.05</v>
      </c>
      <c r="I530" t="s">
        <v>19</v>
      </c>
      <c r="J530">
        <v>5436.1184999999996</v>
      </c>
      <c r="K530" t="s">
        <v>27</v>
      </c>
      <c r="L530" t="s">
        <v>31</v>
      </c>
      <c r="M530">
        <v>0</v>
      </c>
      <c r="N530" t="s">
        <v>603</v>
      </c>
      <c r="O530" t="s">
        <v>2103</v>
      </c>
      <c r="P530">
        <v>5.71</v>
      </c>
      <c r="Q530">
        <f t="shared" si="8"/>
        <v>286.11149999999998</v>
      </c>
      <c r="R530">
        <v>5430.4084999999995</v>
      </c>
      <c r="S530" s="2">
        <v>45589</v>
      </c>
      <c r="T530" s="2">
        <v>45599</v>
      </c>
      <c r="U530" t="s">
        <v>37</v>
      </c>
      <c r="V530">
        <v>24</v>
      </c>
      <c r="W530">
        <v>10</v>
      </c>
      <c r="X530" t="s">
        <v>43</v>
      </c>
      <c r="Y530">
        <v>2024</v>
      </c>
      <c r="Z530">
        <v>4</v>
      </c>
      <c r="AA530">
        <v>43</v>
      </c>
    </row>
    <row r="531" spans="1:27" x14ac:dyDescent="0.3">
      <c r="A531" s="2">
        <v>45755</v>
      </c>
      <c r="B531" t="s">
        <v>2</v>
      </c>
      <c r="C531" t="s">
        <v>8</v>
      </c>
      <c r="D531">
        <v>7</v>
      </c>
      <c r="E531">
        <v>30.79</v>
      </c>
      <c r="F531" t="s">
        <v>14</v>
      </c>
      <c r="G531" t="s">
        <v>17</v>
      </c>
      <c r="H531">
        <v>0.1</v>
      </c>
      <c r="I531" t="s">
        <v>23</v>
      </c>
      <c r="J531">
        <v>193.977</v>
      </c>
      <c r="K531" t="s">
        <v>28</v>
      </c>
      <c r="L531" t="s">
        <v>31</v>
      </c>
      <c r="M531">
        <v>1</v>
      </c>
      <c r="N531" t="s">
        <v>604</v>
      </c>
      <c r="O531" t="s">
        <v>2104</v>
      </c>
      <c r="P531">
        <v>11.39</v>
      </c>
      <c r="Q531">
        <f t="shared" si="8"/>
        <v>27.711000000000002</v>
      </c>
      <c r="R531">
        <v>182.58699999999999</v>
      </c>
      <c r="S531" s="2">
        <v>45755</v>
      </c>
      <c r="T531" s="2">
        <v>45763</v>
      </c>
      <c r="U531" t="s">
        <v>35</v>
      </c>
      <c r="V531">
        <v>8</v>
      </c>
      <c r="W531">
        <v>4</v>
      </c>
      <c r="X531" t="s">
        <v>45</v>
      </c>
      <c r="Y531">
        <v>2025</v>
      </c>
      <c r="Z531">
        <v>2</v>
      </c>
      <c r="AA531">
        <v>15</v>
      </c>
    </row>
    <row r="532" spans="1:27" x14ac:dyDescent="0.3">
      <c r="A532" s="2">
        <v>45448</v>
      </c>
      <c r="B532" t="s">
        <v>0</v>
      </c>
      <c r="C532" t="s">
        <v>5</v>
      </c>
      <c r="D532">
        <v>1</v>
      </c>
      <c r="E532">
        <v>561.6</v>
      </c>
      <c r="F532" t="s">
        <v>13</v>
      </c>
      <c r="G532" t="s">
        <v>16</v>
      </c>
      <c r="H532">
        <v>0.15</v>
      </c>
      <c r="I532" t="s">
        <v>19</v>
      </c>
      <c r="J532">
        <v>477.36</v>
      </c>
      <c r="K532" t="s">
        <v>27</v>
      </c>
      <c r="L532" t="s">
        <v>30</v>
      </c>
      <c r="M532">
        <v>0</v>
      </c>
      <c r="N532" t="s">
        <v>605</v>
      </c>
      <c r="O532" t="s">
        <v>2105</v>
      </c>
      <c r="P532">
        <v>38.020000000000003</v>
      </c>
      <c r="Q532">
        <f t="shared" si="8"/>
        <v>477.36</v>
      </c>
      <c r="R532">
        <v>439.34000000000003</v>
      </c>
      <c r="S532" s="2">
        <v>45448</v>
      </c>
      <c r="T532" s="2">
        <v>45453</v>
      </c>
      <c r="U532" t="s">
        <v>33</v>
      </c>
      <c r="V532">
        <v>5</v>
      </c>
      <c r="W532">
        <v>6</v>
      </c>
      <c r="X532" t="s">
        <v>41</v>
      </c>
      <c r="Y532">
        <v>2024</v>
      </c>
      <c r="Z532">
        <v>2</v>
      </c>
      <c r="AA532">
        <v>23</v>
      </c>
    </row>
    <row r="533" spans="1:27" x14ac:dyDescent="0.3">
      <c r="A533" s="2">
        <v>45680</v>
      </c>
      <c r="B533" t="s">
        <v>4</v>
      </c>
      <c r="C533" t="s">
        <v>6</v>
      </c>
      <c r="D533">
        <v>16</v>
      </c>
      <c r="E533">
        <v>193.7</v>
      </c>
      <c r="F533" t="s">
        <v>13</v>
      </c>
      <c r="G533" t="s">
        <v>17</v>
      </c>
      <c r="H533">
        <v>0.15</v>
      </c>
      <c r="I533" t="s">
        <v>23</v>
      </c>
      <c r="J533">
        <v>2634.32</v>
      </c>
      <c r="K533" t="s">
        <v>26</v>
      </c>
      <c r="L533" t="s">
        <v>30</v>
      </c>
      <c r="M533">
        <v>0</v>
      </c>
      <c r="N533" t="s">
        <v>606</v>
      </c>
      <c r="O533" t="s">
        <v>2106</v>
      </c>
      <c r="P533">
        <v>6.83</v>
      </c>
      <c r="Q533">
        <f t="shared" si="8"/>
        <v>164.64500000000001</v>
      </c>
      <c r="R533">
        <v>2627.4900000000002</v>
      </c>
      <c r="S533" s="2">
        <v>45680</v>
      </c>
      <c r="T533" s="2">
        <v>45686</v>
      </c>
      <c r="U533" t="s">
        <v>37</v>
      </c>
      <c r="V533">
        <v>23</v>
      </c>
      <c r="W533">
        <v>1</v>
      </c>
      <c r="X533" t="s">
        <v>42</v>
      </c>
      <c r="Y533">
        <v>2025</v>
      </c>
      <c r="Z533">
        <v>1</v>
      </c>
      <c r="AA533">
        <v>4</v>
      </c>
    </row>
    <row r="534" spans="1:27" x14ac:dyDescent="0.3">
      <c r="A534" s="2">
        <v>45600</v>
      </c>
      <c r="B534" t="s">
        <v>3</v>
      </c>
      <c r="C534" t="s">
        <v>10</v>
      </c>
      <c r="D534">
        <v>17</v>
      </c>
      <c r="E534">
        <v>310.02999999999997</v>
      </c>
      <c r="F534" t="s">
        <v>15</v>
      </c>
      <c r="G534" t="s">
        <v>17</v>
      </c>
      <c r="H534">
        <v>0.05</v>
      </c>
      <c r="I534" t="s">
        <v>21</v>
      </c>
      <c r="J534">
        <v>5006.9844999999987</v>
      </c>
      <c r="K534" t="s">
        <v>24</v>
      </c>
      <c r="L534" t="s">
        <v>29</v>
      </c>
      <c r="M534">
        <v>0</v>
      </c>
      <c r="N534" t="s">
        <v>607</v>
      </c>
      <c r="O534" t="s">
        <v>2107</v>
      </c>
      <c r="P534">
        <v>8.06</v>
      </c>
      <c r="Q534">
        <f t="shared" si="8"/>
        <v>294.52849999999989</v>
      </c>
      <c r="R534">
        <v>4998.9244999999983</v>
      </c>
      <c r="S534" s="2">
        <v>45600</v>
      </c>
      <c r="T534" s="2">
        <v>45608</v>
      </c>
      <c r="U534" t="s">
        <v>36</v>
      </c>
      <c r="V534">
        <v>4</v>
      </c>
      <c r="W534">
        <v>11</v>
      </c>
      <c r="X534" t="s">
        <v>47</v>
      </c>
      <c r="Y534">
        <v>2024</v>
      </c>
      <c r="Z534">
        <v>4</v>
      </c>
      <c r="AA534">
        <v>45</v>
      </c>
    </row>
    <row r="535" spans="1:27" x14ac:dyDescent="0.3">
      <c r="A535" s="2">
        <v>45292</v>
      </c>
      <c r="B535" t="s">
        <v>4</v>
      </c>
      <c r="C535" t="s">
        <v>11</v>
      </c>
      <c r="D535">
        <v>13</v>
      </c>
      <c r="E535">
        <v>204.67</v>
      </c>
      <c r="F535" t="s">
        <v>13</v>
      </c>
      <c r="G535" t="s">
        <v>17</v>
      </c>
      <c r="H535">
        <v>0.15</v>
      </c>
      <c r="I535" t="s">
        <v>19</v>
      </c>
      <c r="J535">
        <v>2261.6035000000002</v>
      </c>
      <c r="K535" t="s">
        <v>24</v>
      </c>
      <c r="L535" t="s">
        <v>32</v>
      </c>
      <c r="M535">
        <v>0</v>
      </c>
      <c r="N535" t="s">
        <v>608</v>
      </c>
      <c r="O535" t="s">
        <v>2108</v>
      </c>
      <c r="P535">
        <v>6.76</v>
      </c>
      <c r="Q535">
        <f t="shared" si="8"/>
        <v>173.96950000000001</v>
      </c>
      <c r="R535">
        <v>2254.8434999999999</v>
      </c>
      <c r="S535" s="2">
        <v>45292</v>
      </c>
      <c r="T535" s="2">
        <v>45296</v>
      </c>
      <c r="U535" t="s">
        <v>37</v>
      </c>
      <c r="V535">
        <v>1</v>
      </c>
      <c r="W535">
        <v>1</v>
      </c>
      <c r="X535" t="s">
        <v>42</v>
      </c>
      <c r="Y535">
        <v>2024</v>
      </c>
      <c r="Z535">
        <v>1</v>
      </c>
      <c r="AA535">
        <v>1</v>
      </c>
    </row>
    <row r="536" spans="1:27" x14ac:dyDescent="0.3">
      <c r="A536" s="2">
        <v>45391</v>
      </c>
      <c r="B536" t="s">
        <v>3</v>
      </c>
      <c r="C536" t="s">
        <v>11</v>
      </c>
      <c r="D536">
        <v>3</v>
      </c>
      <c r="E536">
        <v>250.11</v>
      </c>
      <c r="F536" t="s">
        <v>15</v>
      </c>
      <c r="G536" t="s">
        <v>16</v>
      </c>
      <c r="H536">
        <v>0</v>
      </c>
      <c r="I536" t="s">
        <v>19</v>
      </c>
      <c r="J536">
        <v>750.33</v>
      </c>
      <c r="K536" t="s">
        <v>25</v>
      </c>
      <c r="L536" t="s">
        <v>29</v>
      </c>
      <c r="M536">
        <v>0</v>
      </c>
      <c r="N536" t="s">
        <v>609</v>
      </c>
      <c r="O536" t="s">
        <v>2109</v>
      </c>
      <c r="P536">
        <v>36.35</v>
      </c>
      <c r="Q536">
        <f t="shared" si="8"/>
        <v>250.11</v>
      </c>
      <c r="R536">
        <v>713.98</v>
      </c>
      <c r="S536" s="2">
        <v>45391</v>
      </c>
      <c r="T536" s="2">
        <v>45399</v>
      </c>
      <c r="U536" t="s">
        <v>36</v>
      </c>
      <c r="V536">
        <v>9</v>
      </c>
      <c r="W536">
        <v>4</v>
      </c>
      <c r="X536" t="s">
        <v>45</v>
      </c>
      <c r="Y536">
        <v>2024</v>
      </c>
      <c r="Z536">
        <v>2</v>
      </c>
      <c r="AA536">
        <v>15</v>
      </c>
    </row>
    <row r="537" spans="1:27" x14ac:dyDescent="0.3">
      <c r="A537" s="2">
        <v>45674</v>
      </c>
      <c r="B537" t="s">
        <v>2</v>
      </c>
      <c r="C537" t="s">
        <v>7</v>
      </c>
      <c r="D537">
        <v>12</v>
      </c>
      <c r="E537">
        <v>526.82000000000005</v>
      </c>
      <c r="F537" t="s">
        <v>13</v>
      </c>
      <c r="G537" t="s">
        <v>17</v>
      </c>
      <c r="H537">
        <v>0</v>
      </c>
      <c r="I537" t="s">
        <v>20</v>
      </c>
      <c r="J537">
        <v>6321.84</v>
      </c>
      <c r="K537" t="s">
        <v>26</v>
      </c>
      <c r="L537" t="s">
        <v>31</v>
      </c>
      <c r="M537">
        <v>0</v>
      </c>
      <c r="N537" t="s">
        <v>610</v>
      </c>
      <c r="O537" t="s">
        <v>2110</v>
      </c>
      <c r="P537">
        <v>29.75</v>
      </c>
      <c r="Q537">
        <f t="shared" si="8"/>
        <v>526.82000000000005</v>
      </c>
      <c r="R537">
        <v>6292.09</v>
      </c>
      <c r="S537" s="2">
        <v>45674</v>
      </c>
      <c r="T537" s="2">
        <v>45682</v>
      </c>
      <c r="U537" t="s">
        <v>35</v>
      </c>
      <c r="V537">
        <v>17</v>
      </c>
      <c r="W537">
        <v>1</v>
      </c>
      <c r="X537" t="s">
        <v>42</v>
      </c>
      <c r="Y537">
        <v>2025</v>
      </c>
      <c r="Z537">
        <v>1</v>
      </c>
      <c r="AA537">
        <v>3</v>
      </c>
    </row>
    <row r="538" spans="1:27" x14ac:dyDescent="0.3">
      <c r="A538" s="2">
        <v>45557</v>
      </c>
      <c r="B538" t="s">
        <v>0</v>
      </c>
      <c r="C538" t="s">
        <v>8</v>
      </c>
      <c r="D538">
        <v>18</v>
      </c>
      <c r="E538">
        <v>575.1</v>
      </c>
      <c r="F538" t="s">
        <v>15</v>
      </c>
      <c r="G538" t="s">
        <v>16</v>
      </c>
      <c r="H538">
        <v>0</v>
      </c>
      <c r="I538" t="s">
        <v>23</v>
      </c>
      <c r="J538">
        <v>10351.799999999999</v>
      </c>
      <c r="K538" t="s">
        <v>24</v>
      </c>
      <c r="L538" t="s">
        <v>29</v>
      </c>
      <c r="M538">
        <v>0</v>
      </c>
      <c r="N538" t="s">
        <v>611</v>
      </c>
      <c r="O538" t="s">
        <v>2111</v>
      </c>
      <c r="P538">
        <v>35.32</v>
      </c>
      <c r="Q538">
        <f t="shared" si="8"/>
        <v>575.09999999999991</v>
      </c>
      <c r="R538">
        <v>10316.48</v>
      </c>
      <c r="S538" s="2">
        <v>45557</v>
      </c>
      <c r="T538" s="2">
        <v>45564</v>
      </c>
      <c r="U538" t="s">
        <v>33</v>
      </c>
      <c r="V538">
        <v>22</v>
      </c>
      <c r="W538">
        <v>9</v>
      </c>
      <c r="X538" t="s">
        <v>49</v>
      </c>
      <c r="Y538">
        <v>2024</v>
      </c>
      <c r="Z538">
        <v>3</v>
      </c>
      <c r="AA538">
        <v>38</v>
      </c>
    </row>
    <row r="539" spans="1:27" x14ac:dyDescent="0.3">
      <c r="A539" s="2">
        <v>44946</v>
      </c>
      <c r="B539" t="s">
        <v>0</v>
      </c>
      <c r="C539" t="s">
        <v>9</v>
      </c>
      <c r="D539">
        <v>8</v>
      </c>
      <c r="E539">
        <v>325.52</v>
      </c>
      <c r="F539" t="s">
        <v>14</v>
      </c>
      <c r="G539" t="s">
        <v>17</v>
      </c>
      <c r="H539">
        <v>0.1</v>
      </c>
      <c r="I539" t="s">
        <v>20</v>
      </c>
      <c r="J539">
        <v>2343.7440000000001</v>
      </c>
      <c r="K539" t="s">
        <v>27</v>
      </c>
      <c r="L539" t="s">
        <v>31</v>
      </c>
      <c r="M539">
        <v>0</v>
      </c>
      <c r="N539" t="s">
        <v>612</v>
      </c>
      <c r="O539" t="s">
        <v>2112</v>
      </c>
      <c r="P539">
        <v>45.59</v>
      </c>
      <c r="Q539">
        <f t="shared" si="8"/>
        <v>292.96800000000002</v>
      </c>
      <c r="R539">
        <v>2298.154</v>
      </c>
      <c r="S539" s="2">
        <v>44946</v>
      </c>
      <c r="T539" s="2">
        <v>44951</v>
      </c>
      <c r="U539" t="s">
        <v>33</v>
      </c>
      <c r="V539">
        <v>20</v>
      </c>
      <c r="W539">
        <v>1</v>
      </c>
      <c r="X539" t="s">
        <v>42</v>
      </c>
      <c r="Y539">
        <v>2023</v>
      </c>
      <c r="Z539">
        <v>1</v>
      </c>
      <c r="AA539">
        <v>3</v>
      </c>
    </row>
    <row r="540" spans="1:27" x14ac:dyDescent="0.3">
      <c r="A540" s="2">
        <v>45303</v>
      </c>
      <c r="B540" t="s">
        <v>2</v>
      </c>
      <c r="C540" t="s">
        <v>9</v>
      </c>
      <c r="D540">
        <v>14</v>
      </c>
      <c r="E540">
        <v>157.13999999999999</v>
      </c>
      <c r="F540" t="s">
        <v>13</v>
      </c>
      <c r="G540" t="s">
        <v>16</v>
      </c>
      <c r="H540">
        <v>0.15</v>
      </c>
      <c r="I540" t="s">
        <v>22</v>
      </c>
      <c r="J540">
        <v>1869.9659999999999</v>
      </c>
      <c r="K540" t="s">
        <v>25</v>
      </c>
      <c r="L540" t="s">
        <v>30</v>
      </c>
      <c r="M540">
        <v>0</v>
      </c>
      <c r="N540" t="s">
        <v>613</v>
      </c>
      <c r="O540" t="s">
        <v>2113</v>
      </c>
      <c r="P540">
        <v>36.04</v>
      </c>
      <c r="Q540">
        <f t="shared" si="8"/>
        <v>133.56899999999999</v>
      </c>
      <c r="R540">
        <v>1833.9259999999999</v>
      </c>
      <c r="S540" s="2">
        <v>45303</v>
      </c>
      <c r="T540" s="2">
        <v>45313</v>
      </c>
      <c r="U540" t="s">
        <v>35</v>
      </c>
      <c r="V540">
        <v>12</v>
      </c>
      <c r="W540">
        <v>1</v>
      </c>
      <c r="X540" t="s">
        <v>42</v>
      </c>
      <c r="Y540">
        <v>2024</v>
      </c>
      <c r="Z540">
        <v>1</v>
      </c>
      <c r="AA540">
        <v>2</v>
      </c>
    </row>
    <row r="541" spans="1:27" x14ac:dyDescent="0.3">
      <c r="A541" s="2">
        <v>45390</v>
      </c>
      <c r="B541" t="s">
        <v>3</v>
      </c>
      <c r="C541" t="s">
        <v>5</v>
      </c>
      <c r="D541">
        <v>10</v>
      </c>
      <c r="E541">
        <v>100.26</v>
      </c>
      <c r="F541" t="s">
        <v>15</v>
      </c>
      <c r="G541" t="s">
        <v>16</v>
      </c>
      <c r="H541">
        <v>0.05</v>
      </c>
      <c r="I541" t="s">
        <v>21</v>
      </c>
      <c r="J541">
        <v>952.47</v>
      </c>
      <c r="K541" t="s">
        <v>25</v>
      </c>
      <c r="L541" t="s">
        <v>30</v>
      </c>
      <c r="M541">
        <v>0</v>
      </c>
      <c r="N541" t="s">
        <v>614</v>
      </c>
      <c r="O541" t="s">
        <v>2114</v>
      </c>
      <c r="P541">
        <v>36.71</v>
      </c>
      <c r="Q541">
        <f t="shared" si="8"/>
        <v>95.247</v>
      </c>
      <c r="R541">
        <v>915.76</v>
      </c>
      <c r="S541" s="2">
        <v>45390</v>
      </c>
      <c r="T541" s="2">
        <v>45397</v>
      </c>
      <c r="U541" t="s">
        <v>36</v>
      </c>
      <c r="V541">
        <v>8</v>
      </c>
      <c r="W541">
        <v>4</v>
      </c>
      <c r="X541" t="s">
        <v>45</v>
      </c>
      <c r="Y541">
        <v>2024</v>
      </c>
      <c r="Z541">
        <v>2</v>
      </c>
      <c r="AA541">
        <v>15</v>
      </c>
    </row>
    <row r="542" spans="1:27" x14ac:dyDescent="0.3">
      <c r="A542" s="2">
        <v>45043</v>
      </c>
      <c r="B542" t="s">
        <v>3</v>
      </c>
      <c r="C542" t="s">
        <v>5</v>
      </c>
      <c r="D542">
        <v>9</v>
      </c>
      <c r="E542">
        <v>554.48</v>
      </c>
      <c r="F542" t="s">
        <v>14</v>
      </c>
      <c r="G542" t="s">
        <v>16</v>
      </c>
      <c r="H542">
        <v>0</v>
      </c>
      <c r="I542" t="s">
        <v>21</v>
      </c>
      <c r="J542">
        <v>4990.32</v>
      </c>
      <c r="K542" t="s">
        <v>24</v>
      </c>
      <c r="L542" t="s">
        <v>32</v>
      </c>
      <c r="M542">
        <v>0</v>
      </c>
      <c r="N542" t="s">
        <v>615</v>
      </c>
      <c r="O542" t="s">
        <v>2115</v>
      </c>
      <c r="P542">
        <v>48.26</v>
      </c>
      <c r="Q542">
        <f t="shared" si="8"/>
        <v>554.48</v>
      </c>
      <c r="R542">
        <v>4942.0599999999995</v>
      </c>
      <c r="S542" s="2">
        <v>45043</v>
      </c>
      <c r="T542" s="2">
        <v>45047</v>
      </c>
      <c r="U542" t="s">
        <v>36</v>
      </c>
      <c r="V542">
        <v>27</v>
      </c>
      <c r="W542">
        <v>4</v>
      </c>
      <c r="X542" t="s">
        <v>45</v>
      </c>
      <c r="Y542">
        <v>2023</v>
      </c>
      <c r="Z542">
        <v>2</v>
      </c>
      <c r="AA542">
        <v>17</v>
      </c>
    </row>
    <row r="543" spans="1:27" x14ac:dyDescent="0.3">
      <c r="A543" s="2">
        <v>45490</v>
      </c>
      <c r="B543" t="s">
        <v>2</v>
      </c>
      <c r="C543" t="s">
        <v>6</v>
      </c>
      <c r="D543">
        <v>4</v>
      </c>
      <c r="E543">
        <v>375.96</v>
      </c>
      <c r="F543" t="s">
        <v>14</v>
      </c>
      <c r="G543" t="s">
        <v>17</v>
      </c>
      <c r="H543">
        <v>0.15</v>
      </c>
      <c r="I543" t="s">
        <v>21</v>
      </c>
      <c r="J543">
        <v>1278.2639999999999</v>
      </c>
      <c r="K543" t="s">
        <v>27</v>
      </c>
      <c r="L543" t="s">
        <v>32</v>
      </c>
      <c r="M543">
        <v>0</v>
      </c>
      <c r="N543" t="s">
        <v>616</v>
      </c>
      <c r="O543" t="s">
        <v>2116</v>
      </c>
      <c r="P543">
        <v>44.99</v>
      </c>
      <c r="Q543">
        <f t="shared" si="8"/>
        <v>319.56599999999997</v>
      </c>
      <c r="R543">
        <v>1233.2739999999999</v>
      </c>
      <c r="S543" s="2">
        <v>45490</v>
      </c>
      <c r="T543" s="2">
        <v>45498</v>
      </c>
      <c r="U543" t="s">
        <v>35</v>
      </c>
      <c r="V543">
        <v>17</v>
      </c>
      <c r="W543">
        <v>7</v>
      </c>
      <c r="X543" t="s">
        <v>46</v>
      </c>
      <c r="Y543">
        <v>2024</v>
      </c>
      <c r="Z543">
        <v>3</v>
      </c>
      <c r="AA543">
        <v>29</v>
      </c>
    </row>
    <row r="544" spans="1:27" x14ac:dyDescent="0.3">
      <c r="A544" s="2">
        <v>45339</v>
      </c>
      <c r="B544" t="s">
        <v>3</v>
      </c>
      <c r="C544" t="s">
        <v>9</v>
      </c>
      <c r="D544">
        <v>14</v>
      </c>
      <c r="E544">
        <v>485.21</v>
      </c>
      <c r="F544" t="s">
        <v>13</v>
      </c>
      <c r="G544" t="s">
        <v>17</v>
      </c>
      <c r="H544">
        <v>0</v>
      </c>
      <c r="I544" t="s">
        <v>20</v>
      </c>
      <c r="J544">
        <v>6792.94</v>
      </c>
      <c r="K544" t="s">
        <v>24</v>
      </c>
      <c r="L544" t="s">
        <v>29</v>
      </c>
      <c r="M544">
        <v>0</v>
      </c>
      <c r="N544" t="s">
        <v>617</v>
      </c>
      <c r="O544" t="s">
        <v>2117</v>
      </c>
      <c r="P544">
        <v>41.72</v>
      </c>
      <c r="Q544">
        <f t="shared" si="8"/>
        <v>485.21</v>
      </c>
      <c r="R544">
        <v>6751.2199999999993</v>
      </c>
      <c r="S544" s="2">
        <v>45339</v>
      </c>
      <c r="T544" s="2">
        <v>45345</v>
      </c>
      <c r="U544" t="s">
        <v>36</v>
      </c>
      <c r="V544">
        <v>17</v>
      </c>
      <c r="W544">
        <v>2</v>
      </c>
      <c r="X544" t="s">
        <v>38</v>
      </c>
      <c r="Y544">
        <v>2024</v>
      </c>
      <c r="Z544">
        <v>1</v>
      </c>
      <c r="AA544">
        <v>7</v>
      </c>
    </row>
    <row r="545" spans="1:27" x14ac:dyDescent="0.3">
      <c r="A545" s="2">
        <v>45316</v>
      </c>
      <c r="B545" t="s">
        <v>1</v>
      </c>
      <c r="C545" t="s">
        <v>9</v>
      </c>
      <c r="D545">
        <v>9</v>
      </c>
      <c r="E545">
        <v>372.44</v>
      </c>
      <c r="F545" t="s">
        <v>13</v>
      </c>
      <c r="G545" t="s">
        <v>16</v>
      </c>
      <c r="H545">
        <v>0.05</v>
      </c>
      <c r="I545" t="s">
        <v>22</v>
      </c>
      <c r="J545">
        <v>3184.3620000000001</v>
      </c>
      <c r="K545" t="s">
        <v>25</v>
      </c>
      <c r="L545" t="s">
        <v>29</v>
      </c>
      <c r="M545">
        <v>0</v>
      </c>
      <c r="N545" t="s">
        <v>618</v>
      </c>
      <c r="O545" t="s">
        <v>2118</v>
      </c>
      <c r="P545">
        <v>41.87</v>
      </c>
      <c r="Q545">
        <f t="shared" si="8"/>
        <v>353.81799999999998</v>
      </c>
      <c r="R545">
        <v>3142.4920000000002</v>
      </c>
      <c r="S545" s="2">
        <v>45316</v>
      </c>
      <c r="T545" s="2">
        <v>45324</v>
      </c>
      <c r="U545" t="s">
        <v>34</v>
      </c>
      <c r="V545">
        <v>25</v>
      </c>
      <c r="W545">
        <v>1</v>
      </c>
      <c r="X545" t="s">
        <v>42</v>
      </c>
      <c r="Y545">
        <v>2024</v>
      </c>
      <c r="Z545">
        <v>1</v>
      </c>
      <c r="AA545">
        <v>4</v>
      </c>
    </row>
    <row r="546" spans="1:27" x14ac:dyDescent="0.3">
      <c r="A546" s="2">
        <v>45375</v>
      </c>
      <c r="B546" t="s">
        <v>3</v>
      </c>
      <c r="C546" t="s">
        <v>5</v>
      </c>
      <c r="D546">
        <v>7</v>
      </c>
      <c r="E546">
        <v>140.53</v>
      </c>
      <c r="F546" t="s">
        <v>15</v>
      </c>
      <c r="G546" t="s">
        <v>17</v>
      </c>
      <c r="H546">
        <v>0</v>
      </c>
      <c r="I546" t="s">
        <v>20</v>
      </c>
      <c r="J546">
        <v>983.71</v>
      </c>
      <c r="K546" t="s">
        <v>27</v>
      </c>
      <c r="L546" t="s">
        <v>32</v>
      </c>
      <c r="M546">
        <v>1</v>
      </c>
      <c r="N546" t="s">
        <v>619</v>
      </c>
      <c r="O546" t="s">
        <v>2119</v>
      </c>
      <c r="P546">
        <v>24.53</v>
      </c>
      <c r="Q546">
        <f t="shared" si="8"/>
        <v>140.53</v>
      </c>
      <c r="R546">
        <v>959.18000000000006</v>
      </c>
      <c r="S546" s="2">
        <v>45375</v>
      </c>
      <c r="T546" s="2">
        <v>45384</v>
      </c>
      <c r="U546" t="s">
        <v>36</v>
      </c>
      <c r="V546">
        <v>24</v>
      </c>
      <c r="W546">
        <v>3</v>
      </c>
      <c r="X546" t="s">
        <v>44</v>
      </c>
      <c r="Y546">
        <v>2024</v>
      </c>
      <c r="Z546">
        <v>1</v>
      </c>
      <c r="AA546">
        <v>12</v>
      </c>
    </row>
    <row r="547" spans="1:27" x14ac:dyDescent="0.3">
      <c r="A547" s="2">
        <v>45102</v>
      </c>
      <c r="B547" t="s">
        <v>2</v>
      </c>
      <c r="C547" t="s">
        <v>7</v>
      </c>
      <c r="D547">
        <v>15</v>
      </c>
      <c r="E547">
        <v>365.61</v>
      </c>
      <c r="F547" t="s">
        <v>15</v>
      </c>
      <c r="G547" t="s">
        <v>17</v>
      </c>
      <c r="H547">
        <v>0.15</v>
      </c>
      <c r="I547" t="s">
        <v>23</v>
      </c>
      <c r="J547">
        <v>4661.5275000000001</v>
      </c>
      <c r="K547" t="s">
        <v>28</v>
      </c>
      <c r="L547" t="s">
        <v>29</v>
      </c>
      <c r="M547">
        <v>0</v>
      </c>
      <c r="N547" t="s">
        <v>620</v>
      </c>
      <c r="O547" t="s">
        <v>2120</v>
      </c>
      <c r="P547">
        <v>35.840000000000003</v>
      </c>
      <c r="Q547">
        <f t="shared" si="8"/>
        <v>310.76850000000002</v>
      </c>
      <c r="R547">
        <v>4625.6875</v>
      </c>
      <c r="S547" s="2">
        <v>45102</v>
      </c>
      <c r="T547" s="2">
        <v>45104</v>
      </c>
      <c r="U547" t="s">
        <v>35</v>
      </c>
      <c r="V547">
        <v>25</v>
      </c>
      <c r="W547">
        <v>6</v>
      </c>
      <c r="X547" t="s">
        <v>41</v>
      </c>
      <c r="Y547">
        <v>2023</v>
      </c>
      <c r="Z547">
        <v>2</v>
      </c>
      <c r="AA547">
        <v>25</v>
      </c>
    </row>
    <row r="548" spans="1:27" x14ac:dyDescent="0.3">
      <c r="A548" s="2">
        <v>45033</v>
      </c>
      <c r="B548" t="s">
        <v>1</v>
      </c>
      <c r="C548" t="s">
        <v>5</v>
      </c>
      <c r="D548">
        <v>20</v>
      </c>
      <c r="E548">
        <v>353.97</v>
      </c>
      <c r="F548" t="s">
        <v>12</v>
      </c>
      <c r="G548" t="s">
        <v>16</v>
      </c>
      <c r="H548">
        <v>0.15</v>
      </c>
      <c r="I548" t="s">
        <v>20</v>
      </c>
      <c r="J548">
        <v>6017.4900000000007</v>
      </c>
      <c r="K548" t="s">
        <v>28</v>
      </c>
      <c r="L548" t="s">
        <v>31</v>
      </c>
      <c r="M548">
        <v>1</v>
      </c>
      <c r="N548" t="s">
        <v>621</v>
      </c>
      <c r="O548" t="s">
        <v>2121</v>
      </c>
      <c r="P548">
        <v>22.05</v>
      </c>
      <c r="Q548">
        <f t="shared" si="8"/>
        <v>300.87450000000001</v>
      </c>
      <c r="R548">
        <v>5995.4400000000005</v>
      </c>
      <c r="S548" s="2">
        <v>45033</v>
      </c>
      <c r="T548" s="2">
        <v>45036</v>
      </c>
      <c r="U548" t="s">
        <v>34</v>
      </c>
      <c r="V548">
        <v>17</v>
      </c>
      <c r="W548">
        <v>4</v>
      </c>
      <c r="X548" t="s">
        <v>45</v>
      </c>
      <c r="Y548">
        <v>2023</v>
      </c>
      <c r="Z548">
        <v>2</v>
      </c>
      <c r="AA548">
        <v>16</v>
      </c>
    </row>
    <row r="549" spans="1:27" x14ac:dyDescent="0.3">
      <c r="A549" s="2">
        <v>45105</v>
      </c>
      <c r="B549" t="s">
        <v>0</v>
      </c>
      <c r="C549" t="s">
        <v>8</v>
      </c>
      <c r="D549">
        <v>14</v>
      </c>
      <c r="E549">
        <v>293.31</v>
      </c>
      <c r="F549" t="s">
        <v>15</v>
      </c>
      <c r="G549" t="s">
        <v>16</v>
      </c>
      <c r="H549">
        <v>0</v>
      </c>
      <c r="I549" t="s">
        <v>19</v>
      </c>
      <c r="J549">
        <v>4106.34</v>
      </c>
      <c r="K549" t="s">
        <v>25</v>
      </c>
      <c r="L549" t="s">
        <v>32</v>
      </c>
      <c r="M549">
        <v>0</v>
      </c>
      <c r="N549" t="s">
        <v>622</v>
      </c>
      <c r="O549" t="s">
        <v>2122</v>
      </c>
      <c r="P549">
        <v>21.61</v>
      </c>
      <c r="Q549">
        <f t="shared" si="8"/>
        <v>293.31</v>
      </c>
      <c r="R549">
        <v>4084.73</v>
      </c>
      <c r="S549" s="2">
        <v>45105</v>
      </c>
      <c r="T549" s="2">
        <v>45107</v>
      </c>
      <c r="U549" t="s">
        <v>33</v>
      </c>
      <c r="V549">
        <v>28</v>
      </c>
      <c r="W549">
        <v>6</v>
      </c>
      <c r="X549" t="s">
        <v>41</v>
      </c>
      <c r="Y549">
        <v>2023</v>
      </c>
      <c r="Z549">
        <v>2</v>
      </c>
      <c r="AA549">
        <v>26</v>
      </c>
    </row>
    <row r="550" spans="1:27" x14ac:dyDescent="0.3">
      <c r="A550" s="2">
        <v>45388</v>
      </c>
      <c r="B550" t="s">
        <v>3</v>
      </c>
      <c r="C550" t="s">
        <v>8</v>
      </c>
      <c r="D550">
        <v>10</v>
      </c>
      <c r="E550">
        <v>397.39</v>
      </c>
      <c r="F550" t="s">
        <v>15</v>
      </c>
      <c r="G550" t="s">
        <v>17</v>
      </c>
      <c r="H550">
        <v>0.15</v>
      </c>
      <c r="I550" t="s">
        <v>19</v>
      </c>
      <c r="J550">
        <v>3377.8150000000001</v>
      </c>
      <c r="K550" t="s">
        <v>25</v>
      </c>
      <c r="L550" t="s">
        <v>32</v>
      </c>
      <c r="M550">
        <v>0</v>
      </c>
      <c r="N550" t="s">
        <v>623</v>
      </c>
      <c r="O550" t="s">
        <v>2123</v>
      </c>
      <c r="P550">
        <v>25.27</v>
      </c>
      <c r="Q550">
        <f t="shared" si="8"/>
        <v>337.78149999999999</v>
      </c>
      <c r="R550">
        <v>3352.5450000000001</v>
      </c>
      <c r="S550" s="2">
        <v>45388</v>
      </c>
      <c r="T550" s="2">
        <v>45398</v>
      </c>
      <c r="U550" t="s">
        <v>36</v>
      </c>
      <c r="V550">
        <v>6</v>
      </c>
      <c r="W550">
        <v>4</v>
      </c>
      <c r="X550" t="s">
        <v>45</v>
      </c>
      <c r="Y550">
        <v>2024</v>
      </c>
      <c r="Z550">
        <v>2</v>
      </c>
      <c r="AA550">
        <v>14</v>
      </c>
    </row>
    <row r="551" spans="1:27" x14ac:dyDescent="0.3">
      <c r="A551" s="2">
        <v>45705</v>
      </c>
      <c r="B551" t="s">
        <v>1</v>
      </c>
      <c r="C551" t="s">
        <v>8</v>
      </c>
      <c r="D551">
        <v>2</v>
      </c>
      <c r="E551">
        <v>98.35</v>
      </c>
      <c r="F551" t="s">
        <v>14</v>
      </c>
      <c r="G551" t="s">
        <v>17</v>
      </c>
      <c r="H551">
        <v>0</v>
      </c>
      <c r="I551" t="s">
        <v>18</v>
      </c>
      <c r="J551">
        <v>196.7</v>
      </c>
      <c r="K551" t="s">
        <v>27</v>
      </c>
      <c r="L551" t="s">
        <v>29</v>
      </c>
      <c r="M551">
        <v>0</v>
      </c>
      <c r="N551" t="s">
        <v>624</v>
      </c>
      <c r="O551" t="s">
        <v>2124</v>
      </c>
      <c r="P551">
        <v>28.65</v>
      </c>
      <c r="Q551">
        <f t="shared" si="8"/>
        <v>98.35</v>
      </c>
      <c r="R551">
        <v>168.04999999999998</v>
      </c>
      <c r="S551" s="2">
        <v>45705</v>
      </c>
      <c r="T551" s="2">
        <v>45707</v>
      </c>
      <c r="U551" t="s">
        <v>34</v>
      </c>
      <c r="V551">
        <v>17</v>
      </c>
      <c r="W551">
        <v>2</v>
      </c>
      <c r="X551" t="s">
        <v>38</v>
      </c>
      <c r="Y551">
        <v>2025</v>
      </c>
      <c r="Z551">
        <v>1</v>
      </c>
      <c r="AA551">
        <v>8</v>
      </c>
    </row>
    <row r="552" spans="1:27" x14ac:dyDescent="0.3">
      <c r="A552" s="2">
        <v>44934</v>
      </c>
      <c r="B552" t="s">
        <v>1</v>
      </c>
      <c r="C552" t="s">
        <v>7</v>
      </c>
      <c r="D552">
        <v>6</v>
      </c>
      <c r="E552">
        <v>581.66999999999996</v>
      </c>
      <c r="F552" t="s">
        <v>13</v>
      </c>
      <c r="G552" t="s">
        <v>16</v>
      </c>
      <c r="H552">
        <v>0</v>
      </c>
      <c r="I552" t="s">
        <v>20</v>
      </c>
      <c r="J552">
        <v>3490.02</v>
      </c>
      <c r="K552" t="s">
        <v>27</v>
      </c>
      <c r="L552" t="s">
        <v>32</v>
      </c>
      <c r="M552">
        <v>0</v>
      </c>
      <c r="N552" t="s">
        <v>625</v>
      </c>
      <c r="O552" t="s">
        <v>2125</v>
      </c>
      <c r="P552">
        <v>39.4</v>
      </c>
      <c r="Q552">
        <f t="shared" si="8"/>
        <v>581.66999999999996</v>
      </c>
      <c r="R552">
        <v>3450.62</v>
      </c>
      <c r="S552" s="2">
        <v>44934</v>
      </c>
      <c r="T552" s="2">
        <v>44937</v>
      </c>
      <c r="U552" t="s">
        <v>34</v>
      </c>
      <c r="V552">
        <v>8</v>
      </c>
      <c r="W552">
        <v>1</v>
      </c>
      <c r="X552" t="s">
        <v>42</v>
      </c>
      <c r="Y552">
        <v>2023</v>
      </c>
      <c r="Z552">
        <v>1</v>
      </c>
      <c r="AA552">
        <v>1</v>
      </c>
    </row>
    <row r="553" spans="1:27" x14ac:dyDescent="0.3">
      <c r="A553" s="2">
        <v>45281</v>
      </c>
      <c r="B553" t="s">
        <v>1</v>
      </c>
      <c r="C553" t="s">
        <v>6</v>
      </c>
      <c r="D553">
        <v>19</v>
      </c>
      <c r="E553">
        <v>30.41</v>
      </c>
      <c r="F553" t="s">
        <v>15</v>
      </c>
      <c r="G553" t="s">
        <v>17</v>
      </c>
      <c r="H553">
        <v>0.05</v>
      </c>
      <c r="I553" t="s">
        <v>20</v>
      </c>
      <c r="J553">
        <v>548.90049999999997</v>
      </c>
      <c r="K553" t="s">
        <v>27</v>
      </c>
      <c r="L553" t="s">
        <v>29</v>
      </c>
      <c r="M553">
        <v>0</v>
      </c>
      <c r="N553" t="s">
        <v>626</v>
      </c>
      <c r="O553" t="s">
        <v>2126</v>
      </c>
      <c r="P553">
        <v>48.33</v>
      </c>
      <c r="Q553">
        <f t="shared" si="8"/>
        <v>28.889499999999998</v>
      </c>
      <c r="R553">
        <v>500.57049999999998</v>
      </c>
      <c r="S553" s="2">
        <v>45281</v>
      </c>
      <c r="T553" s="2">
        <v>45291</v>
      </c>
      <c r="U553" t="s">
        <v>34</v>
      </c>
      <c r="V553">
        <v>21</v>
      </c>
      <c r="W553">
        <v>12</v>
      </c>
      <c r="X553" t="s">
        <v>39</v>
      </c>
      <c r="Y553">
        <v>2023</v>
      </c>
      <c r="Z553">
        <v>4</v>
      </c>
      <c r="AA553">
        <v>51</v>
      </c>
    </row>
    <row r="554" spans="1:27" x14ac:dyDescent="0.3">
      <c r="A554" s="2">
        <v>45486</v>
      </c>
      <c r="B554" t="s">
        <v>2</v>
      </c>
      <c r="C554" t="s">
        <v>9</v>
      </c>
      <c r="D554">
        <v>15</v>
      </c>
      <c r="E554">
        <v>368.79</v>
      </c>
      <c r="F554" t="s">
        <v>14</v>
      </c>
      <c r="G554" t="s">
        <v>16</v>
      </c>
      <c r="H554">
        <v>0.1</v>
      </c>
      <c r="I554" t="s">
        <v>23</v>
      </c>
      <c r="J554">
        <v>4978.6650000000009</v>
      </c>
      <c r="K554" t="s">
        <v>25</v>
      </c>
      <c r="L554" t="s">
        <v>31</v>
      </c>
      <c r="M554">
        <v>0</v>
      </c>
      <c r="N554" t="s">
        <v>627</v>
      </c>
      <c r="O554" t="s">
        <v>2127</v>
      </c>
      <c r="P554">
        <v>16.899999999999999</v>
      </c>
      <c r="Q554">
        <f t="shared" si="8"/>
        <v>331.91100000000006</v>
      </c>
      <c r="R554">
        <v>4961.7650000000012</v>
      </c>
      <c r="S554" s="2">
        <v>45486</v>
      </c>
      <c r="T554" s="2">
        <v>45488</v>
      </c>
      <c r="U554" t="s">
        <v>35</v>
      </c>
      <c r="V554">
        <v>13</v>
      </c>
      <c r="W554">
        <v>7</v>
      </c>
      <c r="X554" t="s">
        <v>46</v>
      </c>
      <c r="Y554">
        <v>2024</v>
      </c>
      <c r="Z554">
        <v>3</v>
      </c>
      <c r="AA554">
        <v>28</v>
      </c>
    </row>
    <row r="555" spans="1:27" x14ac:dyDescent="0.3">
      <c r="A555" s="2">
        <v>45374</v>
      </c>
      <c r="B555" t="s">
        <v>4</v>
      </c>
      <c r="C555" t="s">
        <v>9</v>
      </c>
      <c r="D555">
        <v>4</v>
      </c>
      <c r="E555">
        <v>56.06</v>
      </c>
      <c r="F555" t="s">
        <v>15</v>
      </c>
      <c r="G555" t="s">
        <v>17</v>
      </c>
      <c r="H555">
        <v>0.15</v>
      </c>
      <c r="I555" t="s">
        <v>21</v>
      </c>
      <c r="J555">
        <v>190.60400000000001</v>
      </c>
      <c r="K555" t="s">
        <v>28</v>
      </c>
      <c r="L555" t="s">
        <v>30</v>
      </c>
      <c r="M555">
        <v>0</v>
      </c>
      <c r="N555" t="s">
        <v>628</v>
      </c>
      <c r="O555" t="s">
        <v>2128</v>
      </c>
      <c r="P555">
        <v>10.77</v>
      </c>
      <c r="Q555">
        <f t="shared" si="8"/>
        <v>47.651000000000003</v>
      </c>
      <c r="R555">
        <v>179.834</v>
      </c>
      <c r="S555" s="2">
        <v>45374</v>
      </c>
      <c r="T555" s="2">
        <v>45383</v>
      </c>
      <c r="U555" t="s">
        <v>37</v>
      </c>
      <c r="V555">
        <v>23</v>
      </c>
      <c r="W555">
        <v>3</v>
      </c>
      <c r="X555" t="s">
        <v>44</v>
      </c>
      <c r="Y555">
        <v>2024</v>
      </c>
      <c r="Z555">
        <v>1</v>
      </c>
      <c r="AA555">
        <v>12</v>
      </c>
    </row>
    <row r="556" spans="1:27" x14ac:dyDescent="0.3">
      <c r="A556" s="2">
        <v>45370</v>
      </c>
      <c r="B556" t="s">
        <v>4</v>
      </c>
      <c r="C556" t="s">
        <v>8</v>
      </c>
      <c r="D556">
        <v>7</v>
      </c>
      <c r="E556">
        <v>15.65</v>
      </c>
      <c r="F556" t="s">
        <v>15</v>
      </c>
      <c r="G556" t="s">
        <v>16</v>
      </c>
      <c r="H556">
        <v>0</v>
      </c>
      <c r="I556" t="s">
        <v>21</v>
      </c>
      <c r="J556">
        <v>109.55</v>
      </c>
      <c r="K556" t="s">
        <v>27</v>
      </c>
      <c r="L556" t="s">
        <v>32</v>
      </c>
      <c r="M556">
        <v>0</v>
      </c>
      <c r="N556" t="s">
        <v>629</v>
      </c>
      <c r="O556" t="s">
        <v>2129</v>
      </c>
      <c r="P556">
        <v>13.28</v>
      </c>
      <c r="Q556">
        <f t="shared" si="8"/>
        <v>15.65</v>
      </c>
      <c r="R556">
        <v>96.27</v>
      </c>
      <c r="S556" s="2">
        <v>45370</v>
      </c>
      <c r="T556" s="2">
        <v>45376</v>
      </c>
      <c r="U556" t="s">
        <v>37</v>
      </c>
      <c r="V556">
        <v>19</v>
      </c>
      <c r="W556">
        <v>3</v>
      </c>
      <c r="X556" t="s">
        <v>44</v>
      </c>
      <c r="Y556">
        <v>2024</v>
      </c>
      <c r="Z556">
        <v>1</v>
      </c>
      <c r="AA556">
        <v>12</v>
      </c>
    </row>
    <row r="557" spans="1:27" x14ac:dyDescent="0.3">
      <c r="A557" s="2">
        <v>45797</v>
      </c>
      <c r="B557" t="s">
        <v>3</v>
      </c>
      <c r="C557" t="s">
        <v>10</v>
      </c>
      <c r="D557">
        <v>9</v>
      </c>
      <c r="E557">
        <v>380.85</v>
      </c>
      <c r="F557" t="s">
        <v>12</v>
      </c>
      <c r="G557" t="s">
        <v>16</v>
      </c>
      <c r="H557">
        <v>0</v>
      </c>
      <c r="I557" t="s">
        <v>21</v>
      </c>
      <c r="J557">
        <v>3427.65</v>
      </c>
      <c r="K557" t="s">
        <v>28</v>
      </c>
      <c r="L557" t="s">
        <v>29</v>
      </c>
      <c r="M557">
        <v>0</v>
      </c>
      <c r="N557" t="s">
        <v>630</v>
      </c>
      <c r="O557" t="s">
        <v>2130</v>
      </c>
      <c r="P557">
        <v>33.4</v>
      </c>
      <c r="Q557">
        <f t="shared" si="8"/>
        <v>380.85</v>
      </c>
      <c r="R557">
        <v>3394.25</v>
      </c>
      <c r="S557" s="2">
        <v>45797</v>
      </c>
      <c r="T557" s="2">
        <v>45806</v>
      </c>
      <c r="U557" t="s">
        <v>36</v>
      </c>
      <c r="V557">
        <v>20</v>
      </c>
      <c r="W557">
        <v>5</v>
      </c>
      <c r="X557" t="s">
        <v>40</v>
      </c>
      <c r="Y557">
        <v>2025</v>
      </c>
      <c r="Z557">
        <v>2</v>
      </c>
      <c r="AA557">
        <v>21</v>
      </c>
    </row>
    <row r="558" spans="1:27" x14ac:dyDescent="0.3">
      <c r="A558" s="2">
        <v>45676</v>
      </c>
      <c r="B558" t="s">
        <v>1</v>
      </c>
      <c r="C558" t="s">
        <v>8</v>
      </c>
      <c r="D558">
        <v>11</v>
      </c>
      <c r="E558">
        <v>587.21</v>
      </c>
      <c r="F558" t="s">
        <v>14</v>
      </c>
      <c r="G558" t="s">
        <v>16</v>
      </c>
      <c r="H558">
        <v>0</v>
      </c>
      <c r="I558" t="s">
        <v>21</v>
      </c>
      <c r="J558">
        <v>6459.31</v>
      </c>
      <c r="K558" t="s">
        <v>27</v>
      </c>
      <c r="L558" t="s">
        <v>31</v>
      </c>
      <c r="M558">
        <v>0</v>
      </c>
      <c r="N558" t="s">
        <v>631</v>
      </c>
      <c r="O558" t="s">
        <v>2131</v>
      </c>
      <c r="P558">
        <v>34.32</v>
      </c>
      <c r="Q558">
        <f t="shared" si="8"/>
        <v>587.21</v>
      </c>
      <c r="R558">
        <v>6424.9900000000007</v>
      </c>
      <c r="S558" s="2">
        <v>45676</v>
      </c>
      <c r="T558" s="2">
        <v>45683</v>
      </c>
      <c r="U558" t="s">
        <v>34</v>
      </c>
      <c r="V558">
        <v>19</v>
      </c>
      <c r="W558">
        <v>1</v>
      </c>
      <c r="X558" t="s">
        <v>42</v>
      </c>
      <c r="Y558">
        <v>2025</v>
      </c>
      <c r="Z558">
        <v>1</v>
      </c>
      <c r="AA558">
        <v>3</v>
      </c>
    </row>
    <row r="559" spans="1:27" x14ac:dyDescent="0.3">
      <c r="A559" s="2">
        <v>45074</v>
      </c>
      <c r="B559" t="s">
        <v>1</v>
      </c>
      <c r="C559" t="s">
        <v>11</v>
      </c>
      <c r="D559">
        <v>17</v>
      </c>
      <c r="E559">
        <v>554.25</v>
      </c>
      <c r="F559" t="s">
        <v>13</v>
      </c>
      <c r="G559" t="s">
        <v>16</v>
      </c>
      <c r="H559">
        <v>0.1</v>
      </c>
      <c r="I559" t="s">
        <v>22</v>
      </c>
      <c r="J559">
        <v>8480.0249999999996</v>
      </c>
      <c r="K559" t="s">
        <v>27</v>
      </c>
      <c r="L559" t="s">
        <v>32</v>
      </c>
      <c r="M559">
        <v>0</v>
      </c>
      <c r="N559" t="s">
        <v>632</v>
      </c>
      <c r="O559" t="s">
        <v>2132</v>
      </c>
      <c r="P559">
        <v>8.66</v>
      </c>
      <c r="Q559">
        <f t="shared" si="8"/>
        <v>498.82499999999999</v>
      </c>
      <c r="R559">
        <v>8471.3649999999998</v>
      </c>
      <c r="S559" s="2">
        <v>45074</v>
      </c>
      <c r="T559" s="2">
        <v>45078</v>
      </c>
      <c r="U559" t="s">
        <v>34</v>
      </c>
      <c r="V559">
        <v>28</v>
      </c>
      <c r="W559">
        <v>5</v>
      </c>
      <c r="X559" t="s">
        <v>40</v>
      </c>
      <c r="Y559">
        <v>2023</v>
      </c>
      <c r="Z559">
        <v>2</v>
      </c>
      <c r="AA559">
        <v>21</v>
      </c>
    </row>
    <row r="560" spans="1:27" x14ac:dyDescent="0.3">
      <c r="A560" s="2">
        <v>45227</v>
      </c>
      <c r="B560" t="s">
        <v>0</v>
      </c>
      <c r="C560" t="s">
        <v>11</v>
      </c>
      <c r="D560">
        <v>3</v>
      </c>
      <c r="E560">
        <v>410.23</v>
      </c>
      <c r="F560" t="s">
        <v>13</v>
      </c>
      <c r="G560" t="s">
        <v>16</v>
      </c>
      <c r="H560">
        <v>0.15</v>
      </c>
      <c r="I560" t="s">
        <v>22</v>
      </c>
      <c r="J560">
        <v>1046.0864999999999</v>
      </c>
      <c r="K560" t="s">
        <v>26</v>
      </c>
      <c r="L560" t="s">
        <v>29</v>
      </c>
      <c r="M560">
        <v>0</v>
      </c>
      <c r="N560" t="s">
        <v>633</v>
      </c>
      <c r="O560" t="s">
        <v>2133</v>
      </c>
      <c r="P560">
        <v>6.04</v>
      </c>
      <c r="Q560">
        <f t="shared" si="8"/>
        <v>348.69549999999998</v>
      </c>
      <c r="R560">
        <v>1040.0464999999999</v>
      </c>
      <c r="S560" s="2">
        <v>45227</v>
      </c>
      <c r="T560" s="2">
        <v>45233</v>
      </c>
      <c r="U560" t="s">
        <v>33</v>
      </c>
      <c r="V560">
        <v>28</v>
      </c>
      <c r="W560">
        <v>10</v>
      </c>
      <c r="X560" t="s">
        <v>43</v>
      </c>
      <c r="Y560">
        <v>2023</v>
      </c>
      <c r="Z560">
        <v>4</v>
      </c>
      <c r="AA560">
        <v>43</v>
      </c>
    </row>
    <row r="561" spans="1:27" x14ac:dyDescent="0.3">
      <c r="A561" s="2">
        <v>45255</v>
      </c>
      <c r="B561" t="s">
        <v>4</v>
      </c>
      <c r="C561" t="s">
        <v>9</v>
      </c>
      <c r="D561">
        <v>5</v>
      </c>
      <c r="E561">
        <v>99.23</v>
      </c>
      <c r="F561" t="s">
        <v>12</v>
      </c>
      <c r="G561" t="s">
        <v>17</v>
      </c>
      <c r="H561">
        <v>0</v>
      </c>
      <c r="I561" t="s">
        <v>18</v>
      </c>
      <c r="J561">
        <v>496.15</v>
      </c>
      <c r="K561" t="s">
        <v>27</v>
      </c>
      <c r="L561" t="s">
        <v>32</v>
      </c>
      <c r="M561">
        <v>0</v>
      </c>
      <c r="N561" t="s">
        <v>634</v>
      </c>
      <c r="O561" t="s">
        <v>2134</v>
      </c>
      <c r="P561">
        <v>37.659999999999997</v>
      </c>
      <c r="Q561">
        <f t="shared" si="8"/>
        <v>99.22999999999999</v>
      </c>
      <c r="R561">
        <v>458.49</v>
      </c>
      <c r="S561" s="2">
        <v>45255</v>
      </c>
      <c r="T561" s="2">
        <v>45262</v>
      </c>
      <c r="U561" t="s">
        <v>37</v>
      </c>
      <c r="V561">
        <v>25</v>
      </c>
      <c r="W561">
        <v>11</v>
      </c>
      <c r="X561" t="s">
        <v>47</v>
      </c>
      <c r="Y561">
        <v>2023</v>
      </c>
      <c r="Z561">
        <v>4</v>
      </c>
      <c r="AA561">
        <v>47</v>
      </c>
    </row>
    <row r="562" spans="1:27" x14ac:dyDescent="0.3">
      <c r="A562" s="2">
        <v>45613</v>
      </c>
      <c r="B562" t="s">
        <v>1</v>
      </c>
      <c r="C562" t="s">
        <v>9</v>
      </c>
      <c r="D562">
        <v>9</v>
      </c>
      <c r="E562">
        <v>503.18</v>
      </c>
      <c r="F562" t="s">
        <v>12</v>
      </c>
      <c r="G562" t="s">
        <v>16</v>
      </c>
      <c r="H562">
        <v>0</v>
      </c>
      <c r="I562" t="s">
        <v>22</v>
      </c>
      <c r="J562">
        <v>4528.62</v>
      </c>
      <c r="K562" t="s">
        <v>25</v>
      </c>
      <c r="L562" t="s">
        <v>30</v>
      </c>
      <c r="M562">
        <v>1</v>
      </c>
      <c r="N562" t="s">
        <v>635</v>
      </c>
      <c r="O562" t="s">
        <v>2135</v>
      </c>
      <c r="P562">
        <v>46.02</v>
      </c>
      <c r="Q562">
        <f t="shared" si="8"/>
        <v>503.18</v>
      </c>
      <c r="R562">
        <v>4482.5999999999995</v>
      </c>
      <c r="S562" s="2">
        <v>45613</v>
      </c>
      <c r="T562" s="2">
        <v>45620</v>
      </c>
      <c r="U562" t="s">
        <v>34</v>
      </c>
      <c r="V562">
        <v>17</v>
      </c>
      <c r="W562">
        <v>11</v>
      </c>
      <c r="X562" t="s">
        <v>47</v>
      </c>
      <c r="Y562">
        <v>2024</v>
      </c>
      <c r="Z562">
        <v>4</v>
      </c>
      <c r="AA562">
        <v>46</v>
      </c>
    </row>
    <row r="563" spans="1:27" x14ac:dyDescent="0.3">
      <c r="A563" s="2">
        <v>45315</v>
      </c>
      <c r="B563" t="s">
        <v>3</v>
      </c>
      <c r="C563" t="s">
        <v>9</v>
      </c>
      <c r="D563">
        <v>17</v>
      </c>
      <c r="E563">
        <v>155.31</v>
      </c>
      <c r="F563" t="s">
        <v>14</v>
      </c>
      <c r="G563" t="s">
        <v>17</v>
      </c>
      <c r="H563">
        <v>0.15</v>
      </c>
      <c r="I563" t="s">
        <v>23</v>
      </c>
      <c r="J563">
        <v>2244.2294999999999</v>
      </c>
      <c r="K563" t="s">
        <v>26</v>
      </c>
      <c r="L563" t="s">
        <v>31</v>
      </c>
      <c r="M563">
        <v>0</v>
      </c>
      <c r="N563" t="s">
        <v>636</v>
      </c>
      <c r="O563" t="s">
        <v>2136</v>
      </c>
      <c r="P563">
        <v>27.1</v>
      </c>
      <c r="Q563">
        <f t="shared" si="8"/>
        <v>132.01349999999999</v>
      </c>
      <c r="R563">
        <v>2217.1295</v>
      </c>
      <c r="S563" s="2">
        <v>45315</v>
      </c>
      <c r="T563" s="2">
        <v>45320</v>
      </c>
      <c r="U563" t="s">
        <v>36</v>
      </c>
      <c r="V563">
        <v>24</v>
      </c>
      <c r="W563">
        <v>1</v>
      </c>
      <c r="X563" t="s">
        <v>42</v>
      </c>
      <c r="Y563">
        <v>2024</v>
      </c>
      <c r="Z563">
        <v>1</v>
      </c>
      <c r="AA563">
        <v>4</v>
      </c>
    </row>
    <row r="564" spans="1:27" x14ac:dyDescent="0.3">
      <c r="A564" s="2">
        <v>45096</v>
      </c>
      <c r="B564" t="s">
        <v>2</v>
      </c>
      <c r="C564" t="s">
        <v>8</v>
      </c>
      <c r="D564">
        <v>7</v>
      </c>
      <c r="E564">
        <v>303.79000000000002</v>
      </c>
      <c r="F564" t="s">
        <v>15</v>
      </c>
      <c r="G564" t="s">
        <v>16</v>
      </c>
      <c r="H564">
        <v>0.15</v>
      </c>
      <c r="I564" t="s">
        <v>20</v>
      </c>
      <c r="J564">
        <v>1807.5505000000001</v>
      </c>
      <c r="K564" t="s">
        <v>26</v>
      </c>
      <c r="L564" t="s">
        <v>30</v>
      </c>
      <c r="M564">
        <v>0</v>
      </c>
      <c r="N564" t="s">
        <v>637</v>
      </c>
      <c r="O564" t="s">
        <v>2137</v>
      </c>
      <c r="P564">
        <v>38.85</v>
      </c>
      <c r="Q564">
        <f t="shared" si="8"/>
        <v>258.22149999999999</v>
      </c>
      <c r="R564">
        <v>1768.7005000000001</v>
      </c>
      <c r="S564" s="2">
        <v>45096</v>
      </c>
      <c r="T564" s="2">
        <v>45106</v>
      </c>
      <c r="U564" t="s">
        <v>35</v>
      </c>
      <c r="V564">
        <v>19</v>
      </c>
      <c r="W564">
        <v>6</v>
      </c>
      <c r="X564" t="s">
        <v>41</v>
      </c>
      <c r="Y564">
        <v>2023</v>
      </c>
      <c r="Z564">
        <v>2</v>
      </c>
      <c r="AA564">
        <v>25</v>
      </c>
    </row>
    <row r="565" spans="1:27" x14ac:dyDescent="0.3">
      <c r="A565" s="2">
        <v>45670</v>
      </c>
      <c r="B565" t="s">
        <v>0</v>
      </c>
      <c r="C565" t="s">
        <v>6</v>
      </c>
      <c r="D565">
        <v>17</v>
      </c>
      <c r="E565">
        <v>263.75</v>
      </c>
      <c r="F565" t="s">
        <v>12</v>
      </c>
      <c r="G565" t="s">
        <v>17</v>
      </c>
      <c r="H565">
        <v>0</v>
      </c>
      <c r="I565" t="s">
        <v>19</v>
      </c>
      <c r="J565">
        <v>4483.75</v>
      </c>
      <c r="K565" t="s">
        <v>24</v>
      </c>
      <c r="L565" t="s">
        <v>32</v>
      </c>
      <c r="M565">
        <v>1</v>
      </c>
      <c r="N565" t="s">
        <v>638</v>
      </c>
      <c r="O565" t="s">
        <v>2138</v>
      </c>
      <c r="P565">
        <v>12.97</v>
      </c>
      <c r="Q565">
        <f t="shared" si="8"/>
        <v>263.75</v>
      </c>
      <c r="R565">
        <v>4470.78</v>
      </c>
      <c r="S565" s="2">
        <v>45670</v>
      </c>
      <c r="T565" s="2">
        <v>45675</v>
      </c>
      <c r="U565" t="s">
        <v>33</v>
      </c>
      <c r="V565">
        <v>13</v>
      </c>
      <c r="W565">
        <v>1</v>
      </c>
      <c r="X565" t="s">
        <v>42</v>
      </c>
      <c r="Y565">
        <v>2025</v>
      </c>
      <c r="Z565">
        <v>1</v>
      </c>
      <c r="AA565">
        <v>3</v>
      </c>
    </row>
    <row r="566" spans="1:27" x14ac:dyDescent="0.3">
      <c r="A566" s="2">
        <v>45315</v>
      </c>
      <c r="B566" t="s">
        <v>0</v>
      </c>
      <c r="C566" t="s">
        <v>6</v>
      </c>
      <c r="D566">
        <v>4</v>
      </c>
      <c r="E566">
        <v>179.92</v>
      </c>
      <c r="F566" t="s">
        <v>15</v>
      </c>
      <c r="G566" t="s">
        <v>17</v>
      </c>
      <c r="H566">
        <v>0.1</v>
      </c>
      <c r="I566" t="s">
        <v>22</v>
      </c>
      <c r="J566">
        <v>647.71199999999999</v>
      </c>
      <c r="K566" t="s">
        <v>24</v>
      </c>
      <c r="L566" t="s">
        <v>31</v>
      </c>
      <c r="M566">
        <v>0</v>
      </c>
      <c r="N566" t="s">
        <v>639</v>
      </c>
      <c r="O566" t="s">
        <v>2139</v>
      </c>
      <c r="P566">
        <v>35.26</v>
      </c>
      <c r="Q566">
        <f t="shared" si="8"/>
        <v>161.928</v>
      </c>
      <c r="R566">
        <v>612.452</v>
      </c>
      <c r="S566" s="2">
        <v>45315</v>
      </c>
      <c r="T566" s="2">
        <v>45323</v>
      </c>
      <c r="U566" t="s">
        <v>33</v>
      </c>
      <c r="V566">
        <v>24</v>
      </c>
      <c r="W566">
        <v>1</v>
      </c>
      <c r="X566" t="s">
        <v>42</v>
      </c>
      <c r="Y566">
        <v>2024</v>
      </c>
      <c r="Z566">
        <v>1</v>
      </c>
      <c r="AA566">
        <v>4</v>
      </c>
    </row>
    <row r="567" spans="1:27" x14ac:dyDescent="0.3">
      <c r="A567" s="2">
        <v>45663</v>
      </c>
      <c r="B567" t="s">
        <v>1</v>
      </c>
      <c r="C567" t="s">
        <v>11</v>
      </c>
      <c r="D567">
        <v>2</v>
      </c>
      <c r="E567">
        <v>264</v>
      </c>
      <c r="F567" t="s">
        <v>15</v>
      </c>
      <c r="G567" t="s">
        <v>17</v>
      </c>
      <c r="H567">
        <v>0</v>
      </c>
      <c r="I567" t="s">
        <v>23</v>
      </c>
      <c r="J567">
        <v>528</v>
      </c>
      <c r="K567" t="s">
        <v>25</v>
      </c>
      <c r="L567" t="s">
        <v>30</v>
      </c>
      <c r="M567">
        <v>0</v>
      </c>
      <c r="N567" t="s">
        <v>640</v>
      </c>
      <c r="O567" t="s">
        <v>2140</v>
      </c>
      <c r="P567">
        <v>26.73</v>
      </c>
      <c r="Q567">
        <f t="shared" si="8"/>
        <v>264</v>
      </c>
      <c r="R567">
        <v>501.27</v>
      </c>
      <c r="S567" s="2">
        <v>45663</v>
      </c>
      <c r="T567" s="2">
        <v>45671</v>
      </c>
      <c r="U567" t="s">
        <v>34</v>
      </c>
      <c r="V567">
        <v>6</v>
      </c>
      <c r="W567">
        <v>1</v>
      </c>
      <c r="X567" t="s">
        <v>42</v>
      </c>
      <c r="Y567">
        <v>2025</v>
      </c>
      <c r="Z567">
        <v>1</v>
      </c>
      <c r="AA567">
        <v>2</v>
      </c>
    </row>
    <row r="568" spans="1:27" x14ac:dyDescent="0.3">
      <c r="A568" s="2">
        <v>45659</v>
      </c>
      <c r="B568" t="s">
        <v>3</v>
      </c>
      <c r="C568" t="s">
        <v>5</v>
      </c>
      <c r="D568">
        <v>4</v>
      </c>
      <c r="E568">
        <v>403.97</v>
      </c>
      <c r="F568" t="s">
        <v>13</v>
      </c>
      <c r="G568" t="s">
        <v>16</v>
      </c>
      <c r="H568">
        <v>0.05</v>
      </c>
      <c r="I568" t="s">
        <v>19</v>
      </c>
      <c r="J568">
        <v>1535.086</v>
      </c>
      <c r="K568" t="s">
        <v>28</v>
      </c>
      <c r="L568" t="s">
        <v>31</v>
      </c>
      <c r="M568">
        <v>0</v>
      </c>
      <c r="N568" t="s">
        <v>641</v>
      </c>
      <c r="O568" t="s">
        <v>2141</v>
      </c>
      <c r="P568">
        <v>39.92</v>
      </c>
      <c r="Q568">
        <f t="shared" si="8"/>
        <v>383.7715</v>
      </c>
      <c r="R568">
        <v>1495.1659999999999</v>
      </c>
      <c r="S568" s="2">
        <v>45659</v>
      </c>
      <c r="T568" s="2">
        <v>45666</v>
      </c>
      <c r="U568" t="s">
        <v>36</v>
      </c>
      <c r="V568">
        <v>2</v>
      </c>
      <c r="W568">
        <v>1</v>
      </c>
      <c r="X568" t="s">
        <v>42</v>
      </c>
      <c r="Y568">
        <v>2025</v>
      </c>
      <c r="Z568">
        <v>1</v>
      </c>
      <c r="AA568">
        <v>1</v>
      </c>
    </row>
    <row r="569" spans="1:27" x14ac:dyDescent="0.3">
      <c r="A569" s="2">
        <v>44979</v>
      </c>
      <c r="B569" t="s">
        <v>2</v>
      </c>
      <c r="C569" t="s">
        <v>7</v>
      </c>
      <c r="D569">
        <v>4</v>
      </c>
      <c r="E569">
        <v>85.96</v>
      </c>
      <c r="F569" t="s">
        <v>13</v>
      </c>
      <c r="G569" t="s">
        <v>17</v>
      </c>
      <c r="H569">
        <v>0.1</v>
      </c>
      <c r="I569" t="s">
        <v>20</v>
      </c>
      <c r="J569">
        <v>309.45600000000002</v>
      </c>
      <c r="K569" t="s">
        <v>26</v>
      </c>
      <c r="L569" t="s">
        <v>32</v>
      </c>
      <c r="M569">
        <v>0</v>
      </c>
      <c r="N569" t="s">
        <v>642</v>
      </c>
      <c r="O569" t="s">
        <v>2142</v>
      </c>
      <c r="P569">
        <v>32.119999999999997</v>
      </c>
      <c r="Q569">
        <f t="shared" si="8"/>
        <v>77.364000000000004</v>
      </c>
      <c r="R569">
        <v>277.33600000000001</v>
      </c>
      <c r="S569" s="2">
        <v>44979</v>
      </c>
      <c r="T569" s="2">
        <v>44988</v>
      </c>
      <c r="U569" t="s">
        <v>35</v>
      </c>
      <c r="V569">
        <v>22</v>
      </c>
      <c r="W569">
        <v>2</v>
      </c>
      <c r="X569" t="s">
        <v>38</v>
      </c>
      <c r="Y569">
        <v>2023</v>
      </c>
      <c r="Z569">
        <v>1</v>
      </c>
      <c r="AA569">
        <v>8</v>
      </c>
    </row>
    <row r="570" spans="1:27" x14ac:dyDescent="0.3">
      <c r="A570" s="2">
        <v>45694</v>
      </c>
      <c r="B570" t="s">
        <v>0</v>
      </c>
      <c r="C570" t="s">
        <v>7</v>
      </c>
      <c r="D570">
        <v>2</v>
      </c>
      <c r="E570">
        <v>93.49</v>
      </c>
      <c r="F570" t="s">
        <v>13</v>
      </c>
      <c r="G570" t="s">
        <v>16</v>
      </c>
      <c r="H570">
        <v>0.1</v>
      </c>
      <c r="I570" t="s">
        <v>19</v>
      </c>
      <c r="J570">
        <v>168.28200000000001</v>
      </c>
      <c r="K570" t="s">
        <v>27</v>
      </c>
      <c r="L570" t="s">
        <v>31</v>
      </c>
      <c r="M570">
        <v>0</v>
      </c>
      <c r="N570" t="s">
        <v>643</v>
      </c>
      <c r="O570" t="s">
        <v>2143</v>
      </c>
      <c r="P570">
        <v>26.31</v>
      </c>
      <c r="Q570">
        <f t="shared" si="8"/>
        <v>84.141000000000005</v>
      </c>
      <c r="R570">
        <v>141.97200000000001</v>
      </c>
      <c r="S570" s="2">
        <v>45694</v>
      </c>
      <c r="T570" s="2">
        <v>45704</v>
      </c>
      <c r="U570" t="s">
        <v>33</v>
      </c>
      <c r="V570">
        <v>6</v>
      </c>
      <c r="W570">
        <v>2</v>
      </c>
      <c r="X570" t="s">
        <v>38</v>
      </c>
      <c r="Y570">
        <v>2025</v>
      </c>
      <c r="Z570">
        <v>1</v>
      </c>
      <c r="AA570">
        <v>6</v>
      </c>
    </row>
    <row r="571" spans="1:27" x14ac:dyDescent="0.3">
      <c r="A571" s="2">
        <v>45561</v>
      </c>
      <c r="B571" t="s">
        <v>0</v>
      </c>
      <c r="C571" t="s">
        <v>7</v>
      </c>
      <c r="D571">
        <v>11</v>
      </c>
      <c r="E571">
        <v>144.29</v>
      </c>
      <c r="F571" t="s">
        <v>12</v>
      </c>
      <c r="G571" t="s">
        <v>17</v>
      </c>
      <c r="H571">
        <v>0.05</v>
      </c>
      <c r="I571" t="s">
        <v>23</v>
      </c>
      <c r="J571">
        <v>1507.8305</v>
      </c>
      <c r="K571" t="s">
        <v>26</v>
      </c>
      <c r="L571" t="s">
        <v>31</v>
      </c>
      <c r="M571">
        <v>0</v>
      </c>
      <c r="N571" t="s">
        <v>644</v>
      </c>
      <c r="O571" t="s">
        <v>2144</v>
      </c>
      <c r="P571">
        <v>11.91</v>
      </c>
      <c r="Q571">
        <f t="shared" si="8"/>
        <v>137.07550000000001</v>
      </c>
      <c r="R571">
        <v>1495.9204999999999</v>
      </c>
      <c r="S571" s="2">
        <v>45561</v>
      </c>
      <c r="T571" s="2">
        <v>45565</v>
      </c>
      <c r="U571" t="s">
        <v>33</v>
      </c>
      <c r="V571">
        <v>26</v>
      </c>
      <c r="W571">
        <v>9</v>
      </c>
      <c r="X571" t="s">
        <v>49</v>
      </c>
      <c r="Y571">
        <v>2024</v>
      </c>
      <c r="Z571">
        <v>3</v>
      </c>
      <c r="AA571">
        <v>39</v>
      </c>
    </row>
    <row r="572" spans="1:27" x14ac:dyDescent="0.3">
      <c r="A572" s="2">
        <v>45744</v>
      </c>
      <c r="B572" t="s">
        <v>2</v>
      </c>
      <c r="C572" t="s">
        <v>8</v>
      </c>
      <c r="D572">
        <v>18</v>
      </c>
      <c r="E572">
        <v>553.23</v>
      </c>
      <c r="F572" t="s">
        <v>15</v>
      </c>
      <c r="G572" t="s">
        <v>16</v>
      </c>
      <c r="H572">
        <v>0</v>
      </c>
      <c r="I572" t="s">
        <v>20</v>
      </c>
      <c r="J572">
        <v>9958.14</v>
      </c>
      <c r="K572" t="s">
        <v>28</v>
      </c>
      <c r="L572" t="s">
        <v>29</v>
      </c>
      <c r="M572">
        <v>0</v>
      </c>
      <c r="N572" t="s">
        <v>645</v>
      </c>
      <c r="O572" t="s">
        <v>2145</v>
      </c>
      <c r="P572">
        <v>31.76</v>
      </c>
      <c r="Q572">
        <f t="shared" si="8"/>
        <v>553.23</v>
      </c>
      <c r="R572">
        <v>9926.3799999999992</v>
      </c>
      <c r="S572" s="2">
        <v>45744</v>
      </c>
      <c r="T572" s="2">
        <v>45748</v>
      </c>
      <c r="U572" t="s">
        <v>35</v>
      </c>
      <c r="V572">
        <v>28</v>
      </c>
      <c r="W572">
        <v>3</v>
      </c>
      <c r="X572" t="s">
        <v>44</v>
      </c>
      <c r="Y572">
        <v>2025</v>
      </c>
      <c r="Z572">
        <v>1</v>
      </c>
      <c r="AA572">
        <v>13</v>
      </c>
    </row>
    <row r="573" spans="1:27" x14ac:dyDescent="0.3">
      <c r="A573" s="2">
        <v>45108</v>
      </c>
      <c r="B573" t="s">
        <v>0</v>
      </c>
      <c r="C573" t="s">
        <v>8</v>
      </c>
      <c r="D573">
        <v>9</v>
      </c>
      <c r="E573">
        <v>228.3</v>
      </c>
      <c r="F573" t="s">
        <v>12</v>
      </c>
      <c r="G573" t="s">
        <v>17</v>
      </c>
      <c r="H573">
        <v>0.05</v>
      </c>
      <c r="I573" t="s">
        <v>18</v>
      </c>
      <c r="J573">
        <v>1951.9649999999999</v>
      </c>
      <c r="K573" t="s">
        <v>27</v>
      </c>
      <c r="L573" t="s">
        <v>29</v>
      </c>
      <c r="M573">
        <v>0</v>
      </c>
      <c r="N573" t="s">
        <v>646</v>
      </c>
      <c r="O573" t="s">
        <v>2146</v>
      </c>
      <c r="P573">
        <v>8.75</v>
      </c>
      <c r="Q573">
        <f t="shared" si="8"/>
        <v>216.88499999999999</v>
      </c>
      <c r="R573">
        <v>1943.2149999999999</v>
      </c>
      <c r="S573" s="2">
        <v>45108</v>
      </c>
      <c r="T573" s="2">
        <v>45116</v>
      </c>
      <c r="U573" t="s">
        <v>33</v>
      </c>
      <c r="V573">
        <v>1</v>
      </c>
      <c r="W573">
        <v>7</v>
      </c>
      <c r="X573" t="s">
        <v>46</v>
      </c>
      <c r="Y573">
        <v>2023</v>
      </c>
      <c r="Z573">
        <v>3</v>
      </c>
      <c r="AA573">
        <v>26</v>
      </c>
    </row>
    <row r="574" spans="1:27" x14ac:dyDescent="0.3">
      <c r="A574" s="2">
        <v>45045</v>
      </c>
      <c r="B574" t="s">
        <v>4</v>
      </c>
      <c r="C574" t="s">
        <v>7</v>
      </c>
      <c r="D574">
        <v>7</v>
      </c>
      <c r="E574">
        <v>235.94</v>
      </c>
      <c r="F574" t="s">
        <v>15</v>
      </c>
      <c r="G574" t="s">
        <v>16</v>
      </c>
      <c r="H574">
        <v>0.1</v>
      </c>
      <c r="I574" t="s">
        <v>19</v>
      </c>
      <c r="J574">
        <v>1486.422</v>
      </c>
      <c r="K574" t="s">
        <v>25</v>
      </c>
      <c r="L574" t="s">
        <v>29</v>
      </c>
      <c r="M574">
        <v>0</v>
      </c>
      <c r="N574" t="s">
        <v>647</v>
      </c>
      <c r="O574" t="s">
        <v>2147</v>
      </c>
      <c r="P574">
        <v>8.44</v>
      </c>
      <c r="Q574">
        <f t="shared" si="8"/>
        <v>212.346</v>
      </c>
      <c r="R574">
        <v>1477.982</v>
      </c>
      <c r="S574" s="2">
        <v>45045</v>
      </c>
      <c r="T574" s="2">
        <v>45050</v>
      </c>
      <c r="U574" t="s">
        <v>37</v>
      </c>
      <c r="V574">
        <v>29</v>
      </c>
      <c r="W574">
        <v>4</v>
      </c>
      <c r="X574" t="s">
        <v>45</v>
      </c>
      <c r="Y574">
        <v>2023</v>
      </c>
      <c r="Z574">
        <v>2</v>
      </c>
      <c r="AA574">
        <v>17</v>
      </c>
    </row>
    <row r="575" spans="1:27" x14ac:dyDescent="0.3">
      <c r="A575" s="2">
        <v>45046</v>
      </c>
      <c r="B575" t="s">
        <v>0</v>
      </c>
      <c r="C575" t="s">
        <v>11</v>
      </c>
      <c r="D575">
        <v>17</v>
      </c>
      <c r="E575">
        <v>369.52</v>
      </c>
      <c r="F575" t="s">
        <v>14</v>
      </c>
      <c r="G575" t="s">
        <v>16</v>
      </c>
      <c r="H575">
        <v>0</v>
      </c>
      <c r="I575" t="s">
        <v>21</v>
      </c>
      <c r="J575">
        <v>6281.84</v>
      </c>
      <c r="K575" t="s">
        <v>25</v>
      </c>
      <c r="L575" t="s">
        <v>32</v>
      </c>
      <c r="M575">
        <v>0</v>
      </c>
      <c r="N575" t="s">
        <v>648</v>
      </c>
      <c r="O575" t="s">
        <v>2148</v>
      </c>
      <c r="P575">
        <v>17.12</v>
      </c>
      <c r="Q575">
        <f t="shared" si="8"/>
        <v>369.52</v>
      </c>
      <c r="R575">
        <v>6264.72</v>
      </c>
      <c r="S575" s="2">
        <v>45046</v>
      </c>
      <c r="T575" s="2">
        <v>45052</v>
      </c>
      <c r="U575" t="s">
        <v>33</v>
      </c>
      <c r="V575">
        <v>30</v>
      </c>
      <c r="W575">
        <v>4</v>
      </c>
      <c r="X575" t="s">
        <v>45</v>
      </c>
      <c r="Y575">
        <v>2023</v>
      </c>
      <c r="Z575">
        <v>2</v>
      </c>
      <c r="AA575">
        <v>17</v>
      </c>
    </row>
    <row r="576" spans="1:27" x14ac:dyDescent="0.3">
      <c r="A576" s="2">
        <v>45365</v>
      </c>
      <c r="B576" t="s">
        <v>4</v>
      </c>
      <c r="C576" t="s">
        <v>6</v>
      </c>
      <c r="D576">
        <v>8</v>
      </c>
      <c r="E576">
        <v>142.09</v>
      </c>
      <c r="F576" t="s">
        <v>13</v>
      </c>
      <c r="G576" t="s">
        <v>16</v>
      </c>
      <c r="H576">
        <v>0</v>
      </c>
      <c r="I576" t="s">
        <v>18</v>
      </c>
      <c r="J576">
        <v>1136.72</v>
      </c>
      <c r="K576" t="s">
        <v>26</v>
      </c>
      <c r="L576" t="s">
        <v>31</v>
      </c>
      <c r="M576">
        <v>0</v>
      </c>
      <c r="N576" t="s">
        <v>649</v>
      </c>
      <c r="O576" t="s">
        <v>2149</v>
      </c>
      <c r="P576">
        <v>38.97</v>
      </c>
      <c r="Q576">
        <f t="shared" si="8"/>
        <v>142.09</v>
      </c>
      <c r="R576">
        <v>1097.75</v>
      </c>
      <c r="S576" s="2">
        <v>45365</v>
      </c>
      <c r="T576" s="2">
        <v>45371</v>
      </c>
      <c r="U576" t="s">
        <v>37</v>
      </c>
      <c r="V576">
        <v>14</v>
      </c>
      <c r="W576">
        <v>3</v>
      </c>
      <c r="X576" t="s">
        <v>44</v>
      </c>
      <c r="Y576">
        <v>2024</v>
      </c>
      <c r="Z576">
        <v>1</v>
      </c>
      <c r="AA576">
        <v>11</v>
      </c>
    </row>
    <row r="577" spans="1:27" x14ac:dyDescent="0.3">
      <c r="A577" s="2">
        <v>45104</v>
      </c>
      <c r="B577" t="s">
        <v>3</v>
      </c>
      <c r="C577" t="s">
        <v>8</v>
      </c>
      <c r="D577">
        <v>3</v>
      </c>
      <c r="E577">
        <v>497.61</v>
      </c>
      <c r="F577" t="s">
        <v>12</v>
      </c>
      <c r="G577" t="s">
        <v>16</v>
      </c>
      <c r="H577">
        <v>0.15</v>
      </c>
      <c r="I577" t="s">
        <v>19</v>
      </c>
      <c r="J577">
        <v>1268.9055000000001</v>
      </c>
      <c r="K577" t="s">
        <v>28</v>
      </c>
      <c r="L577" t="s">
        <v>29</v>
      </c>
      <c r="M577">
        <v>1</v>
      </c>
      <c r="N577" t="s">
        <v>650</v>
      </c>
      <c r="O577" t="s">
        <v>2150</v>
      </c>
      <c r="P577">
        <v>13.97</v>
      </c>
      <c r="Q577">
        <f t="shared" si="8"/>
        <v>422.96850000000001</v>
      </c>
      <c r="R577">
        <v>1254.9355</v>
      </c>
      <c r="S577" s="2">
        <v>45104</v>
      </c>
      <c r="T577" s="2">
        <v>45109</v>
      </c>
      <c r="U577" t="s">
        <v>36</v>
      </c>
      <c r="V577">
        <v>27</v>
      </c>
      <c r="W577">
        <v>6</v>
      </c>
      <c r="X577" t="s">
        <v>41</v>
      </c>
      <c r="Y577">
        <v>2023</v>
      </c>
      <c r="Z577">
        <v>2</v>
      </c>
      <c r="AA577">
        <v>26</v>
      </c>
    </row>
    <row r="578" spans="1:27" x14ac:dyDescent="0.3">
      <c r="A578" s="2">
        <v>45392</v>
      </c>
      <c r="B578" t="s">
        <v>2</v>
      </c>
      <c r="C578" t="s">
        <v>5</v>
      </c>
      <c r="D578">
        <v>19</v>
      </c>
      <c r="E578">
        <v>9.48</v>
      </c>
      <c r="F578" t="s">
        <v>13</v>
      </c>
      <c r="G578" t="s">
        <v>16</v>
      </c>
      <c r="H578">
        <v>0</v>
      </c>
      <c r="I578" t="s">
        <v>21</v>
      </c>
      <c r="J578">
        <v>180.12</v>
      </c>
      <c r="K578" t="s">
        <v>24</v>
      </c>
      <c r="L578" t="s">
        <v>32</v>
      </c>
      <c r="M578">
        <v>0</v>
      </c>
      <c r="N578" t="s">
        <v>651</v>
      </c>
      <c r="O578" t="s">
        <v>2151</v>
      </c>
      <c r="P578">
        <v>22.33</v>
      </c>
      <c r="Q578">
        <f t="shared" si="8"/>
        <v>9.48</v>
      </c>
      <c r="R578">
        <v>157.79000000000002</v>
      </c>
      <c r="S578" s="2">
        <v>45392</v>
      </c>
      <c r="T578" s="2">
        <v>45394</v>
      </c>
      <c r="U578" t="s">
        <v>35</v>
      </c>
      <c r="V578">
        <v>10</v>
      </c>
      <c r="W578">
        <v>4</v>
      </c>
      <c r="X578" t="s">
        <v>45</v>
      </c>
      <c r="Y578">
        <v>2024</v>
      </c>
      <c r="Z578">
        <v>2</v>
      </c>
      <c r="AA578">
        <v>15</v>
      </c>
    </row>
    <row r="579" spans="1:27" x14ac:dyDescent="0.3">
      <c r="A579" s="2">
        <v>45168</v>
      </c>
      <c r="B579" t="s">
        <v>3</v>
      </c>
      <c r="C579" t="s">
        <v>11</v>
      </c>
      <c r="D579">
        <v>8</v>
      </c>
      <c r="E579">
        <v>55.27</v>
      </c>
      <c r="F579" t="s">
        <v>13</v>
      </c>
      <c r="G579" t="s">
        <v>16</v>
      </c>
      <c r="H579">
        <v>0.15</v>
      </c>
      <c r="I579" t="s">
        <v>23</v>
      </c>
      <c r="J579">
        <v>375.83600000000001</v>
      </c>
      <c r="K579" t="s">
        <v>28</v>
      </c>
      <c r="L579" t="s">
        <v>31</v>
      </c>
      <c r="M579">
        <v>0</v>
      </c>
      <c r="N579" t="s">
        <v>652</v>
      </c>
      <c r="O579" t="s">
        <v>2152</v>
      </c>
      <c r="P579">
        <v>16.84</v>
      </c>
      <c r="Q579">
        <f t="shared" ref="Q579:Q642" si="9">J579/D579</f>
        <v>46.979500000000002</v>
      </c>
      <c r="R579">
        <v>358.99600000000004</v>
      </c>
      <c r="S579" s="2">
        <v>45168</v>
      </c>
      <c r="T579" s="2">
        <v>45170</v>
      </c>
      <c r="U579" t="s">
        <v>36</v>
      </c>
      <c r="V579">
        <v>30</v>
      </c>
      <c r="W579">
        <v>8</v>
      </c>
      <c r="X579" t="s">
        <v>48</v>
      </c>
      <c r="Y579">
        <v>2023</v>
      </c>
      <c r="Z579">
        <v>3</v>
      </c>
      <c r="AA579">
        <v>35</v>
      </c>
    </row>
    <row r="580" spans="1:27" x14ac:dyDescent="0.3">
      <c r="A580" s="2">
        <v>45222</v>
      </c>
      <c r="B580" t="s">
        <v>4</v>
      </c>
      <c r="C580" t="s">
        <v>5</v>
      </c>
      <c r="D580">
        <v>17</v>
      </c>
      <c r="E580">
        <v>25.95</v>
      </c>
      <c r="F580" t="s">
        <v>12</v>
      </c>
      <c r="G580" t="s">
        <v>16</v>
      </c>
      <c r="H580">
        <v>0.05</v>
      </c>
      <c r="I580" t="s">
        <v>23</v>
      </c>
      <c r="J580">
        <v>419.09249999999997</v>
      </c>
      <c r="K580" t="s">
        <v>25</v>
      </c>
      <c r="L580" t="s">
        <v>32</v>
      </c>
      <c r="M580">
        <v>0</v>
      </c>
      <c r="N580" t="s">
        <v>653</v>
      </c>
      <c r="O580" t="s">
        <v>2153</v>
      </c>
      <c r="P580">
        <v>27.68</v>
      </c>
      <c r="Q580">
        <f t="shared" si="9"/>
        <v>24.6525</v>
      </c>
      <c r="R580">
        <v>391.41249999999997</v>
      </c>
      <c r="S580" s="2">
        <v>45222</v>
      </c>
      <c r="T580" s="2">
        <v>45229</v>
      </c>
      <c r="U580" t="s">
        <v>37</v>
      </c>
      <c r="V580">
        <v>23</v>
      </c>
      <c r="W580">
        <v>10</v>
      </c>
      <c r="X580" t="s">
        <v>43</v>
      </c>
      <c r="Y580">
        <v>2023</v>
      </c>
      <c r="Z580">
        <v>4</v>
      </c>
      <c r="AA580">
        <v>43</v>
      </c>
    </row>
    <row r="581" spans="1:27" x14ac:dyDescent="0.3">
      <c r="A581" s="2">
        <v>45008</v>
      </c>
      <c r="B581" t="s">
        <v>2</v>
      </c>
      <c r="C581" t="s">
        <v>7</v>
      </c>
      <c r="D581">
        <v>18</v>
      </c>
      <c r="E581">
        <v>209.65</v>
      </c>
      <c r="F581" t="s">
        <v>13</v>
      </c>
      <c r="G581" t="s">
        <v>16</v>
      </c>
      <c r="H581">
        <v>0.1</v>
      </c>
      <c r="I581" t="s">
        <v>21</v>
      </c>
      <c r="J581">
        <v>3396.33</v>
      </c>
      <c r="K581" t="s">
        <v>27</v>
      </c>
      <c r="L581" t="s">
        <v>32</v>
      </c>
      <c r="M581">
        <v>0</v>
      </c>
      <c r="N581" t="s">
        <v>654</v>
      </c>
      <c r="O581" t="s">
        <v>2154</v>
      </c>
      <c r="P581">
        <v>42.04</v>
      </c>
      <c r="Q581">
        <f t="shared" si="9"/>
        <v>188.685</v>
      </c>
      <c r="R581">
        <v>3354.29</v>
      </c>
      <c r="S581" s="2">
        <v>45008</v>
      </c>
      <c r="T581" s="2">
        <v>45015</v>
      </c>
      <c r="U581" t="s">
        <v>35</v>
      </c>
      <c r="V581">
        <v>23</v>
      </c>
      <c r="W581">
        <v>3</v>
      </c>
      <c r="X581" t="s">
        <v>44</v>
      </c>
      <c r="Y581">
        <v>2023</v>
      </c>
      <c r="Z581">
        <v>1</v>
      </c>
      <c r="AA581">
        <v>12</v>
      </c>
    </row>
    <row r="582" spans="1:27" x14ac:dyDescent="0.3">
      <c r="A582" s="2">
        <v>45556</v>
      </c>
      <c r="B582" t="s">
        <v>3</v>
      </c>
      <c r="C582" t="s">
        <v>5</v>
      </c>
      <c r="D582">
        <v>13</v>
      </c>
      <c r="E582">
        <v>75.77</v>
      </c>
      <c r="F582" t="s">
        <v>12</v>
      </c>
      <c r="G582" t="s">
        <v>16</v>
      </c>
      <c r="H582">
        <v>0.15</v>
      </c>
      <c r="I582" t="s">
        <v>20</v>
      </c>
      <c r="J582">
        <v>837.25850000000003</v>
      </c>
      <c r="K582" t="s">
        <v>27</v>
      </c>
      <c r="L582" t="s">
        <v>30</v>
      </c>
      <c r="M582">
        <v>0</v>
      </c>
      <c r="N582" t="s">
        <v>655</v>
      </c>
      <c r="O582" t="s">
        <v>2155</v>
      </c>
      <c r="P582">
        <v>41.94</v>
      </c>
      <c r="Q582">
        <f t="shared" si="9"/>
        <v>64.404499999999999</v>
      </c>
      <c r="R582">
        <v>795.31850000000009</v>
      </c>
      <c r="S582" s="2">
        <v>45556</v>
      </c>
      <c r="T582" s="2">
        <v>45565</v>
      </c>
      <c r="U582" t="s">
        <v>36</v>
      </c>
      <c r="V582">
        <v>21</v>
      </c>
      <c r="W582">
        <v>9</v>
      </c>
      <c r="X582" t="s">
        <v>49</v>
      </c>
      <c r="Y582">
        <v>2024</v>
      </c>
      <c r="Z582">
        <v>3</v>
      </c>
      <c r="AA582">
        <v>38</v>
      </c>
    </row>
    <row r="583" spans="1:27" x14ac:dyDescent="0.3">
      <c r="A583" s="2">
        <v>45652</v>
      </c>
      <c r="B583" t="s">
        <v>4</v>
      </c>
      <c r="C583" t="s">
        <v>10</v>
      </c>
      <c r="D583">
        <v>5</v>
      </c>
      <c r="E583">
        <v>307.83999999999997</v>
      </c>
      <c r="F583" t="s">
        <v>12</v>
      </c>
      <c r="G583" t="s">
        <v>16</v>
      </c>
      <c r="H583">
        <v>0.1</v>
      </c>
      <c r="I583" t="s">
        <v>23</v>
      </c>
      <c r="J583">
        <v>1385.28</v>
      </c>
      <c r="K583" t="s">
        <v>24</v>
      </c>
      <c r="L583" t="s">
        <v>30</v>
      </c>
      <c r="M583">
        <v>0</v>
      </c>
      <c r="N583" t="s">
        <v>656</v>
      </c>
      <c r="O583" t="s">
        <v>2156</v>
      </c>
      <c r="P583">
        <v>13.61</v>
      </c>
      <c r="Q583">
        <f t="shared" si="9"/>
        <v>277.05599999999998</v>
      </c>
      <c r="R583">
        <v>1371.67</v>
      </c>
      <c r="S583" s="2">
        <v>45652</v>
      </c>
      <c r="T583" s="2">
        <v>45660</v>
      </c>
      <c r="U583" t="s">
        <v>37</v>
      </c>
      <c r="V583">
        <v>26</v>
      </c>
      <c r="W583">
        <v>12</v>
      </c>
      <c r="X583" t="s">
        <v>39</v>
      </c>
      <c r="Y583">
        <v>2024</v>
      </c>
      <c r="Z583">
        <v>4</v>
      </c>
      <c r="AA583">
        <v>52</v>
      </c>
    </row>
    <row r="584" spans="1:27" x14ac:dyDescent="0.3">
      <c r="A584" s="2">
        <v>44983</v>
      </c>
      <c r="B584" t="s">
        <v>0</v>
      </c>
      <c r="C584" t="s">
        <v>6</v>
      </c>
      <c r="D584">
        <v>13</v>
      </c>
      <c r="E584">
        <v>6.5</v>
      </c>
      <c r="F584" t="s">
        <v>13</v>
      </c>
      <c r="G584" t="s">
        <v>16</v>
      </c>
      <c r="H584">
        <v>0</v>
      </c>
      <c r="I584" t="s">
        <v>22</v>
      </c>
      <c r="J584">
        <v>84.5</v>
      </c>
      <c r="K584" t="s">
        <v>28</v>
      </c>
      <c r="L584" t="s">
        <v>32</v>
      </c>
      <c r="M584">
        <v>0</v>
      </c>
      <c r="N584" t="s">
        <v>657</v>
      </c>
      <c r="O584" t="s">
        <v>2157</v>
      </c>
      <c r="P584">
        <v>20.02</v>
      </c>
      <c r="Q584">
        <f t="shared" si="9"/>
        <v>6.5</v>
      </c>
      <c r="R584">
        <v>64.48</v>
      </c>
      <c r="S584" s="2">
        <v>44983</v>
      </c>
      <c r="T584" s="2">
        <v>44988</v>
      </c>
      <c r="U584" t="s">
        <v>33</v>
      </c>
      <c r="V584">
        <v>26</v>
      </c>
      <c r="W584">
        <v>2</v>
      </c>
      <c r="X584" t="s">
        <v>38</v>
      </c>
      <c r="Y584">
        <v>2023</v>
      </c>
      <c r="Z584">
        <v>1</v>
      </c>
      <c r="AA584">
        <v>8</v>
      </c>
    </row>
    <row r="585" spans="1:27" x14ac:dyDescent="0.3">
      <c r="A585" s="2">
        <v>45636</v>
      </c>
      <c r="B585" t="s">
        <v>2</v>
      </c>
      <c r="C585" t="s">
        <v>9</v>
      </c>
      <c r="D585">
        <v>8</v>
      </c>
      <c r="E585">
        <v>70.790000000000006</v>
      </c>
      <c r="F585" t="s">
        <v>12</v>
      </c>
      <c r="G585" t="s">
        <v>16</v>
      </c>
      <c r="H585">
        <v>0</v>
      </c>
      <c r="I585" t="s">
        <v>22</v>
      </c>
      <c r="J585">
        <v>566.32000000000005</v>
      </c>
      <c r="K585" t="s">
        <v>24</v>
      </c>
      <c r="L585" t="s">
        <v>32</v>
      </c>
      <c r="M585">
        <v>0</v>
      </c>
      <c r="N585" t="s">
        <v>658</v>
      </c>
      <c r="O585" t="s">
        <v>2158</v>
      </c>
      <c r="P585">
        <v>46.35</v>
      </c>
      <c r="Q585">
        <f t="shared" si="9"/>
        <v>70.790000000000006</v>
      </c>
      <c r="R585">
        <v>519.97</v>
      </c>
      <c r="S585" s="2">
        <v>45636</v>
      </c>
      <c r="T585" s="2">
        <v>45640</v>
      </c>
      <c r="U585" t="s">
        <v>35</v>
      </c>
      <c r="V585">
        <v>10</v>
      </c>
      <c r="W585">
        <v>12</v>
      </c>
      <c r="X585" t="s">
        <v>39</v>
      </c>
      <c r="Y585">
        <v>2024</v>
      </c>
      <c r="Z585">
        <v>4</v>
      </c>
      <c r="AA585">
        <v>50</v>
      </c>
    </row>
    <row r="586" spans="1:27" x14ac:dyDescent="0.3">
      <c r="A586" s="2">
        <v>45658</v>
      </c>
      <c r="B586" t="s">
        <v>0</v>
      </c>
      <c r="C586" t="s">
        <v>5</v>
      </c>
      <c r="D586">
        <v>17</v>
      </c>
      <c r="E586">
        <v>584.70000000000005</v>
      </c>
      <c r="F586" t="s">
        <v>15</v>
      </c>
      <c r="G586" t="s">
        <v>17</v>
      </c>
      <c r="H586">
        <v>0.1</v>
      </c>
      <c r="I586" t="s">
        <v>18</v>
      </c>
      <c r="J586">
        <v>8945.9100000000017</v>
      </c>
      <c r="K586" t="s">
        <v>24</v>
      </c>
      <c r="L586" t="s">
        <v>32</v>
      </c>
      <c r="M586">
        <v>1</v>
      </c>
      <c r="N586" t="s">
        <v>659</v>
      </c>
      <c r="O586" t="s">
        <v>2159</v>
      </c>
      <c r="P586">
        <v>46.59</v>
      </c>
      <c r="Q586">
        <f t="shared" si="9"/>
        <v>526.23000000000013</v>
      </c>
      <c r="R586">
        <v>8899.3200000000015</v>
      </c>
      <c r="S586" s="2">
        <v>45658</v>
      </c>
      <c r="T586" s="2">
        <v>45660</v>
      </c>
      <c r="U586" t="s">
        <v>33</v>
      </c>
      <c r="V586">
        <v>1</v>
      </c>
      <c r="W586">
        <v>1</v>
      </c>
      <c r="X586" t="s">
        <v>42</v>
      </c>
      <c r="Y586">
        <v>2025</v>
      </c>
      <c r="Z586">
        <v>1</v>
      </c>
      <c r="AA586">
        <v>1</v>
      </c>
    </row>
    <row r="587" spans="1:27" x14ac:dyDescent="0.3">
      <c r="A587" s="2">
        <v>45730</v>
      </c>
      <c r="B587" t="s">
        <v>0</v>
      </c>
      <c r="C587" t="s">
        <v>6</v>
      </c>
      <c r="D587">
        <v>4</v>
      </c>
      <c r="E587">
        <v>23.27</v>
      </c>
      <c r="F587" t="s">
        <v>14</v>
      </c>
      <c r="G587" t="s">
        <v>16</v>
      </c>
      <c r="H587">
        <v>0.15</v>
      </c>
      <c r="I587" t="s">
        <v>22</v>
      </c>
      <c r="J587">
        <v>79.117999999999995</v>
      </c>
      <c r="K587" t="s">
        <v>24</v>
      </c>
      <c r="L587" t="s">
        <v>30</v>
      </c>
      <c r="M587">
        <v>0</v>
      </c>
      <c r="N587" t="s">
        <v>660</v>
      </c>
      <c r="O587" t="s">
        <v>2160</v>
      </c>
      <c r="P587">
        <v>32.86</v>
      </c>
      <c r="Q587">
        <f t="shared" si="9"/>
        <v>19.779499999999999</v>
      </c>
      <c r="R587">
        <v>46.257999999999996</v>
      </c>
      <c r="S587" s="2">
        <v>45730</v>
      </c>
      <c r="T587" s="2">
        <v>45737</v>
      </c>
      <c r="U587" t="s">
        <v>33</v>
      </c>
      <c r="V587">
        <v>14</v>
      </c>
      <c r="W587">
        <v>3</v>
      </c>
      <c r="X587" t="s">
        <v>44</v>
      </c>
      <c r="Y587">
        <v>2025</v>
      </c>
      <c r="Z587">
        <v>1</v>
      </c>
      <c r="AA587">
        <v>11</v>
      </c>
    </row>
    <row r="588" spans="1:27" x14ac:dyDescent="0.3">
      <c r="A588" s="2">
        <v>45307</v>
      </c>
      <c r="B588" t="s">
        <v>1</v>
      </c>
      <c r="C588" t="s">
        <v>10</v>
      </c>
      <c r="D588">
        <v>5</v>
      </c>
      <c r="E588">
        <v>440.93</v>
      </c>
      <c r="F588" t="s">
        <v>12</v>
      </c>
      <c r="G588" t="s">
        <v>16</v>
      </c>
      <c r="H588">
        <v>0.1</v>
      </c>
      <c r="I588" t="s">
        <v>21</v>
      </c>
      <c r="J588">
        <v>1984.1849999999999</v>
      </c>
      <c r="K588" t="s">
        <v>25</v>
      </c>
      <c r="L588" t="s">
        <v>32</v>
      </c>
      <c r="M588">
        <v>0</v>
      </c>
      <c r="N588" t="s">
        <v>661</v>
      </c>
      <c r="O588" t="s">
        <v>2161</v>
      </c>
      <c r="P588">
        <v>23.84</v>
      </c>
      <c r="Q588">
        <f t="shared" si="9"/>
        <v>396.83699999999999</v>
      </c>
      <c r="R588">
        <v>1960.345</v>
      </c>
      <c r="S588" s="2">
        <v>45307</v>
      </c>
      <c r="T588" s="2">
        <v>45311</v>
      </c>
      <c r="U588" t="s">
        <v>34</v>
      </c>
      <c r="V588">
        <v>16</v>
      </c>
      <c r="W588">
        <v>1</v>
      </c>
      <c r="X588" t="s">
        <v>42</v>
      </c>
      <c r="Y588">
        <v>2024</v>
      </c>
      <c r="Z588">
        <v>1</v>
      </c>
      <c r="AA588">
        <v>3</v>
      </c>
    </row>
    <row r="589" spans="1:27" x14ac:dyDescent="0.3">
      <c r="A589" s="2">
        <v>45401</v>
      </c>
      <c r="B589" t="s">
        <v>4</v>
      </c>
      <c r="C589" t="s">
        <v>10</v>
      </c>
      <c r="D589">
        <v>10</v>
      </c>
      <c r="E589">
        <v>278.45</v>
      </c>
      <c r="F589" t="s">
        <v>15</v>
      </c>
      <c r="G589" t="s">
        <v>16</v>
      </c>
      <c r="H589">
        <v>0</v>
      </c>
      <c r="I589" t="s">
        <v>18</v>
      </c>
      <c r="J589">
        <v>2784.5</v>
      </c>
      <c r="K589" t="s">
        <v>26</v>
      </c>
      <c r="L589" t="s">
        <v>30</v>
      </c>
      <c r="M589">
        <v>0</v>
      </c>
      <c r="N589" t="s">
        <v>662</v>
      </c>
      <c r="O589" t="s">
        <v>2162</v>
      </c>
      <c r="P589">
        <v>11.13</v>
      </c>
      <c r="Q589">
        <f t="shared" si="9"/>
        <v>278.45</v>
      </c>
      <c r="R589">
        <v>2773.37</v>
      </c>
      <c r="S589" s="2">
        <v>45401</v>
      </c>
      <c r="T589" s="2">
        <v>45407</v>
      </c>
      <c r="U589" t="s">
        <v>37</v>
      </c>
      <c r="V589">
        <v>19</v>
      </c>
      <c r="W589">
        <v>4</v>
      </c>
      <c r="X589" t="s">
        <v>45</v>
      </c>
      <c r="Y589">
        <v>2024</v>
      </c>
      <c r="Z589">
        <v>2</v>
      </c>
      <c r="AA589">
        <v>16</v>
      </c>
    </row>
    <row r="590" spans="1:27" x14ac:dyDescent="0.3">
      <c r="A590" s="2">
        <v>45268</v>
      </c>
      <c r="B590" t="s">
        <v>2</v>
      </c>
      <c r="C590" t="s">
        <v>9</v>
      </c>
      <c r="D590">
        <v>14</v>
      </c>
      <c r="E590">
        <v>382.19</v>
      </c>
      <c r="F590" t="s">
        <v>12</v>
      </c>
      <c r="G590" t="s">
        <v>16</v>
      </c>
      <c r="H590">
        <v>0.05</v>
      </c>
      <c r="I590" t="s">
        <v>20</v>
      </c>
      <c r="J590">
        <v>5083.1269999999986</v>
      </c>
      <c r="K590" t="s">
        <v>28</v>
      </c>
      <c r="L590" t="s">
        <v>29</v>
      </c>
      <c r="M590">
        <v>1</v>
      </c>
      <c r="N590" t="s">
        <v>663</v>
      </c>
      <c r="O590" t="s">
        <v>2163</v>
      </c>
      <c r="P590">
        <v>49.12</v>
      </c>
      <c r="Q590">
        <f t="shared" si="9"/>
        <v>363.08049999999992</v>
      </c>
      <c r="R590">
        <v>5034.0069999999987</v>
      </c>
      <c r="S590" s="2">
        <v>45268</v>
      </c>
      <c r="T590" s="2">
        <v>45271</v>
      </c>
      <c r="U590" t="s">
        <v>35</v>
      </c>
      <c r="V590">
        <v>8</v>
      </c>
      <c r="W590">
        <v>12</v>
      </c>
      <c r="X590" t="s">
        <v>39</v>
      </c>
      <c r="Y590">
        <v>2023</v>
      </c>
      <c r="Z590">
        <v>4</v>
      </c>
      <c r="AA590">
        <v>49</v>
      </c>
    </row>
    <row r="591" spans="1:27" x14ac:dyDescent="0.3">
      <c r="A591" s="2">
        <v>45000</v>
      </c>
      <c r="B591" t="s">
        <v>2</v>
      </c>
      <c r="C591" t="s">
        <v>9</v>
      </c>
      <c r="D591">
        <v>14</v>
      </c>
      <c r="E591">
        <v>232.49</v>
      </c>
      <c r="F591" t="s">
        <v>15</v>
      </c>
      <c r="G591" t="s">
        <v>16</v>
      </c>
      <c r="H591">
        <v>0.05</v>
      </c>
      <c r="I591" t="s">
        <v>22</v>
      </c>
      <c r="J591">
        <v>3092.1170000000002</v>
      </c>
      <c r="K591" t="s">
        <v>24</v>
      </c>
      <c r="L591" t="s">
        <v>30</v>
      </c>
      <c r="M591">
        <v>1</v>
      </c>
      <c r="N591" t="s">
        <v>664</v>
      </c>
      <c r="O591" t="s">
        <v>2164</v>
      </c>
      <c r="P591">
        <v>5.32</v>
      </c>
      <c r="Q591">
        <f t="shared" si="9"/>
        <v>220.86550000000003</v>
      </c>
      <c r="R591">
        <v>3086.797</v>
      </c>
      <c r="S591" s="2">
        <v>45000</v>
      </c>
      <c r="T591" s="2">
        <v>45004</v>
      </c>
      <c r="U591" t="s">
        <v>35</v>
      </c>
      <c r="V591">
        <v>15</v>
      </c>
      <c r="W591">
        <v>3</v>
      </c>
      <c r="X591" t="s">
        <v>44</v>
      </c>
      <c r="Y591">
        <v>2023</v>
      </c>
      <c r="Z591">
        <v>1</v>
      </c>
      <c r="AA591">
        <v>11</v>
      </c>
    </row>
    <row r="592" spans="1:27" x14ac:dyDescent="0.3">
      <c r="A592" s="2">
        <v>45695</v>
      </c>
      <c r="B592" t="s">
        <v>1</v>
      </c>
      <c r="C592" t="s">
        <v>5</v>
      </c>
      <c r="D592">
        <v>17</v>
      </c>
      <c r="E592">
        <v>15.01</v>
      </c>
      <c r="F592" t="s">
        <v>15</v>
      </c>
      <c r="G592" t="s">
        <v>16</v>
      </c>
      <c r="H592">
        <v>0.15</v>
      </c>
      <c r="I592" t="s">
        <v>22</v>
      </c>
      <c r="J592">
        <v>216.89449999999999</v>
      </c>
      <c r="K592" t="s">
        <v>27</v>
      </c>
      <c r="L592" t="s">
        <v>30</v>
      </c>
      <c r="M592">
        <v>1</v>
      </c>
      <c r="N592" t="s">
        <v>665</v>
      </c>
      <c r="O592" t="s">
        <v>2165</v>
      </c>
      <c r="P592">
        <v>22</v>
      </c>
      <c r="Q592">
        <f t="shared" si="9"/>
        <v>12.7585</v>
      </c>
      <c r="R592">
        <v>194.89449999999999</v>
      </c>
      <c r="S592" s="2">
        <v>45695</v>
      </c>
      <c r="T592" s="2">
        <v>45701</v>
      </c>
      <c r="U592" t="s">
        <v>34</v>
      </c>
      <c r="V592">
        <v>7</v>
      </c>
      <c r="W592">
        <v>2</v>
      </c>
      <c r="X592" t="s">
        <v>38</v>
      </c>
      <c r="Y592">
        <v>2025</v>
      </c>
      <c r="Z592">
        <v>1</v>
      </c>
      <c r="AA592">
        <v>6</v>
      </c>
    </row>
    <row r="593" spans="1:27" x14ac:dyDescent="0.3">
      <c r="A593" s="2">
        <v>45835</v>
      </c>
      <c r="B593" t="s">
        <v>2</v>
      </c>
      <c r="C593" t="s">
        <v>9</v>
      </c>
      <c r="D593">
        <v>11</v>
      </c>
      <c r="E593">
        <v>29.41</v>
      </c>
      <c r="F593" t="s">
        <v>15</v>
      </c>
      <c r="G593" t="s">
        <v>17</v>
      </c>
      <c r="H593">
        <v>0.05</v>
      </c>
      <c r="I593" t="s">
        <v>21</v>
      </c>
      <c r="J593">
        <v>307.33449999999999</v>
      </c>
      <c r="K593" t="s">
        <v>26</v>
      </c>
      <c r="L593" t="s">
        <v>30</v>
      </c>
      <c r="M593">
        <v>0</v>
      </c>
      <c r="N593" t="s">
        <v>666</v>
      </c>
      <c r="O593" t="s">
        <v>2166</v>
      </c>
      <c r="P593">
        <v>6.16</v>
      </c>
      <c r="Q593">
        <f t="shared" si="9"/>
        <v>27.939499999999999</v>
      </c>
      <c r="R593">
        <v>301.17449999999997</v>
      </c>
      <c r="S593" s="2">
        <v>45835</v>
      </c>
      <c r="T593" s="2">
        <v>45840</v>
      </c>
      <c r="U593" t="s">
        <v>35</v>
      </c>
      <c r="V593">
        <v>27</v>
      </c>
      <c r="W593">
        <v>6</v>
      </c>
      <c r="X593" t="s">
        <v>41</v>
      </c>
      <c r="Y593">
        <v>2025</v>
      </c>
      <c r="Z593">
        <v>2</v>
      </c>
      <c r="AA593">
        <v>26</v>
      </c>
    </row>
    <row r="594" spans="1:27" x14ac:dyDescent="0.3">
      <c r="A594" s="2">
        <v>45643</v>
      </c>
      <c r="B594" t="s">
        <v>3</v>
      </c>
      <c r="C594" t="s">
        <v>10</v>
      </c>
      <c r="D594">
        <v>1</v>
      </c>
      <c r="E594">
        <v>486.19</v>
      </c>
      <c r="F594" t="s">
        <v>12</v>
      </c>
      <c r="G594" t="s">
        <v>17</v>
      </c>
      <c r="H594">
        <v>0.05</v>
      </c>
      <c r="I594" t="s">
        <v>20</v>
      </c>
      <c r="J594">
        <v>461.88049999999998</v>
      </c>
      <c r="K594" t="s">
        <v>24</v>
      </c>
      <c r="L594" t="s">
        <v>30</v>
      </c>
      <c r="M594">
        <v>0</v>
      </c>
      <c r="N594" t="s">
        <v>667</v>
      </c>
      <c r="O594" t="s">
        <v>2167</v>
      </c>
      <c r="P594">
        <v>41.73</v>
      </c>
      <c r="Q594">
        <f t="shared" si="9"/>
        <v>461.88049999999998</v>
      </c>
      <c r="R594">
        <v>420.15049999999997</v>
      </c>
      <c r="S594" s="2">
        <v>45643</v>
      </c>
      <c r="T594" s="2">
        <v>45646</v>
      </c>
      <c r="U594" t="s">
        <v>36</v>
      </c>
      <c r="V594">
        <v>17</v>
      </c>
      <c r="W594">
        <v>12</v>
      </c>
      <c r="X594" t="s">
        <v>39</v>
      </c>
      <c r="Y594">
        <v>2024</v>
      </c>
      <c r="Z594">
        <v>4</v>
      </c>
      <c r="AA594">
        <v>51</v>
      </c>
    </row>
    <row r="595" spans="1:27" x14ac:dyDescent="0.3">
      <c r="A595" s="2">
        <v>45415</v>
      </c>
      <c r="B595" t="s">
        <v>1</v>
      </c>
      <c r="C595" t="s">
        <v>5</v>
      </c>
      <c r="D595">
        <v>6</v>
      </c>
      <c r="E595">
        <v>266.67</v>
      </c>
      <c r="F595" t="s">
        <v>12</v>
      </c>
      <c r="G595" t="s">
        <v>16</v>
      </c>
      <c r="H595">
        <v>0.05</v>
      </c>
      <c r="I595" t="s">
        <v>18</v>
      </c>
      <c r="J595">
        <v>1520.019</v>
      </c>
      <c r="K595" t="s">
        <v>27</v>
      </c>
      <c r="L595" t="s">
        <v>32</v>
      </c>
      <c r="M595">
        <v>0</v>
      </c>
      <c r="N595" t="s">
        <v>668</v>
      </c>
      <c r="O595" t="s">
        <v>2168</v>
      </c>
      <c r="P595">
        <v>48.49</v>
      </c>
      <c r="Q595">
        <f t="shared" si="9"/>
        <v>253.3365</v>
      </c>
      <c r="R595">
        <v>1471.529</v>
      </c>
      <c r="S595" s="2">
        <v>45415</v>
      </c>
      <c r="T595" s="2">
        <v>45423</v>
      </c>
      <c r="U595" t="s">
        <v>34</v>
      </c>
      <c r="V595">
        <v>3</v>
      </c>
      <c r="W595">
        <v>5</v>
      </c>
      <c r="X595" t="s">
        <v>40</v>
      </c>
      <c r="Y595">
        <v>2024</v>
      </c>
      <c r="Z595">
        <v>2</v>
      </c>
      <c r="AA595">
        <v>18</v>
      </c>
    </row>
    <row r="596" spans="1:27" x14ac:dyDescent="0.3">
      <c r="A596" s="2">
        <v>45286</v>
      </c>
      <c r="B596" t="s">
        <v>1</v>
      </c>
      <c r="C596" t="s">
        <v>11</v>
      </c>
      <c r="D596">
        <v>3</v>
      </c>
      <c r="E596">
        <v>300.8</v>
      </c>
      <c r="F596" t="s">
        <v>12</v>
      </c>
      <c r="G596" t="s">
        <v>16</v>
      </c>
      <c r="H596">
        <v>0.1</v>
      </c>
      <c r="I596" t="s">
        <v>21</v>
      </c>
      <c r="J596">
        <v>812.16000000000008</v>
      </c>
      <c r="K596" t="s">
        <v>28</v>
      </c>
      <c r="L596" t="s">
        <v>32</v>
      </c>
      <c r="M596">
        <v>1</v>
      </c>
      <c r="N596" t="s">
        <v>669</v>
      </c>
      <c r="O596" t="s">
        <v>2169</v>
      </c>
      <c r="P596">
        <v>15.98</v>
      </c>
      <c r="Q596">
        <f t="shared" si="9"/>
        <v>270.72000000000003</v>
      </c>
      <c r="R596">
        <v>796.18000000000006</v>
      </c>
      <c r="S596" s="2">
        <v>45286</v>
      </c>
      <c r="T596" s="2">
        <v>45292</v>
      </c>
      <c r="U596" t="s">
        <v>34</v>
      </c>
      <c r="V596">
        <v>26</v>
      </c>
      <c r="W596">
        <v>12</v>
      </c>
      <c r="X596" t="s">
        <v>39</v>
      </c>
      <c r="Y596">
        <v>2023</v>
      </c>
      <c r="Z596">
        <v>4</v>
      </c>
      <c r="AA596">
        <v>52</v>
      </c>
    </row>
    <row r="597" spans="1:27" x14ac:dyDescent="0.3">
      <c r="A597" s="2">
        <v>45425</v>
      </c>
      <c r="B597" t="s">
        <v>3</v>
      </c>
      <c r="C597" t="s">
        <v>11</v>
      </c>
      <c r="D597">
        <v>11</v>
      </c>
      <c r="E597">
        <v>79.63</v>
      </c>
      <c r="F597" t="s">
        <v>12</v>
      </c>
      <c r="G597" t="s">
        <v>16</v>
      </c>
      <c r="H597">
        <v>0.05</v>
      </c>
      <c r="I597" t="s">
        <v>20</v>
      </c>
      <c r="J597">
        <v>832.13349999999991</v>
      </c>
      <c r="K597" t="s">
        <v>24</v>
      </c>
      <c r="L597" t="s">
        <v>32</v>
      </c>
      <c r="M597">
        <v>0</v>
      </c>
      <c r="N597" t="s">
        <v>670</v>
      </c>
      <c r="O597" t="s">
        <v>2170</v>
      </c>
      <c r="P597">
        <v>43.84</v>
      </c>
      <c r="Q597">
        <f t="shared" si="9"/>
        <v>75.648499999999999</v>
      </c>
      <c r="R597">
        <v>788.29349999999988</v>
      </c>
      <c r="S597" s="2">
        <v>45425</v>
      </c>
      <c r="T597" s="2">
        <v>45431</v>
      </c>
      <c r="U597" t="s">
        <v>36</v>
      </c>
      <c r="V597">
        <v>13</v>
      </c>
      <c r="W597">
        <v>5</v>
      </c>
      <c r="X597" t="s">
        <v>40</v>
      </c>
      <c r="Y597">
        <v>2024</v>
      </c>
      <c r="Z597">
        <v>2</v>
      </c>
      <c r="AA597">
        <v>20</v>
      </c>
    </row>
    <row r="598" spans="1:27" x14ac:dyDescent="0.3">
      <c r="A598" s="2">
        <v>45206</v>
      </c>
      <c r="B598" t="s">
        <v>1</v>
      </c>
      <c r="C598" t="s">
        <v>5</v>
      </c>
      <c r="D598">
        <v>6</v>
      </c>
      <c r="E598">
        <v>505.7</v>
      </c>
      <c r="F598" t="s">
        <v>14</v>
      </c>
      <c r="G598" t="s">
        <v>17</v>
      </c>
      <c r="H598">
        <v>0</v>
      </c>
      <c r="I598" t="s">
        <v>19</v>
      </c>
      <c r="J598">
        <v>3034.2</v>
      </c>
      <c r="K598" t="s">
        <v>28</v>
      </c>
      <c r="L598" t="s">
        <v>32</v>
      </c>
      <c r="M598">
        <v>0</v>
      </c>
      <c r="N598" t="s">
        <v>671</v>
      </c>
      <c r="O598" t="s">
        <v>2171</v>
      </c>
      <c r="P598">
        <v>40.380000000000003</v>
      </c>
      <c r="Q598">
        <f t="shared" si="9"/>
        <v>505.7</v>
      </c>
      <c r="R598">
        <v>2993.8199999999997</v>
      </c>
      <c r="S598" s="2">
        <v>45206</v>
      </c>
      <c r="T598" s="2">
        <v>45215</v>
      </c>
      <c r="U598" t="s">
        <v>34</v>
      </c>
      <c r="V598">
        <v>7</v>
      </c>
      <c r="W598">
        <v>10</v>
      </c>
      <c r="X598" t="s">
        <v>43</v>
      </c>
      <c r="Y598">
        <v>2023</v>
      </c>
      <c r="Z598">
        <v>4</v>
      </c>
      <c r="AA598">
        <v>40</v>
      </c>
    </row>
    <row r="599" spans="1:27" x14ac:dyDescent="0.3">
      <c r="A599" s="2">
        <v>45118</v>
      </c>
      <c r="B599" t="s">
        <v>4</v>
      </c>
      <c r="C599" t="s">
        <v>11</v>
      </c>
      <c r="D599">
        <v>5</v>
      </c>
      <c r="E599">
        <v>569.62</v>
      </c>
      <c r="F599" t="s">
        <v>14</v>
      </c>
      <c r="G599" t="s">
        <v>16</v>
      </c>
      <c r="H599">
        <v>0</v>
      </c>
      <c r="I599" t="s">
        <v>22</v>
      </c>
      <c r="J599">
        <v>2848.1</v>
      </c>
      <c r="K599" t="s">
        <v>27</v>
      </c>
      <c r="L599" t="s">
        <v>29</v>
      </c>
      <c r="M599">
        <v>0</v>
      </c>
      <c r="N599" t="s">
        <v>672</v>
      </c>
      <c r="O599" t="s">
        <v>2172</v>
      </c>
      <c r="P599">
        <v>48.8</v>
      </c>
      <c r="Q599">
        <f t="shared" si="9"/>
        <v>569.62</v>
      </c>
      <c r="R599">
        <v>2799.2999999999997</v>
      </c>
      <c r="S599" s="2">
        <v>45118</v>
      </c>
      <c r="T599" s="2">
        <v>45120</v>
      </c>
      <c r="U599" t="s">
        <v>37</v>
      </c>
      <c r="V599">
        <v>11</v>
      </c>
      <c r="W599">
        <v>7</v>
      </c>
      <c r="X599" t="s">
        <v>46</v>
      </c>
      <c r="Y599">
        <v>2023</v>
      </c>
      <c r="Z599">
        <v>3</v>
      </c>
      <c r="AA599">
        <v>28</v>
      </c>
    </row>
    <row r="600" spans="1:27" x14ac:dyDescent="0.3">
      <c r="A600" s="2">
        <v>45688</v>
      </c>
      <c r="B600" t="s">
        <v>1</v>
      </c>
      <c r="C600" t="s">
        <v>10</v>
      </c>
      <c r="D600">
        <v>19</v>
      </c>
      <c r="E600">
        <v>90.85</v>
      </c>
      <c r="F600" t="s">
        <v>14</v>
      </c>
      <c r="G600" t="s">
        <v>17</v>
      </c>
      <c r="H600">
        <v>0.05</v>
      </c>
      <c r="I600" t="s">
        <v>19</v>
      </c>
      <c r="J600">
        <v>1639.8425</v>
      </c>
      <c r="K600" t="s">
        <v>26</v>
      </c>
      <c r="L600" t="s">
        <v>30</v>
      </c>
      <c r="M600">
        <v>0</v>
      </c>
      <c r="N600" t="s">
        <v>673</v>
      </c>
      <c r="O600" t="s">
        <v>2173</v>
      </c>
      <c r="P600">
        <v>22.28</v>
      </c>
      <c r="Q600">
        <f t="shared" si="9"/>
        <v>86.307500000000005</v>
      </c>
      <c r="R600">
        <v>1617.5625</v>
      </c>
      <c r="S600" s="2">
        <v>45688</v>
      </c>
      <c r="T600" s="2">
        <v>45694</v>
      </c>
      <c r="U600" t="s">
        <v>34</v>
      </c>
      <c r="V600">
        <v>31</v>
      </c>
      <c r="W600">
        <v>1</v>
      </c>
      <c r="X600" t="s">
        <v>42</v>
      </c>
      <c r="Y600">
        <v>2025</v>
      </c>
      <c r="Z600">
        <v>1</v>
      </c>
      <c r="AA600">
        <v>5</v>
      </c>
    </row>
    <row r="601" spans="1:27" x14ac:dyDescent="0.3">
      <c r="A601" s="2">
        <v>44961</v>
      </c>
      <c r="B601" t="s">
        <v>1</v>
      </c>
      <c r="C601" t="s">
        <v>8</v>
      </c>
      <c r="D601">
        <v>2</v>
      </c>
      <c r="E601">
        <v>296.91000000000003</v>
      </c>
      <c r="F601" t="s">
        <v>13</v>
      </c>
      <c r="G601" t="s">
        <v>16</v>
      </c>
      <c r="H601">
        <v>0.05</v>
      </c>
      <c r="I601" t="s">
        <v>21</v>
      </c>
      <c r="J601">
        <v>564.12900000000002</v>
      </c>
      <c r="K601" t="s">
        <v>27</v>
      </c>
      <c r="L601" t="s">
        <v>31</v>
      </c>
      <c r="M601">
        <v>0</v>
      </c>
      <c r="N601" t="s">
        <v>674</v>
      </c>
      <c r="O601" t="s">
        <v>2174</v>
      </c>
      <c r="P601">
        <v>44.35</v>
      </c>
      <c r="Q601">
        <f t="shared" si="9"/>
        <v>282.06450000000001</v>
      </c>
      <c r="R601">
        <v>519.779</v>
      </c>
      <c r="S601" s="2">
        <v>44961</v>
      </c>
      <c r="T601" s="2">
        <v>44964</v>
      </c>
      <c r="U601" t="s">
        <v>34</v>
      </c>
      <c r="V601">
        <v>4</v>
      </c>
      <c r="W601">
        <v>2</v>
      </c>
      <c r="X601" t="s">
        <v>38</v>
      </c>
      <c r="Y601">
        <v>2023</v>
      </c>
      <c r="Z601">
        <v>1</v>
      </c>
      <c r="AA601">
        <v>5</v>
      </c>
    </row>
    <row r="602" spans="1:27" x14ac:dyDescent="0.3">
      <c r="A602" s="2">
        <v>45171</v>
      </c>
      <c r="B602" t="s">
        <v>1</v>
      </c>
      <c r="C602" t="s">
        <v>11</v>
      </c>
      <c r="D602">
        <v>2</v>
      </c>
      <c r="E602">
        <v>6.19</v>
      </c>
      <c r="F602" t="s">
        <v>12</v>
      </c>
      <c r="G602" t="s">
        <v>17</v>
      </c>
      <c r="H602">
        <v>0.1</v>
      </c>
      <c r="I602" t="s">
        <v>20</v>
      </c>
      <c r="J602">
        <v>11.141999999999999</v>
      </c>
      <c r="K602" t="s">
        <v>26</v>
      </c>
      <c r="L602" t="s">
        <v>29</v>
      </c>
      <c r="M602">
        <v>1</v>
      </c>
      <c r="N602" t="s">
        <v>675</v>
      </c>
      <c r="O602" t="s">
        <v>2175</v>
      </c>
      <c r="P602">
        <v>47.24</v>
      </c>
      <c r="Q602">
        <f t="shared" si="9"/>
        <v>5.5709999999999997</v>
      </c>
      <c r="R602">
        <v>-36.097999999999999</v>
      </c>
      <c r="S602" s="2">
        <v>45171</v>
      </c>
      <c r="T602" s="2">
        <v>45181</v>
      </c>
      <c r="U602" t="s">
        <v>34</v>
      </c>
      <c r="V602">
        <v>2</v>
      </c>
      <c r="W602">
        <v>9</v>
      </c>
      <c r="X602" t="s">
        <v>49</v>
      </c>
      <c r="Y602">
        <v>2023</v>
      </c>
      <c r="Z602">
        <v>3</v>
      </c>
      <c r="AA602">
        <v>35</v>
      </c>
    </row>
    <row r="603" spans="1:27" x14ac:dyDescent="0.3">
      <c r="A603" s="2">
        <v>45639</v>
      </c>
      <c r="B603" t="s">
        <v>3</v>
      </c>
      <c r="C603" t="s">
        <v>9</v>
      </c>
      <c r="D603">
        <v>18</v>
      </c>
      <c r="E603">
        <v>207.35</v>
      </c>
      <c r="F603" t="s">
        <v>15</v>
      </c>
      <c r="G603" t="s">
        <v>16</v>
      </c>
      <c r="H603">
        <v>0.15</v>
      </c>
      <c r="I603" t="s">
        <v>19</v>
      </c>
      <c r="J603">
        <v>3172.454999999999</v>
      </c>
      <c r="K603" t="s">
        <v>27</v>
      </c>
      <c r="L603" t="s">
        <v>29</v>
      </c>
      <c r="M603">
        <v>0</v>
      </c>
      <c r="N603" t="s">
        <v>676</v>
      </c>
      <c r="O603" t="s">
        <v>2176</v>
      </c>
      <c r="P603">
        <v>11.17</v>
      </c>
      <c r="Q603">
        <f t="shared" si="9"/>
        <v>176.24749999999995</v>
      </c>
      <c r="R603">
        <v>3161.2849999999989</v>
      </c>
      <c r="S603" s="2">
        <v>45639</v>
      </c>
      <c r="T603" s="2">
        <v>45641</v>
      </c>
      <c r="U603" t="s">
        <v>36</v>
      </c>
      <c r="V603">
        <v>13</v>
      </c>
      <c r="W603">
        <v>12</v>
      </c>
      <c r="X603" t="s">
        <v>39</v>
      </c>
      <c r="Y603">
        <v>2024</v>
      </c>
      <c r="Z603">
        <v>4</v>
      </c>
      <c r="AA603">
        <v>50</v>
      </c>
    </row>
    <row r="604" spans="1:27" x14ac:dyDescent="0.3">
      <c r="A604" s="2">
        <v>45212</v>
      </c>
      <c r="B604" t="s">
        <v>3</v>
      </c>
      <c r="C604" t="s">
        <v>10</v>
      </c>
      <c r="D604">
        <v>5</v>
      </c>
      <c r="E604">
        <v>75.27</v>
      </c>
      <c r="F604" t="s">
        <v>13</v>
      </c>
      <c r="G604" t="s">
        <v>16</v>
      </c>
      <c r="H604">
        <v>0</v>
      </c>
      <c r="I604" t="s">
        <v>21</v>
      </c>
      <c r="J604">
        <v>376.35</v>
      </c>
      <c r="K604" t="s">
        <v>28</v>
      </c>
      <c r="L604" t="s">
        <v>32</v>
      </c>
      <c r="M604">
        <v>0</v>
      </c>
      <c r="N604" t="s">
        <v>677</v>
      </c>
      <c r="O604" t="s">
        <v>2177</v>
      </c>
      <c r="P604">
        <v>31.61</v>
      </c>
      <c r="Q604">
        <f t="shared" si="9"/>
        <v>75.27000000000001</v>
      </c>
      <c r="R604">
        <v>344.74</v>
      </c>
      <c r="S604" s="2">
        <v>45212</v>
      </c>
      <c r="T604" s="2">
        <v>45221</v>
      </c>
      <c r="U604" t="s">
        <v>36</v>
      </c>
      <c r="V604">
        <v>13</v>
      </c>
      <c r="W604">
        <v>10</v>
      </c>
      <c r="X604" t="s">
        <v>43</v>
      </c>
      <c r="Y604">
        <v>2023</v>
      </c>
      <c r="Z604">
        <v>4</v>
      </c>
      <c r="AA604">
        <v>41</v>
      </c>
    </row>
    <row r="605" spans="1:27" x14ac:dyDescent="0.3">
      <c r="A605" s="2">
        <v>45568</v>
      </c>
      <c r="B605" t="s">
        <v>1</v>
      </c>
      <c r="C605" t="s">
        <v>9</v>
      </c>
      <c r="D605">
        <v>3</v>
      </c>
      <c r="E605">
        <v>136.15</v>
      </c>
      <c r="F605" t="s">
        <v>13</v>
      </c>
      <c r="G605" t="s">
        <v>17</v>
      </c>
      <c r="H605">
        <v>0.1</v>
      </c>
      <c r="I605" t="s">
        <v>22</v>
      </c>
      <c r="J605">
        <v>367.60500000000008</v>
      </c>
      <c r="K605" t="s">
        <v>25</v>
      </c>
      <c r="L605" t="s">
        <v>30</v>
      </c>
      <c r="M605">
        <v>0</v>
      </c>
      <c r="N605" t="s">
        <v>678</v>
      </c>
      <c r="O605" t="s">
        <v>2178</v>
      </c>
      <c r="P605">
        <v>48.38</v>
      </c>
      <c r="Q605">
        <f t="shared" si="9"/>
        <v>122.53500000000003</v>
      </c>
      <c r="R605">
        <v>319.22500000000008</v>
      </c>
      <c r="S605" s="2">
        <v>45568</v>
      </c>
      <c r="T605" s="2">
        <v>45572</v>
      </c>
      <c r="U605" t="s">
        <v>34</v>
      </c>
      <c r="V605">
        <v>3</v>
      </c>
      <c r="W605">
        <v>10</v>
      </c>
      <c r="X605" t="s">
        <v>43</v>
      </c>
      <c r="Y605">
        <v>2024</v>
      </c>
      <c r="Z605">
        <v>4</v>
      </c>
      <c r="AA605">
        <v>40</v>
      </c>
    </row>
    <row r="606" spans="1:27" x14ac:dyDescent="0.3">
      <c r="A606" s="2">
        <v>45410</v>
      </c>
      <c r="B606" t="s">
        <v>3</v>
      </c>
      <c r="C606" t="s">
        <v>7</v>
      </c>
      <c r="D606">
        <v>5</v>
      </c>
      <c r="E606">
        <v>544.66</v>
      </c>
      <c r="F606" t="s">
        <v>12</v>
      </c>
      <c r="G606" t="s">
        <v>17</v>
      </c>
      <c r="H606">
        <v>0.1</v>
      </c>
      <c r="I606" t="s">
        <v>22</v>
      </c>
      <c r="J606">
        <v>2450.9699999999998</v>
      </c>
      <c r="K606" t="s">
        <v>24</v>
      </c>
      <c r="L606" t="s">
        <v>30</v>
      </c>
      <c r="M606">
        <v>0</v>
      </c>
      <c r="N606" t="s">
        <v>679</v>
      </c>
      <c r="O606" t="s">
        <v>2179</v>
      </c>
      <c r="P606">
        <v>8.39</v>
      </c>
      <c r="Q606">
        <f t="shared" si="9"/>
        <v>490.19399999999996</v>
      </c>
      <c r="R606">
        <v>2442.58</v>
      </c>
      <c r="S606" s="2">
        <v>45410</v>
      </c>
      <c r="T606" s="2">
        <v>45416</v>
      </c>
      <c r="U606" t="s">
        <v>36</v>
      </c>
      <c r="V606">
        <v>28</v>
      </c>
      <c r="W606">
        <v>4</v>
      </c>
      <c r="X606" t="s">
        <v>45</v>
      </c>
      <c r="Y606">
        <v>2024</v>
      </c>
      <c r="Z606">
        <v>2</v>
      </c>
      <c r="AA606">
        <v>17</v>
      </c>
    </row>
    <row r="607" spans="1:27" x14ac:dyDescent="0.3">
      <c r="A607" s="2">
        <v>45329</v>
      </c>
      <c r="B607" t="s">
        <v>3</v>
      </c>
      <c r="C607" t="s">
        <v>7</v>
      </c>
      <c r="D607">
        <v>8</v>
      </c>
      <c r="E607">
        <v>561.9</v>
      </c>
      <c r="F607" t="s">
        <v>13</v>
      </c>
      <c r="G607" t="s">
        <v>17</v>
      </c>
      <c r="H607">
        <v>0.15</v>
      </c>
      <c r="I607" t="s">
        <v>23</v>
      </c>
      <c r="J607">
        <v>3820.92</v>
      </c>
      <c r="K607" t="s">
        <v>24</v>
      </c>
      <c r="L607" t="s">
        <v>29</v>
      </c>
      <c r="M607">
        <v>1</v>
      </c>
      <c r="N607" t="s">
        <v>680</v>
      </c>
      <c r="O607" t="s">
        <v>2180</v>
      </c>
      <c r="P607">
        <v>15.97</v>
      </c>
      <c r="Q607">
        <f t="shared" si="9"/>
        <v>477.61500000000001</v>
      </c>
      <c r="R607">
        <v>3804.9500000000003</v>
      </c>
      <c r="S607" s="2">
        <v>45329</v>
      </c>
      <c r="T607" s="2">
        <v>45336</v>
      </c>
      <c r="U607" t="s">
        <v>36</v>
      </c>
      <c r="V607">
        <v>7</v>
      </c>
      <c r="W607">
        <v>2</v>
      </c>
      <c r="X607" t="s">
        <v>38</v>
      </c>
      <c r="Y607">
        <v>2024</v>
      </c>
      <c r="Z607">
        <v>1</v>
      </c>
      <c r="AA607">
        <v>6</v>
      </c>
    </row>
    <row r="608" spans="1:27" x14ac:dyDescent="0.3">
      <c r="A608" s="2">
        <v>44965</v>
      </c>
      <c r="B608" t="s">
        <v>1</v>
      </c>
      <c r="C608" t="s">
        <v>8</v>
      </c>
      <c r="D608">
        <v>20</v>
      </c>
      <c r="E608">
        <v>313.47000000000003</v>
      </c>
      <c r="F608" t="s">
        <v>14</v>
      </c>
      <c r="G608" t="s">
        <v>17</v>
      </c>
      <c r="H608">
        <v>0.15</v>
      </c>
      <c r="I608" t="s">
        <v>19</v>
      </c>
      <c r="J608">
        <v>5328.9900000000007</v>
      </c>
      <c r="K608" t="s">
        <v>24</v>
      </c>
      <c r="L608" t="s">
        <v>29</v>
      </c>
      <c r="M608">
        <v>0</v>
      </c>
      <c r="N608" t="s">
        <v>681</v>
      </c>
      <c r="O608" t="s">
        <v>2181</v>
      </c>
      <c r="P608">
        <v>18.170000000000002</v>
      </c>
      <c r="Q608">
        <f t="shared" si="9"/>
        <v>266.44950000000006</v>
      </c>
      <c r="R608">
        <v>5310.8200000000006</v>
      </c>
      <c r="S608" s="2">
        <v>44965</v>
      </c>
      <c r="T608" s="2">
        <v>44968</v>
      </c>
      <c r="U608" t="s">
        <v>34</v>
      </c>
      <c r="V608">
        <v>8</v>
      </c>
      <c r="W608">
        <v>2</v>
      </c>
      <c r="X608" t="s">
        <v>38</v>
      </c>
      <c r="Y608">
        <v>2023</v>
      </c>
      <c r="Z608">
        <v>1</v>
      </c>
      <c r="AA608">
        <v>6</v>
      </c>
    </row>
    <row r="609" spans="1:27" x14ac:dyDescent="0.3">
      <c r="A609" s="2">
        <v>45094</v>
      </c>
      <c r="B609" t="s">
        <v>1</v>
      </c>
      <c r="C609" t="s">
        <v>6</v>
      </c>
      <c r="D609">
        <v>1</v>
      </c>
      <c r="E609">
        <v>418.45</v>
      </c>
      <c r="F609" t="s">
        <v>14</v>
      </c>
      <c r="G609" t="s">
        <v>17</v>
      </c>
      <c r="H609">
        <v>0.15</v>
      </c>
      <c r="I609" t="s">
        <v>22</v>
      </c>
      <c r="J609">
        <v>355.6825</v>
      </c>
      <c r="K609" t="s">
        <v>28</v>
      </c>
      <c r="L609" t="s">
        <v>31</v>
      </c>
      <c r="M609">
        <v>0</v>
      </c>
      <c r="N609" t="s">
        <v>682</v>
      </c>
      <c r="O609" t="s">
        <v>2182</v>
      </c>
      <c r="P609">
        <v>35.58</v>
      </c>
      <c r="Q609">
        <f t="shared" si="9"/>
        <v>355.6825</v>
      </c>
      <c r="R609">
        <v>320.10250000000002</v>
      </c>
      <c r="S609" s="2">
        <v>45094</v>
      </c>
      <c r="T609" s="2">
        <v>45096</v>
      </c>
      <c r="U609" t="s">
        <v>34</v>
      </c>
      <c r="V609">
        <v>17</v>
      </c>
      <c r="W609">
        <v>6</v>
      </c>
      <c r="X609" t="s">
        <v>41</v>
      </c>
      <c r="Y609">
        <v>2023</v>
      </c>
      <c r="Z609">
        <v>2</v>
      </c>
      <c r="AA609">
        <v>24</v>
      </c>
    </row>
    <row r="610" spans="1:27" x14ac:dyDescent="0.3">
      <c r="A610" s="2">
        <v>45502</v>
      </c>
      <c r="B610" t="s">
        <v>4</v>
      </c>
      <c r="C610" t="s">
        <v>9</v>
      </c>
      <c r="D610">
        <v>8</v>
      </c>
      <c r="E610">
        <v>420.75</v>
      </c>
      <c r="F610" t="s">
        <v>12</v>
      </c>
      <c r="G610" t="s">
        <v>16</v>
      </c>
      <c r="H610">
        <v>0.1</v>
      </c>
      <c r="I610" t="s">
        <v>23</v>
      </c>
      <c r="J610">
        <v>3029.4</v>
      </c>
      <c r="K610" t="s">
        <v>24</v>
      </c>
      <c r="L610" t="s">
        <v>30</v>
      </c>
      <c r="M610">
        <v>1</v>
      </c>
      <c r="N610" t="s">
        <v>683</v>
      </c>
      <c r="O610" t="s">
        <v>2183</v>
      </c>
      <c r="P610">
        <v>44.61</v>
      </c>
      <c r="Q610">
        <f t="shared" si="9"/>
        <v>378.67500000000001</v>
      </c>
      <c r="R610">
        <v>2984.79</v>
      </c>
      <c r="S610" s="2">
        <v>45502</v>
      </c>
      <c r="T610" s="2">
        <v>45505</v>
      </c>
      <c r="U610" t="s">
        <v>37</v>
      </c>
      <c r="V610">
        <v>29</v>
      </c>
      <c r="W610">
        <v>7</v>
      </c>
      <c r="X610" t="s">
        <v>46</v>
      </c>
      <c r="Y610">
        <v>2024</v>
      </c>
      <c r="Z610">
        <v>3</v>
      </c>
      <c r="AA610">
        <v>31</v>
      </c>
    </row>
    <row r="611" spans="1:27" x14ac:dyDescent="0.3">
      <c r="A611" s="2">
        <v>45320</v>
      </c>
      <c r="B611" t="s">
        <v>4</v>
      </c>
      <c r="C611" t="s">
        <v>11</v>
      </c>
      <c r="D611">
        <v>16</v>
      </c>
      <c r="E611">
        <v>514.36</v>
      </c>
      <c r="F611" t="s">
        <v>15</v>
      </c>
      <c r="G611" t="s">
        <v>16</v>
      </c>
      <c r="H611">
        <v>0</v>
      </c>
      <c r="I611" t="s">
        <v>19</v>
      </c>
      <c r="J611">
        <v>8229.76</v>
      </c>
      <c r="K611" t="s">
        <v>24</v>
      </c>
      <c r="L611" t="s">
        <v>30</v>
      </c>
      <c r="M611">
        <v>0</v>
      </c>
      <c r="N611" t="s">
        <v>684</v>
      </c>
      <c r="O611" t="s">
        <v>2184</v>
      </c>
      <c r="P611">
        <v>40.75</v>
      </c>
      <c r="Q611">
        <f t="shared" si="9"/>
        <v>514.36</v>
      </c>
      <c r="R611">
        <v>8189.01</v>
      </c>
      <c r="S611" s="2">
        <v>45320</v>
      </c>
      <c r="T611" s="2">
        <v>45323</v>
      </c>
      <c r="U611" t="s">
        <v>37</v>
      </c>
      <c r="V611">
        <v>29</v>
      </c>
      <c r="W611">
        <v>1</v>
      </c>
      <c r="X611" t="s">
        <v>42</v>
      </c>
      <c r="Y611">
        <v>2024</v>
      </c>
      <c r="Z611">
        <v>1</v>
      </c>
      <c r="AA611">
        <v>5</v>
      </c>
    </row>
    <row r="612" spans="1:27" x14ac:dyDescent="0.3">
      <c r="A612" s="2">
        <v>45309</v>
      </c>
      <c r="B612" t="s">
        <v>0</v>
      </c>
      <c r="C612" t="s">
        <v>6</v>
      </c>
      <c r="D612">
        <v>2</v>
      </c>
      <c r="E612">
        <v>297.2</v>
      </c>
      <c r="F612" t="s">
        <v>12</v>
      </c>
      <c r="G612" t="s">
        <v>17</v>
      </c>
      <c r="H612">
        <v>0.1</v>
      </c>
      <c r="I612" t="s">
        <v>20</v>
      </c>
      <c r="J612">
        <v>534.96</v>
      </c>
      <c r="K612" t="s">
        <v>25</v>
      </c>
      <c r="L612" t="s">
        <v>29</v>
      </c>
      <c r="M612">
        <v>0</v>
      </c>
      <c r="N612" t="s">
        <v>685</v>
      </c>
      <c r="O612" t="s">
        <v>2185</v>
      </c>
      <c r="P612">
        <v>8.7100000000000009</v>
      </c>
      <c r="Q612">
        <f t="shared" si="9"/>
        <v>267.48</v>
      </c>
      <c r="R612">
        <v>526.25</v>
      </c>
      <c r="S612" s="2">
        <v>45309</v>
      </c>
      <c r="T612" s="2">
        <v>45314</v>
      </c>
      <c r="U612" t="s">
        <v>33</v>
      </c>
      <c r="V612">
        <v>18</v>
      </c>
      <c r="W612">
        <v>1</v>
      </c>
      <c r="X612" t="s">
        <v>42</v>
      </c>
      <c r="Y612">
        <v>2024</v>
      </c>
      <c r="Z612">
        <v>1</v>
      </c>
      <c r="AA612">
        <v>3</v>
      </c>
    </row>
    <row r="613" spans="1:27" x14ac:dyDescent="0.3">
      <c r="A613" s="2">
        <v>45516</v>
      </c>
      <c r="B613" t="s">
        <v>2</v>
      </c>
      <c r="C613" t="s">
        <v>8</v>
      </c>
      <c r="D613">
        <v>10</v>
      </c>
      <c r="E613">
        <v>278</v>
      </c>
      <c r="F613" t="s">
        <v>14</v>
      </c>
      <c r="G613" t="s">
        <v>17</v>
      </c>
      <c r="H613">
        <v>0</v>
      </c>
      <c r="I613" t="s">
        <v>23</v>
      </c>
      <c r="J613">
        <v>2780</v>
      </c>
      <c r="K613" t="s">
        <v>26</v>
      </c>
      <c r="L613" t="s">
        <v>32</v>
      </c>
      <c r="M613">
        <v>0</v>
      </c>
      <c r="N613" t="s">
        <v>686</v>
      </c>
      <c r="O613" t="s">
        <v>2186</v>
      </c>
      <c r="P613">
        <v>24.25</v>
      </c>
      <c r="Q613">
        <f t="shared" si="9"/>
        <v>278</v>
      </c>
      <c r="R613">
        <v>2755.75</v>
      </c>
      <c r="S613" s="2">
        <v>45516</v>
      </c>
      <c r="T613" s="2">
        <v>45526</v>
      </c>
      <c r="U613" t="s">
        <v>35</v>
      </c>
      <c r="V613">
        <v>12</v>
      </c>
      <c r="W613">
        <v>8</v>
      </c>
      <c r="X613" t="s">
        <v>48</v>
      </c>
      <c r="Y613">
        <v>2024</v>
      </c>
      <c r="Z613">
        <v>3</v>
      </c>
      <c r="AA613">
        <v>33</v>
      </c>
    </row>
    <row r="614" spans="1:27" x14ac:dyDescent="0.3">
      <c r="A614" s="2">
        <v>45763</v>
      </c>
      <c r="B614" t="s">
        <v>4</v>
      </c>
      <c r="C614" t="s">
        <v>9</v>
      </c>
      <c r="D614">
        <v>8</v>
      </c>
      <c r="E614">
        <v>583.16999999999996</v>
      </c>
      <c r="F614" t="s">
        <v>15</v>
      </c>
      <c r="G614" t="s">
        <v>16</v>
      </c>
      <c r="H614">
        <v>0.1</v>
      </c>
      <c r="I614" t="s">
        <v>20</v>
      </c>
      <c r="J614">
        <v>4198.8239999999996</v>
      </c>
      <c r="K614" t="s">
        <v>26</v>
      </c>
      <c r="L614" t="s">
        <v>31</v>
      </c>
      <c r="M614">
        <v>0</v>
      </c>
      <c r="N614" t="s">
        <v>687</v>
      </c>
      <c r="O614" t="s">
        <v>2187</v>
      </c>
      <c r="P614">
        <v>49.18</v>
      </c>
      <c r="Q614">
        <f t="shared" si="9"/>
        <v>524.85299999999995</v>
      </c>
      <c r="R614">
        <v>4149.6439999999993</v>
      </c>
      <c r="S614" s="2">
        <v>45763</v>
      </c>
      <c r="T614" s="2">
        <v>45767</v>
      </c>
      <c r="U614" t="s">
        <v>37</v>
      </c>
      <c r="V614">
        <v>16</v>
      </c>
      <c r="W614">
        <v>4</v>
      </c>
      <c r="X614" t="s">
        <v>45</v>
      </c>
      <c r="Y614">
        <v>2025</v>
      </c>
      <c r="Z614">
        <v>2</v>
      </c>
      <c r="AA614">
        <v>16</v>
      </c>
    </row>
    <row r="615" spans="1:27" x14ac:dyDescent="0.3">
      <c r="A615" s="2">
        <v>44983</v>
      </c>
      <c r="B615" t="s">
        <v>3</v>
      </c>
      <c r="C615" t="s">
        <v>7</v>
      </c>
      <c r="D615">
        <v>16</v>
      </c>
      <c r="E615">
        <v>75.62</v>
      </c>
      <c r="F615" t="s">
        <v>15</v>
      </c>
      <c r="G615" t="s">
        <v>17</v>
      </c>
      <c r="H615">
        <v>0.1</v>
      </c>
      <c r="I615" t="s">
        <v>22</v>
      </c>
      <c r="J615">
        <v>1088.9280000000001</v>
      </c>
      <c r="K615" t="s">
        <v>28</v>
      </c>
      <c r="L615" t="s">
        <v>31</v>
      </c>
      <c r="M615">
        <v>0</v>
      </c>
      <c r="N615" t="s">
        <v>688</v>
      </c>
      <c r="O615" t="s">
        <v>2188</v>
      </c>
      <c r="P615">
        <v>27.39</v>
      </c>
      <c r="Q615">
        <f t="shared" si="9"/>
        <v>68.058000000000007</v>
      </c>
      <c r="R615">
        <v>1061.538</v>
      </c>
      <c r="S615" s="2">
        <v>44983</v>
      </c>
      <c r="T615" s="2">
        <v>44987</v>
      </c>
      <c r="U615" t="s">
        <v>36</v>
      </c>
      <c r="V615">
        <v>26</v>
      </c>
      <c r="W615">
        <v>2</v>
      </c>
      <c r="X615" t="s">
        <v>38</v>
      </c>
      <c r="Y615">
        <v>2023</v>
      </c>
      <c r="Z615">
        <v>1</v>
      </c>
      <c r="AA615">
        <v>8</v>
      </c>
    </row>
    <row r="616" spans="1:27" x14ac:dyDescent="0.3">
      <c r="A616" s="2">
        <v>44933</v>
      </c>
      <c r="B616" t="s">
        <v>0</v>
      </c>
      <c r="C616" t="s">
        <v>7</v>
      </c>
      <c r="D616">
        <v>13</v>
      </c>
      <c r="E616">
        <v>561.62</v>
      </c>
      <c r="F616" t="s">
        <v>14</v>
      </c>
      <c r="G616" t="s">
        <v>16</v>
      </c>
      <c r="H616">
        <v>0.05</v>
      </c>
      <c r="I616" t="s">
        <v>20</v>
      </c>
      <c r="J616">
        <v>6936.0069999999996</v>
      </c>
      <c r="K616" t="s">
        <v>25</v>
      </c>
      <c r="L616" t="s">
        <v>29</v>
      </c>
      <c r="M616">
        <v>0</v>
      </c>
      <c r="N616" t="s">
        <v>689</v>
      </c>
      <c r="O616" t="s">
        <v>2189</v>
      </c>
      <c r="P616">
        <v>12.91</v>
      </c>
      <c r="Q616">
        <f t="shared" si="9"/>
        <v>533.53899999999999</v>
      </c>
      <c r="R616">
        <v>6923.0969999999998</v>
      </c>
      <c r="S616" s="2">
        <v>44933</v>
      </c>
      <c r="T616" s="2">
        <v>44937</v>
      </c>
      <c r="U616" t="s">
        <v>33</v>
      </c>
      <c r="V616">
        <v>7</v>
      </c>
      <c r="W616">
        <v>1</v>
      </c>
      <c r="X616" t="s">
        <v>42</v>
      </c>
      <c r="Y616">
        <v>2023</v>
      </c>
      <c r="Z616">
        <v>1</v>
      </c>
      <c r="AA616">
        <v>1</v>
      </c>
    </row>
    <row r="617" spans="1:27" x14ac:dyDescent="0.3">
      <c r="A617" s="2">
        <v>45223</v>
      </c>
      <c r="B617" t="s">
        <v>1</v>
      </c>
      <c r="C617" t="s">
        <v>7</v>
      </c>
      <c r="D617">
        <v>5</v>
      </c>
      <c r="E617">
        <v>359.61</v>
      </c>
      <c r="F617" t="s">
        <v>13</v>
      </c>
      <c r="G617" t="s">
        <v>17</v>
      </c>
      <c r="H617">
        <v>0</v>
      </c>
      <c r="I617" t="s">
        <v>23</v>
      </c>
      <c r="J617">
        <v>1798.05</v>
      </c>
      <c r="K617" t="s">
        <v>24</v>
      </c>
      <c r="L617" t="s">
        <v>29</v>
      </c>
      <c r="M617">
        <v>0</v>
      </c>
      <c r="N617" t="s">
        <v>690</v>
      </c>
      <c r="O617" t="s">
        <v>2190</v>
      </c>
      <c r="P617">
        <v>41.31</v>
      </c>
      <c r="Q617">
        <f t="shared" si="9"/>
        <v>359.61</v>
      </c>
      <c r="R617">
        <v>1756.74</v>
      </c>
      <c r="S617" s="2">
        <v>45223</v>
      </c>
      <c r="T617" s="2">
        <v>45233</v>
      </c>
      <c r="U617" t="s">
        <v>34</v>
      </c>
      <c r="V617">
        <v>24</v>
      </c>
      <c r="W617">
        <v>10</v>
      </c>
      <c r="X617" t="s">
        <v>43</v>
      </c>
      <c r="Y617">
        <v>2023</v>
      </c>
      <c r="Z617">
        <v>4</v>
      </c>
      <c r="AA617">
        <v>43</v>
      </c>
    </row>
    <row r="618" spans="1:27" x14ac:dyDescent="0.3">
      <c r="A618" s="2">
        <v>45293</v>
      </c>
      <c r="B618" t="s">
        <v>2</v>
      </c>
      <c r="C618" t="s">
        <v>10</v>
      </c>
      <c r="D618">
        <v>15</v>
      </c>
      <c r="E618">
        <v>115.48</v>
      </c>
      <c r="F618" t="s">
        <v>13</v>
      </c>
      <c r="G618" t="s">
        <v>17</v>
      </c>
      <c r="H618">
        <v>0.15</v>
      </c>
      <c r="I618" t="s">
        <v>20</v>
      </c>
      <c r="J618">
        <v>1472.37</v>
      </c>
      <c r="K618" t="s">
        <v>26</v>
      </c>
      <c r="L618" t="s">
        <v>32</v>
      </c>
      <c r="M618">
        <v>0</v>
      </c>
      <c r="N618" t="s">
        <v>691</v>
      </c>
      <c r="O618" t="s">
        <v>2191</v>
      </c>
      <c r="P618">
        <v>6.04</v>
      </c>
      <c r="Q618">
        <f t="shared" si="9"/>
        <v>98.157999999999987</v>
      </c>
      <c r="R618">
        <v>1466.33</v>
      </c>
      <c r="S618" s="2">
        <v>45293</v>
      </c>
      <c r="T618" s="2">
        <v>45303</v>
      </c>
      <c r="U618" t="s">
        <v>35</v>
      </c>
      <c r="V618">
        <v>2</v>
      </c>
      <c r="W618">
        <v>1</v>
      </c>
      <c r="X618" t="s">
        <v>42</v>
      </c>
      <c r="Y618">
        <v>2024</v>
      </c>
      <c r="Z618">
        <v>1</v>
      </c>
      <c r="AA618">
        <v>1</v>
      </c>
    </row>
    <row r="619" spans="1:27" x14ac:dyDescent="0.3">
      <c r="A619" s="2">
        <v>45552</v>
      </c>
      <c r="B619" t="s">
        <v>1</v>
      </c>
      <c r="C619" t="s">
        <v>5</v>
      </c>
      <c r="D619">
        <v>12</v>
      </c>
      <c r="E619">
        <v>596.26</v>
      </c>
      <c r="F619" t="s">
        <v>15</v>
      </c>
      <c r="G619" t="s">
        <v>16</v>
      </c>
      <c r="H619">
        <v>0.15</v>
      </c>
      <c r="I619" t="s">
        <v>18</v>
      </c>
      <c r="J619">
        <v>6081.8519999999999</v>
      </c>
      <c r="K619" t="s">
        <v>25</v>
      </c>
      <c r="L619" t="s">
        <v>31</v>
      </c>
      <c r="M619">
        <v>0</v>
      </c>
      <c r="N619" t="s">
        <v>692</v>
      </c>
      <c r="O619" t="s">
        <v>2192</v>
      </c>
      <c r="P619">
        <v>28.27</v>
      </c>
      <c r="Q619">
        <f t="shared" si="9"/>
        <v>506.82099999999997</v>
      </c>
      <c r="R619">
        <v>6053.5819999999994</v>
      </c>
      <c r="S619" s="2">
        <v>45552</v>
      </c>
      <c r="T619" s="2">
        <v>45560</v>
      </c>
      <c r="U619" t="s">
        <v>34</v>
      </c>
      <c r="V619">
        <v>17</v>
      </c>
      <c r="W619">
        <v>9</v>
      </c>
      <c r="X619" t="s">
        <v>49</v>
      </c>
      <c r="Y619">
        <v>2024</v>
      </c>
      <c r="Z619">
        <v>3</v>
      </c>
      <c r="AA619">
        <v>38</v>
      </c>
    </row>
    <row r="620" spans="1:27" x14ac:dyDescent="0.3">
      <c r="A620" s="2">
        <v>45417</v>
      </c>
      <c r="B620" t="s">
        <v>3</v>
      </c>
      <c r="C620" t="s">
        <v>10</v>
      </c>
      <c r="D620">
        <v>19</v>
      </c>
      <c r="E620">
        <v>401.68</v>
      </c>
      <c r="F620" t="s">
        <v>14</v>
      </c>
      <c r="G620" t="s">
        <v>16</v>
      </c>
      <c r="H620">
        <v>0.05</v>
      </c>
      <c r="I620" t="s">
        <v>19</v>
      </c>
      <c r="J620">
        <v>7250.3239999999996</v>
      </c>
      <c r="K620" t="s">
        <v>27</v>
      </c>
      <c r="L620" t="s">
        <v>31</v>
      </c>
      <c r="M620">
        <v>1</v>
      </c>
      <c r="N620" t="s">
        <v>693</v>
      </c>
      <c r="O620" t="s">
        <v>2193</v>
      </c>
      <c r="P620">
        <v>37.770000000000003</v>
      </c>
      <c r="Q620">
        <f t="shared" si="9"/>
        <v>381.596</v>
      </c>
      <c r="R620">
        <v>7212.5539999999992</v>
      </c>
      <c r="S620" s="2">
        <v>45417</v>
      </c>
      <c r="T620" s="2">
        <v>45423</v>
      </c>
      <c r="U620" t="s">
        <v>36</v>
      </c>
      <c r="V620">
        <v>5</v>
      </c>
      <c r="W620">
        <v>5</v>
      </c>
      <c r="X620" t="s">
        <v>40</v>
      </c>
      <c r="Y620">
        <v>2024</v>
      </c>
      <c r="Z620">
        <v>2</v>
      </c>
      <c r="AA620">
        <v>18</v>
      </c>
    </row>
    <row r="621" spans="1:27" x14ac:dyDescent="0.3">
      <c r="A621" s="2">
        <v>45835</v>
      </c>
      <c r="B621" t="s">
        <v>4</v>
      </c>
      <c r="C621" t="s">
        <v>7</v>
      </c>
      <c r="D621">
        <v>13</v>
      </c>
      <c r="E621">
        <v>112.88</v>
      </c>
      <c r="F621" t="s">
        <v>15</v>
      </c>
      <c r="G621" t="s">
        <v>17</v>
      </c>
      <c r="H621">
        <v>0</v>
      </c>
      <c r="I621" t="s">
        <v>20</v>
      </c>
      <c r="J621">
        <v>1467.44</v>
      </c>
      <c r="K621" t="s">
        <v>27</v>
      </c>
      <c r="L621" t="s">
        <v>32</v>
      </c>
      <c r="M621">
        <v>0</v>
      </c>
      <c r="N621" t="s">
        <v>694</v>
      </c>
      <c r="O621" t="s">
        <v>2194</v>
      </c>
      <c r="P621">
        <v>12.39</v>
      </c>
      <c r="Q621">
        <f t="shared" si="9"/>
        <v>112.88000000000001</v>
      </c>
      <c r="R621">
        <v>1455.05</v>
      </c>
      <c r="S621" s="2">
        <v>45835</v>
      </c>
      <c r="T621" s="2">
        <v>45837</v>
      </c>
      <c r="U621" t="s">
        <v>37</v>
      </c>
      <c r="V621">
        <v>27</v>
      </c>
      <c r="W621">
        <v>6</v>
      </c>
      <c r="X621" t="s">
        <v>41</v>
      </c>
      <c r="Y621">
        <v>2025</v>
      </c>
      <c r="Z621">
        <v>2</v>
      </c>
      <c r="AA621">
        <v>26</v>
      </c>
    </row>
    <row r="622" spans="1:27" x14ac:dyDescent="0.3">
      <c r="A622" s="2">
        <v>45426</v>
      </c>
      <c r="B622" t="s">
        <v>4</v>
      </c>
      <c r="C622" t="s">
        <v>6</v>
      </c>
      <c r="D622">
        <v>6</v>
      </c>
      <c r="E622">
        <v>370.08</v>
      </c>
      <c r="F622" t="s">
        <v>15</v>
      </c>
      <c r="G622" t="s">
        <v>17</v>
      </c>
      <c r="H622">
        <v>0.15</v>
      </c>
      <c r="I622" t="s">
        <v>19</v>
      </c>
      <c r="J622">
        <v>1887.4079999999999</v>
      </c>
      <c r="K622" t="s">
        <v>24</v>
      </c>
      <c r="L622" t="s">
        <v>30</v>
      </c>
      <c r="M622">
        <v>0</v>
      </c>
      <c r="N622" t="s">
        <v>695</v>
      </c>
      <c r="O622" t="s">
        <v>2195</v>
      </c>
      <c r="P622">
        <v>7.39</v>
      </c>
      <c r="Q622">
        <f t="shared" si="9"/>
        <v>314.56799999999998</v>
      </c>
      <c r="R622">
        <v>1880.0179999999998</v>
      </c>
      <c r="S622" s="2">
        <v>45426</v>
      </c>
      <c r="T622" s="2">
        <v>45434</v>
      </c>
      <c r="U622" t="s">
        <v>37</v>
      </c>
      <c r="V622">
        <v>14</v>
      </c>
      <c r="W622">
        <v>5</v>
      </c>
      <c r="X622" t="s">
        <v>40</v>
      </c>
      <c r="Y622">
        <v>2024</v>
      </c>
      <c r="Z622">
        <v>2</v>
      </c>
      <c r="AA622">
        <v>20</v>
      </c>
    </row>
    <row r="623" spans="1:27" x14ac:dyDescent="0.3">
      <c r="A623" s="2">
        <v>45351</v>
      </c>
      <c r="B623" t="s">
        <v>2</v>
      </c>
      <c r="C623" t="s">
        <v>8</v>
      </c>
      <c r="D623">
        <v>15</v>
      </c>
      <c r="E623">
        <v>119.86</v>
      </c>
      <c r="F623" t="s">
        <v>13</v>
      </c>
      <c r="G623" t="s">
        <v>16</v>
      </c>
      <c r="H623">
        <v>0.15</v>
      </c>
      <c r="I623" t="s">
        <v>23</v>
      </c>
      <c r="J623">
        <v>1528.2149999999999</v>
      </c>
      <c r="K623" t="s">
        <v>27</v>
      </c>
      <c r="L623" t="s">
        <v>32</v>
      </c>
      <c r="M623">
        <v>1</v>
      </c>
      <c r="N623" t="s">
        <v>696</v>
      </c>
      <c r="O623" t="s">
        <v>2196</v>
      </c>
      <c r="P623">
        <v>30.78</v>
      </c>
      <c r="Q623">
        <f t="shared" si="9"/>
        <v>101.881</v>
      </c>
      <c r="R623">
        <v>1497.4349999999999</v>
      </c>
      <c r="S623" s="2">
        <v>45351</v>
      </c>
      <c r="T623" s="2">
        <v>45356</v>
      </c>
      <c r="U623" t="s">
        <v>35</v>
      </c>
      <c r="V623">
        <v>29</v>
      </c>
      <c r="W623">
        <v>2</v>
      </c>
      <c r="X623" t="s">
        <v>38</v>
      </c>
      <c r="Y623">
        <v>2024</v>
      </c>
      <c r="Z623">
        <v>1</v>
      </c>
      <c r="AA623">
        <v>9</v>
      </c>
    </row>
    <row r="624" spans="1:27" x14ac:dyDescent="0.3">
      <c r="A624" s="2">
        <v>45796</v>
      </c>
      <c r="B624" t="s">
        <v>0</v>
      </c>
      <c r="C624" t="s">
        <v>6</v>
      </c>
      <c r="D624">
        <v>5</v>
      </c>
      <c r="E624">
        <v>271.44</v>
      </c>
      <c r="F624" t="s">
        <v>13</v>
      </c>
      <c r="G624" t="s">
        <v>16</v>
      </c>
      <c r="H624">
        <v>0.15</v>
      </c>
      <c r="I624" t="s">
        <v>22</v>
      </c>
      <c r="J624">
        <v>1153.6199999999999</v>
      </c>
      <c r="K624" t="s">
        <v>27</v>
      </c>
      <c r="L624" t="s">
        <v>29</v>
      </c>
      <c r="M624">
        <v>0</v>
      </c>
      <c r="N624" t="s">
        <v>697</v>
      </c>
      <c r="O624" t="s">
        <v>2197</v>
      </c>
      <c r="P624">
        <v>5.98</v>
      </c>
      <c r="Q624">
        <f t="shared" si="9"/>
        <v>230.72399999999999</v>
      </c>
      <c r="R624">
        <v>1147.6399999999999</v>
      </c>
      <c r="S624" s="2">
        <v>45796</v>
      </c>
      <c r="T624" s="2">
        <v>45804</v>
      </c>
      <c r="U624" t="s">
        <v>33</v>
      </c>
      <c r="V624">
        <v>19</v>
      </c>
      <c r="W624">
        <v>5</v>
      </c>
      <c r="X624" t="s">
        <v>40</v>
      </c>
      <c r="Y624">
        <v>2025</v>
      </c>
      <c r="Z624">
        <v>2</v>
      </c>
      <c r="AA624">
        <v>21</v>
      </c>
    </row>
    <row r="625" spans="1:27" x14ac:dyDescent="0.3">
      <c r="A625" s="2">
        <v>45628</v>
      </c>
      <c r="B625" t="s">
        <v>0</v>
      </c>
      <c r="C625" t="s">
        <v>7</v>
      </c>
      <c r="D625">
        <v>9</v>
      </c>
      <c r="E625">
        <v>363.39</v>
      </c>
      <c r="F625" t="s">
        <v>12</v>
      </c>
      <c r="G625" t="s">
        <v>16</v>
      </c>
      <c r="H625">
        <v>0.05</v>
      </c>
      <c r="I625" t="s">
        <v>22</v>
      </c>
      <c r="J625">
        <v>3106.9845</v>
      </c>
      <c r="K625" t="s">
        <v>25</v>
      </c>
      <c r="L625" t="s">
        <v>32</v>
      </c>
      <c r="M625">
        <v>0</v>
      </c>
      <c r="N625" t="s">
        <v>698</v>
      </c>
      <c r="O625" t="s">
        <v>2198</v>
      </c>
      <c r="P625">
        <v>41.64</v>
      </c>
      <c r="Q625">
        <f t="shared" si="9"/>
        <v>345.22050000000002</v>
      </c>
      <c r="R625">
        <v>3065.3445000000002</v>
      </c>
      <c r="S625" s="2">
        <v>45628</v>
      </c>
      <c r="T625" s="2">
        <v>45630</v>
      </c>
      <c r="U625" t="s">
        <v>33</v>
      </c>
      <c r="V625">
        <v>2</v>
      </c>
      <c r="W625">
        <v>12</v>
      </c>
      <c r="X625" t="s">
        <v>39</v>
      </c>
      <c r="Y625">
        <v>2024</v>
      </c>
      <c r="Z625">
        <v>4</v>
      </c>
      <c r="AA625">
        <v>49</v>
      </c>
    </row>
    <row r="626" spans="1:27" x14ac:dyDescent="0.3">
      <c r="A626" s="2">
        <v>45503</v>
      </c>
      <c r="B626" t="s">
        <v>4</v>
      </c>
      <c r="C626" t="s">
        <v>11</v>
      </c>
      <c r="D626">
        <v>12</v>
      </c>
      <c r="E626">
        <v>533.77</v>
      </c>
      <c r="F626" t="s">
        <v>15</v>
      </c>
      <c r="G626" t="s">
        <v>16</v>
      </c>
      <c r="H626">
        <v>0.15</v>
      </c>
      <c r="I626" t="s">
        <v>19</v>
      </c>
      <c r="J626">
        <v>5444.4539999999997</v>
      </c>
      <c r="K626" t="s">
        <v>28</v>
      </c>
      <c r="L626" t="s">
        <v>30</v>
      </c>
      <c r="M626">
        <v>0</v>
      </c>
      <c r="N626" t="s">
        <v>699</v>
      </c>
      <c r="O626" t="s">
        <v>2199</v>
      </c>
      <c r="P626">
        <v>48.71</v>
      </c>
      <c r="Q626">
        <f t="shared" si="9"/>
        <v>453.7045</v>
      </c>
      <c r="R626">
        <v>5395.7439999999997</v>
      </c>
      <c r="S626" s="2">
        <v>45503</v>
      </c>
      <c r="T626" s="2">
        <v>45508</v>
      </c>
      <c r="U626" t="s">
        <v>37</v>
      </c>
      <c r="V626">
        <v>30</v>
      </c>
      <c r="W626">
        <v>7</v>
      </c>
      <c r="X626" t="s">
        <v>46</v>
      </c>
      <c r="Y626">
        <v>2024</v>
      </c>
      <c r="Z626">
        <v>3</v>
      </c>
      <c r="AA626">
        <v>31</v>
      </c>
    </row>
    <row r="627" spans="1:27" x14ac:dyDescent="0.3">
      <c r="A627" s="2">
        <v>45102</v>
      </c>
      <c r="B627" t="s">
        <v>1</v>
      </c>
      <c r="C627" t="s">
        <v>7</v>
      </c>
      <c r="D627">
        <v>12</v>
      </c>
      <c r="E627">
        <v>192.03</v>
      </c>
      <c r="F627" t="s">
        <v>12</v>
      </c>
      <c r="G627" t="s">
        <v>16</v>
      </c>
      <c r="H627">
        <v>0.1</v>
      </c>
      <c r="I627" t="s">
        <v>21</v>
      </c>
      <c r="J627">
        <v>2073.924</v>
      </c>
      <c r="K627" t="s">
        <v>26</v>
      </c>
      <c r="L627" t="s">
        <v>32</v>
      </c>
      <c r="M627">
        <v>0</v>
      </c>
      <c r="N627" t="s">
        <v>700</v>
      </c>
      <c r="O627" t="s">
        <v>2200</v>
      </c>
      <c r="P627">
        <v>41.08</v>
      </c>
      <c r="Q627">
        <f t="shared" si="9"/>
        <v>172.827</v>
      </c>
      <c r="R627">
        <v>2032.8440000000001</v>
      </c>
      <c r="S627" s="2">
        <v>45102</v>
      </c>
      <c r="T627" s="2">
        <v>45110</v>
      </c>
      <c r="U627" t="s">
        <v>34</v>
      </c>
      <c r="V627">
        <v>25</v>
      </c>
      <c r="W627">
        <v>6</v>
      </c>
      <c r="X627" t="s">
        <v>41</v>
      </c>
      <c r="Y627">
        <v>2023</v>
      </c>
      <c r="Z627">
        <v>2</v>
      </c>
      <c r="AA627">
        <v>25</v>
      </c>
    </row>
    <row r="628" spans="1:27" x14ac:dyDescent="0.3">
      <c r="A628" s="2">
        <v>45483</v>
      </c>
      <c r="B628" t="s">
        <v>1</v>
      </c>
      <c r="C628" t="s">
        <v>8</v>
      </c>
      <c r="D628">
        <v>20</v>
      </c>
      <c r="E628">
        <v>504.22</v>
      </c>
      <c r="F628" t="s">
        <v>15</v>
      </c>
      <c r="G628" t="s">
        <v>16</v>
      </c>
      <c r="H628">
        <v>0</v>
      </c>
      <c r="I628" t="s">
        <v>20</v>
      </c>
      <c r="J628">
        <v>10084.4</v>
      </c>
      <c r="K628" t="s">
        <v>24</v>
      </c>
      <c r="L628" t="s">
        <v>31</v>
      </c>
      <c r="M628">
        <v>0</v>
      </c>
      <c r="N628" t="s">
        <v>701</v>
      </c>
      <c r="O628" t="s">
        <v>2201</v>
      </c>
      <c r="P628">
        <v>14.61</v>
      </c>
      <c r="Q628">
        <f t="shared" si="9"/>
        <v>504.21999999999997</v>
      </c>
      <c r="R628">
        <v>10069.789999999999</v>
      </c>
      <c r="S628" s="2">
        <v>45483</v>
      </c>
      <c r="T628" s="2">
        <v>45492</v>
      </c>
      <c r="U628" t="s">
        <v>34</v>
      </c>
      <c r="V628">
        <v>10</v>
      </c>
      <c r="W628">
        <v>7</v>
      </c>
      <c r="X628" t="s">
        <v>46</v>
      </c>
      <c r="Y628">
        <v>2024</v>
      </c>
      <c r="Z628">
        <v>3</v>
      </c>
      <c r="AA628">
        <v>28</v>
      </c>
    </row>
    <row r="629" spans="1:27" x14ac:dyDescent="0.3">
      <c r="A629" s="2">
        <v>44932</v>
      </c>
      <c r="B629" t="s">
        <v>0</v>
      </c>
      <c r="C629" t="s">
        <v>5</v>
      </c>
      <c r="D629">
        <v>7</v>
      </c>
      <c r="E629">
        <v>193.66</v>
      </c>
      <c r="F629" t="s">
        <v>13</v>
      </c>
      <c r="G629" t="s">
        <v>16</v>
      </c>
      <c r="H629">
        <v>0.1</v>
      </c>
      <c r="I629" t="s">
        <v>22</v>
      </c>
      <c r="J629">
        <v>1220.058</v>
      </c>
      <c r="K629" t="s">
        <v>26</v>
      </c>
      <c r="L629" t="s">
        <v>29</v>
      </c>
      <c r="M629">
        <v>0</v>
      </c>
      <c r="N629" t="s">
        <v>702</v>
      </c>
      <c r="O629" t="s">
        <v>2202</v>
      </c>
      <c r="P629">
        <v>39.01</v>
      </c>
      <c r="Q629">
        <f t="shared" si="9"/>
        <v>174.29400000000001</v>
      </c>
      <c r="R629">
        <v>1181.048</v>
      </c>
      <c r="S629" s="2">
        <v>44932</v>
      </c>
      <c r="T629" s="2">
        <v>44941</v>
      </c>
      <c r="U629" t="s">
        <v>33</v>
      </c>
      <c r="V629">
        <v>6</v>
      </c>
      <c r="W629">
        <v>1</v>
      </c>
      <c r="X629" t="s">
        <v>42</v>
      </c>
      <c r="Y629">
        <v>2023</v>
      </c>
      <c r="Z629">
        <v>1</v>
      </c>
      <c r="AA629">
        <v>1</v>
      </c>
    </row>
    <row r="630" spans="1:27" x14ac:dyDescent="0.3">
      <c r="A630" s="2">
        <v>45346</v>
      </c>
      <c r="B630" t="s">
        <v>1</v>
      </c>
      <c r="C630" t="s">
        <v>8</v>
      </c>
      <c r="D630">
        <v>3</v>
      </c>
      <c r="E630">
        <v>270.83</v>
      </c>
      <c r="F630" t="s">
        <v>12</v>
      </c>
      <c r="G630" t="s">
        <v>16</v>
      </c>
      <c r="H630">
        <v>0.1</v>
      </c>
      <c r="I630" t="s">
        <v>21</v>
      </c>
      <c r="J630">
        <v>731.24099999999999</v>
      </c>
      <c r="K630" t="s">
        <v>24</v>
      </c>
      <c r="L630" t="s">
        <v>30</v>
      </c>
      <c r="M630">
        <v>1</v>
      </c>
      <c r="N630" t="s">
        <v>703</v>
      </c>
      <c r="O630" t="s">
        <v>2203</v>
      </c>
      <c r="P630">
        <v>17.2</v>
      </c>
      <c r="Q630">
        <f t="shared" si="9"/>
        <v>243.74699999999999</v>
      </c>
      <c r="R630">
        <v>714.04099999999994</v>
      </c>
      <c r="S630" s="2">
        <v>45346</v>
      </c>
      <c r="T630" s="2">
        <v>45351</v>
      </c>
      <c r="U630" t="s">
        <v>34</v>
      </c>
      <c r="V630">
        <v>24</v>
      </c>
      <c r="W630">
        <v>2</v>
      </c>
      <c r="X630" t="s">
        <v>38</v>
      </c>
      <c r="Y630">
        <v>2024</v>
      </c>
      <c r="Z630">
        <v>1</v>
      </c>
      <c r="AA630">
        <v>8</v>
      </c>
    </row>
    <row r="631" spans="1:27" x14ac:dyDescent="0.3">
      <c r="A631" s="2">
        <v>45271</v>
      </c>
      <c r="B631" t="s">
        <v>3</v>
      </c>
      <c r="C631" t="s">
        <v>10</v>
      </c>
      <c r="D631">
        <v>18</v>
      </c>
      <c r="E631">
        <v>62.08</v>
      </c>
      <c r="F631" t="s">
        <v>12</v>
      </c>
      <c r="G631" t="s">
        <v>17</v>
      </c>
      <c r="H631">
        <v>0</v>
      </c>
      <c r="I631" t="s">
        <v>22</v>
      </c>
      <c r="J631">
        <v>1117.44</v>
      </c>
      <c r="K631" t="s">
        <v>26</v>
      </c>
      <c r="L631" t="s">
        <v>30</v>
      </c>
      <c r="M631">
        <v>1</v>
      </c>
      <c r="N631" t="s">
        <v>704</v>
      </c>
      <c r="O631" t="s">
        <v>2204</v>
      </c>
      <c r="P631">
        <v>8.67</v>
      </c>
      <c r="Q631">
        <f t="shared" si="9"/>
        <v>62.080000000000005</v>
      </c>
      <c r="R631">
        <v>1108.77</v>
      </c>
      <c r="S631" s="2">
        <v>45271</v>
      </c>
      <c r="T631" s="2">
        <v>45280</v>
      </c>
      <c r="U631" t="s">
        <v>36</v>
      </c>
      <c r="V631">
        <v>11</v>
      </c>
      <c r="W631">
        <v>12</v>
      </c>
      <c r="X631" t="s">
        <v>39</v>
      </c>
      <c r="Y631">
        <v>2023</v>
      </c>
      <c r="Z631">
        <v>4</v>
      </c>
      <c r="AA631">
        <v>50</v>
      </c>
    </row>
    <row r="632" spans="1:27" x14ac:dyDescent="0.3">
      <c r="A632" s="2">
        <v>45707</v>
      </c>
      <c r="B632" t="s">
        <v>1</v>
      </c>
      <c r="C632" t="s">
        <v>11</v>
      </c>
      <c r="D632">
        <v>11</v>
      </c>
      <c r="E632">
        <v>505.96</v>
      </c>
      <c r="F632" t="s">
        <v>14</v>
      </c>
      <c r="G632" t="s">
        <v>16</v>
      </c>
      <c r="H632">
        <v>0.15</v>
      </c>
      <c r="I632" t="s">
        <v>18</v>
      </c>
      <c r="J632">
        <v>4730.7259999999997</v>
      </c>
      <c r="K632" t="s">
        <v>27</v>
      </c>
      <c r="L632" t="s">
        <v>29</v>
      </c>
      <c r="M632">
        <v>1</v>
      </c>
      <c r="N632" t="s">
        <v>705</v>
      </c>
      <c r="O632" t="s">
        <v>2205</v>
      </c>
      <c r="P632">
        <v>22.84</v>
      </c>
      <c r="Q632">
        <f t="shared" si="9"/>
        <v>430.06599999999997</v>
      </c>
      <c r="R632">
        <v>4707.8859999999995</v>
      </c>
      <c r="S632" s="2">
        <v>45707</v>
      </c>
      <c r="T632" s="2">
        <v>45711</v>
      </c>
      <c r="U632" t="s">
        <v>34</v>
      </c>
      <c r="V632">
        <v>19</v>
      </c>
      <c r="W632">
        <v>2</v>
      </c>
      <c r="X632" t="s">
        <v>38</v>
      </c>
      <c r="Y632">
        <v>2025</v>
      </c>
      <c r="Z632">
        <v>1</v>
      </c>
      <c r="AA632">
        <v>8</v>
      </c>
    </row>
    <row r="633" spans="1:27" x14ac:dyDescent="0.3">
      <c r="A633" s="2">
        <v>45734</v>
      </c>
      <c r="B633" t="s">
        <v>4</v>
      </c>
      <c r="C633" t="s">
        <v>10</v>
      </c>
      <c r="D633">
        <v>4</v>
      </c>
      <c r="E633">
        <v>62.46</v>
      </c>
      <c r="F633" t="s">
        <v>15</v>
      </c>
      <c r="G633" t="s">
        <v>16</v>
      </c>
      <c r="H633">
        <v>0.15</v>
      </c>
      <c r="I633" t="s">
        <v>19</v>
      </c>
      <c r="J633">
        <v>212.364</v>
      </c>
      <c r="K633" t="s">
        <v>27</v>
      </c>
      <c r="L633" t="s">
        <v>31</v>
      </c>
      <c r="M633">
        <v>0</v>
      </c>
      <c r="N633" t="s">
        <v>706</v>
      </c>
      <c r="O633" t="s">
        <v>2206</v>
      </c>
      <c r="P633">
        <v>31.91</v>
      </c>
      <c r="Q633">
        <f t="shared" si="9"/>
        <v>53.091000000000001</v>
      </c>
      <c r="R633">
        <v>180.45400000000001</v>
      </c>
      <c r="S633" s="2">
        <v>45734</v>
      </c>
      <c r="T633" s="2">
        <v>45742</v>
      </c>
      <c r="U633" t="s">
        <v>37</v>
      </c>
      <c r="V633">
        <v>18</v>
      </c>
      <c r="W633">
        <v>3</v>
      </c>
      <c r="X633" t="s">
        <v>44</v>
      </c>
      <c r="Y633">
        <v>2025</v>
      </c>
      <c r="Z633">
        <v>1</v>
      </c>
      <c r="AA633">
        <v>12</v>
      </c>
    </row>
    <row r="634" spans="1:27" x14ac:dyDescent="0.3">
      <c r="A634" s="2">
        <v>45191</v>
      </c>
      <c r="B634" t="s">
        <v>1</v>
      </c>
      <c r="C634" t="s">
        <v>6</v>
      </c>
      <c r="D634">
        <v>7</v>
      </c>
      <c r="E634">
        <v>480.08</v>
      </c>
      <c r="F634" t="s">
        <v>12</v>
      </c>
      <c r="G634" t="s">
        <v>16</v>
      </c>
      <c r="H634">
        <v>0.1</v>
      </c>
      <c r="I634" t="s">
        <v>22</v>
      </c>
      <c r="J634">
        <v>3024.5039999999999</v>
      </c>
      <c r="K634" t="s">
        <v>24</v>
      </c>
      <c r="L634" t="s">
        <v>32</v>
      </c>
      <c r="M634">
        <v>1</v>
      </c>
      <c r="N634" t="s">
        <v>707</v>
      </c>
      <c r="O634" t="s">
        <v>2207</v>
      </c>
      <c r="P634">
        <v>44.37</v>
      </c>
      <c r="Q634">
        <f t="shared" si="9"/>
        <v>432.072</v>
      </c>
      <c r="R634">
        <v>2980.134</v>
      </c>
      <c r="S634" s="2">
        <v>45191</v>
      </c>
      <c r="T634" s="2">
        <v>45196</v>
      </c>
      <c r="U634" t="s">
        <v>34</v>
      </c>
      <c r="V634">
        <v>22</v>
      </c>
      <c r="W634">
        <v>9</v>
      </c>
      <c r="X634" t="s">
        <v>49</v>
      </c>
      <c r="Y634">
        <v>2023</v>
      </c>
      <c r="Z634">
        <v>3</v>
      </c>
      <c r="AA634">
        <v>38</v>
      </c>
    </row>
    <row r="635" spans="1:27" x14ac:dyDescent="0.3">
      <c r="A635" s="2">
        <v>45283</v>
      </c>
      <c r="B635" t="s">
        <v>4</v>
      </c>
      <c r="C635" t="s">
        <v>10</v>
      </c>
      <c r="D635">
        <v>18</v>
      </c>
      <c r="E635">
        <v>60.66</v>
      </c>
      <c r="F635" t="s">
        <v>13</v>
      </c>
      <c r="G635" t="s">
        <v>17</v>
      </c>
      <c r="H635">
        <v>0</v>
      </c>
      <c r="I635" t="s">
        <v>23</v>
      </c>
      <c r="J635">
        <v>1091.8800000000001</v>
      </c>
      <c r="K635" t="s">
        <v>24</v>
      </c>
      <c r="L635" t="s">
        <v>29</v>
      </c>
      <c r="M635">
        <v>1</v>
      </c>
      <c r="N635" t="s">
        <v>708</v>
      </c>
      <c r="O635" t="s">
        <v>2208</v>
      </c>
      <c r="P635">
        <v>10.08</v>
      </c>
      <c r="Q635">
        <f t="shared" si="9"/>
        <v>60.660000000000004</v>
      </c>
      <c r="R635">
        <v>1081.8000000000002</v>
      </c>
      <c r="S635" s="2">
        <v>45283</v>
      </c>
      <c r="T635" s="2">
        <v>45288</v>
      </c>
      <c r="U635" t="s">
        <v>37</v>
      </c>
      <c r="V635">
        <v>23</v>
      </c>
      <c r="W635">
        <v>12</v>
      </c>
      <c r="X635" t="s">
        <v>39</v>
      </c>
      <c r="Y635">
        <v>2023</v>
      </c>
      <c r="Z635">
        <v>4</v>
      </c>
      <c r="AA635">
        <v>51</v>
      </c>
    </row>
    <row r="636" spans="1:27" x14ac:dyDescent="0.3">
      <c r="A636" s="2">
        <v>45781</v>
      </c>
      <c r="B636" t="s">
        <v>2</v>
      </c>
      <c r="C636" t="s">
        <v>7</v>
      </c>
      <c r="D636">
        <v>6</v>
      </c>
      <c r="E636">
        <v>249.09</v>
      </c>
      <c r="F636" t="s">
        <v>12</v>
      </c>
      <c r="G636" t="s">
        <v>17</v>
      </c>
      <c r="H636">
        <v>0.05</v>
      </c>
      <c r="I636" t="s">
        <v>20</v>
      </c>
      <c r="J636">
        <v>1419.8130000000001</v>
      </c>
      <c r="K636" t="s">
        <v>28</v>
      </c>
      <c r="L636" t="s">
        <v>32</v>
      </c>
      <c r="M636">
        <v>0</v>
      </c>
      <c r="N636" t="s">
        <v>709</v>
      </c>
      <c r="O636" t="s">
        <v>2209</v>
      </c>
      <c r="P636">
        <v>20.38</v>
      </c>
      <c r="Q636">
        <f t="shared" si="9"/>
        <v>236.63550000000001</v>
      </c>
      <c r="R636">
        <v>1399.433</v>
      </c>
      <c r="S636" s="2">
        <v>45781</v>
      </c>
      <c r="T636" s="2">
        <v>45787</v>
      </c>
      <c r="U636" t="s">
        <v>35</v>
      </c>
      <c r="V636">
        <v>4</v>
      </c>
      <c r="W636">
        <v>5</v>
      </c>
      <c r="X636" t="s">
        <v>40</v>
      </c>
      <c r="Y636">
        <v>2025</v>
      </c>
      <c r="Z636">
        <v>2</v>
      </c>
      <c r="AA636">
        <v>18</v>
      </c>
    </row>
    <row r="637" spans="1:27" x14ac:dyDescent="0.3">
      <c r="A637" s="2">
        <v>45668</v>
      </c>
      <c r="B637" t="s">
        <v>0</v>
      </c>
      <c r="C637" t="s">
        <v>6</v>
      </c>
      <c r="D637">
        <v>20</v>
      </c>
      <c r="E637">
        <v>400.05</v>
      </c>
      <c r="F637" t="s">
        <v>15</v>
      </c>
      <c r="G637" t="s">
        <v>16</v>
      </c>
      <c r="H637">
        <v>0.1</v>
      </c>
      <c r="I637" t="s">
        <v>22</v>
      </c>
      <c r="J637">
        <v>7200.9000000000005</v>
      </c>
      <c r="K637" t="s">
        <v>27</v>
      </c>
      <c r="L637" t="s">
        <v>31</v>
      </c>
      <c r="M637">
        <v>0</v>
      </c>
      <c r="N637" t="s">
        <v>710</v>
      </c>
      <c r="O637" t="s">
        <v>2210</v>
      </c>
      <c r="P637">
        <v>24.41</v>
      </c>
      <c r="Q637">
        <f t="shared" si="9"/>
        <v>360.04500000000002</v>
      </c>
      <c r="R637">
        <v>7176.4900000000007</v>
      </c>
      <c r="S637" s="2">
        <v>45668</v>
      </c>
      <c r="T637" s="2">
        <v>45670</v>
      </c>
      <c r="U637" t="s">
        <v>33</v>
      </c>
      <c r="V637">
        <v>11</v>
      </c>
      <c r="W637">
        <v>1</v>
      </c>
      <c r="X637" t="s">
        <v>42</v>
      </c>
      <c r="Y637">
        <v>2025</v>
      </c>
      <c r="Z637">
        <v>1</v>
      </c>
      <c r="AA637">
        <v>2</v>
      </c>
    </row>
    <row r="638" spans="1:27" x14ac:dyDescent="0.3">
      <c r="A638" s="2">
        <v>45768</v>
      </c>
      <c r="B638" t="s">
        <v>1</v>
      </c>
      <c r="C638" t="s">
        <v>11</v>
      </c>
      <c r="D638">
        <v>1</v>
      </c>
      <c r="E638">
        <v>130.87</v>
      </c>
      <c r="F638" t="s">
        <v>12</v>
      </c>
      <c r="G638" t="s">
        <v>17</v>
      </c>
      <c r="H638">
        <v>0.05</v>
      </c>
      <c r="I638" t="s">
        <v>22</v>
      </c>
      <c r="J638">
        <v>124.3265</v>
      </c>
      <c r="K638" t="s">
        <v>24</v>
      </c>
      <c r="L638" t="s">
        <v>31</v>
      </c>
      <c r="M638">
        <v>0</v>
      </c>
      <c r="N638" t="s">
        <v>711</v>
      </c>
      <c r="O638" t="s">
        <v>2211</v>
      </c>
      <c r="P638">
        <v>43.21</v>
      </c>
      <c r="Q638">
        <f t="shared" si="9"/>
        <v>124.3265</v>
      </c>
      <c r="R638">
        <v>81.116500000000002</v>
      </c>
      <c r="S638" s="2">
        <v>45768</v>
      </c>
      <c r="T638" s="2">
        <v>45771</v>
      </c>
      <c r="U638" t="s">
        <v>34</v>
      </c>
      <c r="V638">
        <v>21</v>
      </c>
      <c r="W638">
        <v>4</v>
      </c>
      <c r="X638" t="s">
        <v>45</v>
      </c>
      <c r="Y638">
        <v>2025</v>
      </c>
      <c r="Z638">
        <v>2</v>
      </c>
      <c r="AA638">
        <v>17</v>
      </c>
    </row>
    <row r="639" spans="1:27" x14ac:dyDescent="0.3">
      <c r="A639" s="2">
        <v>45273</v>
      </c>
      <c r="B639" t="s">
        <v>3</v>
      </c>
      <c r="C639" t="s">
        <v>10</v>
      </c>
      <c r="D639">
        <v>11</v>
      </c>
      <c r="E639">
        <v>133.08000000000001</v>
      </c>
      <c r="F639" t="s">
        <v>13</v>
      </c>
      <c r="G639" t="s">
        <v>16</v>
      </c>
      <c r="H639">
        <v>0.15</v>
      </c>
      <c r="I639" t="s">
        <v>20</v>
      </c>
      <c r="J639">
        <v>1244.298</v>
      </c>
      <c r="K639" t="s">
        <v>26</v>
      </c>
      <c r="L639" t="s">
        <v>31</v>
      </c>
      <c r="M639">
        <v>0</v>
      </c>
      <c r="N639" t="s">
        <v>712</v>
      </c>
      <c r="O639" t="s">
        <v>2212</v>
      </c>
      <c r="P639">
        <v>44.61</v>
      </c>
      <c r="Q639">
        <f t="shared" si="9"/>
        <v>113.11799999999999</v>
      </c>
      <c r="R639">
        <v>1199.6880000000001</v>
      </c>
      <c r="S639" s="2">
        <v>45273</v>
      </c>
      <c r="T639" s="2">
        <v>45282</v>
      </c>
      <c r="U639" t="s">
        <v>36</v>
      </c>
      <c r="V639">
        <v>13</v>
      </c>
      <c r="W639">
        <v>12</v>
      </c>
      <c r="X639" t="s">
        <v>39</v>
      </c>
      <c r="Y639">
        <v>2023</v>
      </c>
      <c r="Z639">
        <v>4</v>
      </c>
      <c r="AA639">
        <v>50</v>
      </c>
    </row>
    <row r="640" spans="1:27" x14ac:dyDescent="0.3">
      <c r="A640" s="2">
        <v>45329</v>
      </c>
      <c r="B640" t="s">
        <v>0</v>
      </c>
      <c r="C640" t="s">
        <v>8</v>
      </c>
      <c r="D640">
        <v>13</v>
      </c>
      <c r="E640">
        <v>448.68</v>
      </c>
      <c r="F640" t="s">
        <v>12</v>
      </c>
      <c r="G640" t="s">
        <v>16</v>
      </c>
      <c r="H640">
        <v>0.1</v>
      </c>
      <c r="I640" t="s">
        <v>22</v>
      </c>
      <c r="J640">
        <v>5249.5559999999996</v>
      </c>
      <c r="K640" t="s">
        <v>26</v>
      </c>
      <c r="L640" t="s">
        <v>29</v>
      </c>
      <c r="M640">
        <v>1</v>
      </c>
      <c r="N640" t="s">
        <v>713</v>
      </c>
      <c r="O640" t="s">
        <v>2213</v>
      </c>
      <c r="P640">
        <v>16.82</v>
      </c>
      <c r="Q640">
        <f t="shared" si="9"/>
        <v>403.81199999999995</v>
      </c>
      <c r="R640">
        <v>5232.7359999999999</v>
      </c>
      <c r="S640" s="2">
        <v>45329</v>
      </c>
      <c r="T640" s="2">
        <v>45333</v>
      </c>
      <c r="U640" t="s">
        <v>33</v>
      </c>
      <c r="V640">
        <v>7</v>
      </c>
      <c r="W640">
        <v>2</v>
      </c>
      <c r="X640" t="s">
        <v>38</v>
      </c>
      <c r="Y640">
        <v>2024</v>
      </c>
      <c r="Z640">
        <v>1</v>
      </c>
      <c r="AA640">
        <v>6</v>
      </c>
    </row>
    <row r="641" spans="1:27" x14ac:dyDescent="0.3">
      <c r="A641" s="2">
        <v>45406</v>
      </c>
      <c r="B641" t="s">
        <v>2</v>
      </c>
      <c r="C641" t="s">
        <v>10</v>
      </c>
      <c r="D641">
        <v>19</v>
      </c>
      <c r="E641">
        <v>36.229999999999997</v>
      </c>
      <c r="F641" t="s">
        <v>12</v>
      </c>
      <c r="G641" t="s">
        <v>16</v>
      </c>
      <c r="H641">
        <v>0</v>
      </c>
      <c r="I641" t="s">
        <v>22</v>
      </c>
      <c r="J641">
        <v>688.36999999999989</v>
      </c>
      <c r="K641" t="s">
        <v>27</v>
      </c>
      <c r="L641" t="s">
        <v>31</v>
      </c>
      <c r="M641">
        <v>0</v>
      </c>
      <c r="N641" t="s">
        <v>714</v>
      </c>
      <c r="O641" t="s">
        <v>2214</v>
      </c>
      <c r="P641">
        <v>33.94</v>
      </c>
      <c r="Q641">
        <f t="shared" si="9"/>
        <v>36.229999999999997</v>
      </c>
      <c r="R641">
        <v>654.42999999999984</v>
      </c>
      <c r="S641" s="2">
        <v>45406</v>
      </c>
      <c r="T641" s="2">
        <v>45409</v>
      </c>
      <c r="U641" t="s">
        <v>35</v>
      </c>
      <c r="V641">
        <v>24</v>
      </c>
      <c r="W641">
        <v>4</v>
      </c>
      <c r="X641" t="s">
        <v>45</v>
      </c>
      <c r="Y641">
        <v>2024</v>
      </c>
      <c r="Z641">
        <v>2</v>
      </c>
      <c r="AA641">
        <v>17</v>
      </c>
    </row>
    <row r="642" spans="1:27" x14ac:dyDescent="0.3">
      <c r="A642" s="2">
        <v>45180</v>
      </c>
      <c r="B642" t="s">
        <v>4</v>
      </c>
      <c r="C642" t="s">
        <v>8</v>
      </c>
      <c r="D642">
        <v>14</v>
      </c>
      <c r="E642">
        <v>113.77</v>
      </c>
      <c r="F642" t="s">
        <v>14</v>
      </c>
      <c r="G642" t="s">
        <v>17</v>
      </c>
      <c r="H642">
        <v>0</v>
      </c>
      <c r="I642" t="s">
        <v>18</v>
      </c>
      <c r="J642">
        <v>1592.78</v>
      </c>
      <c r="K642" t="s">
        <v>28</v>
      </c>
      <c r="L642" t="s">
        <v>29</v>
      </c>
      <c r="M642">
        <v>0</v>
      </c>
      <c r="N642" t="s">
        <v>715</v>
      </c>
      <c r="O642" t="s">
        <v>2215</v>
      </c>
      <c r="P642">
        <v>25.35</v>
      </c>
      <c r="Q642">
        <f t="shared" si="9"/>
        <v>113.77</v>
      </c>
      <c r="R642">
        <v>1567.43</v>
      </c>
      <c r="S642" s="2">
        <v>45180</v>
      </c>
      <c r="T642" s="2">
        <v>45185</v>
      </c>
      <c r="U642" t="s">
        <v>37</v>
      </c>
      <c r="V642">
        <v>11</v>
      </c>
      <c r="W642">
        <v>9</v>
      </c>
      <c r="X642" t="s">
        <v>49</v>
      </c>
      <c r="Y642">
        <v>2023</v>
      </c>
      <c r="Z642">
        <v>3</v>
      </c>
      <c r="AA642">
        <v>37</v>
      </c>
    </row>
    <row r="643" spans="1:27" x14ac:dyDescent="0.3">
      <c r="A643" s="2">
        <v>45817</v>
      </c>
      <c r="B643" t="s">
        <v>3</v>
      </c>
      <c r="C643" t="s">
        <v>11</v>
      </c>
      <c r="D643">
        <v>2</v>
      </c>
      <c r="E643">
        <v>89.6</v>
      </c>
      <c r="F643" t="s">
        <v>13</v>
      </c>
      <c r="G643" t="s">
        <v>17</v>
      </c>
      <c r="H643">
        <v>0</v>
      </c>
      <c r="I643" t="s">
        <v>22</v>
      </c>
      <c r="J643">
        <v>179.2</v>
      </c>
      <c r="K643" t="s">
        <v>25</v>
      </c>
      <c r="L643" t="s">
        <v>29</v>
      </c>
      <c r="M643">
        <v>0</v>
      </c>
      <c r="N643" t="s">
        <v>716</v>
      </c>
      <c r="O643" t="s">
        <v>2216</v>
      </c>
      <c r="P643">
        <v>23.69</v>
      </c>
      <c r="Q643">
        <f t="shared" ref="Q643:Q706" si="10">J643/D643</f>
        <v>89.6</v>
      </c>
      <c r="R643">
        <v>155.51</v>
      </c>
      <c r="S643" s="2">
        <v>45817</v>
      </c>
      <c r="T643" s="2">
        <v>45820</v>
      </c>
      <c r="U643" t="s">
        <v>36</v>
      </c>
      <c r="V643">
        <v>9</v>
      </c>
      <c r="W643">
        <v>6</v>
      </c>
      <c r="X643" t="s">
        <v>41</v>
      </c>
      <c r="Y643">
        <v>2025</v>
      </c>
      <c r="Z643">
        <v>2</v>
      </c>
      <c r="AA643">
        <v>24</v>
      </c>
    </row>
    <row r="644" spans="1:27" x14ac:dyDescent="0.3">
      <c r="A644" s="2">
        <v>45814</v>
      </c>
      <c r="B644" t="s">
        <v>0</v>
      </c>
      <c r="C644" t="s">
        <v>7</v>
      </c>
      <c r="D644">
        <v>3</v>
      </c>
      <c r="E644">
        <v>391.92</v>
      </c>
      <c r="F644" t="s">
        <v>13</v>
      </c>
      <c r="G644" t="s">
        <v>16</v>
      </c>
      <c r="H644">
        <v>0.15</v>
      </c>
      <c r="I644" t="s">
        <v>19</v>
      </c>
      <c r="J644">
        <v>999.39599999999996</v>
      </c>
      <c r="K644" t="s">
        <v>27</v>
      </c>
      <c r="L644" t="s">
        <v>30</v>
      </c>
      <c r="M644">
        <v>0</v>
      </c>
      <c r="N644" t="s">
        <v>717</v>
      </c>
      <c r="O644" t="s">
        <v>2217</v>
      </c>
      <c r="P644">
        <v>9.86</v>
      </c>
      <c r="Q644">
        <f t="shared" si="10"/>
        <v>333.13200000000001</v>
      </c>
      <c r="R644">
        <v>989.53599999999994</v>
      </c>
      <c r="S644" s="2">
        <v>45814</v>
      </c>
      <c r="T644" s="2">
        <v>45824</v>
      </c>
      <c r="U644" t="s">
        <v>33</v>
      </c>
      <c r="V644">
        <v>6</v>
      </c>
      <c r="W644">
        <v>6</v>
      </c>
      <c r="X644" t="s">
        <v>41</v>
      </c>
      <c r="Y644">
        <v>2025</v>
      </c>
      <c r="Z644">
        <v>2</v>
      </c>
      <c r="AA644">
        <v>23</v>
      </c>
    </row>
    <row r="645" spans="1:27" x14ac:dyDescent="0.3">
      <c r="A645" s="2">
        <v>45649</v>
      </c>
      <c r="B645" t="s">
        <v>1</v>
      </c>
      <c r="C645" t="s">
        <v>8</v>
      </c>
      <c r="D645">
        <v>10</v>
      </c>
      <c r="E645">
        <v>418.93</v>
      </c>
      <c r="F645" t="s">
        <v>14</v>
      </c>
      <c r="G645" t="s">
        <v>16</v>
      </c>
      <c r="H645">
        <v>0.1</v>
      </c>
      <c r="I645" t="s">
        <v>23</v>
      </c>
      <c r="J645">
        <v>3770.37</v>
      </c>
      <c r="K645" t="s">
        <v>26</v>
      </c>
      <c r="L645" t="s">
        <v>29</v>
      </c>
      <c r="M645">
        <v>0</v>
      </c>
      <c r="N645" t="s">
        <v>718</v>
      </c>
      <c r="O645" t="s">
        <v>2218</v>
      </c>
      <c r="P645">
        <v>45.63</v>
      </c>
      <c r="Q645">
        <f t="shared" si="10"/>
        <v>377.03699999999998</v>
      </c>
      <c r="R645">
        <v>3724.74</v>
      </c>
      <c r="S645" s="2">
        <v>45649</v>
      </c>
      <c r="T645" s="2">
        <v>45654</v>
      </c>
      <c r="U645" t="s">
        <v>34</v>
      </c>
      <c r="V645">
        <v>23</v>
      </c>
      <c r="W645">
        <v>12</v>
      </c>
      <c r="X645" t="s">
        <v>39</v>
      </c>
      <c r="Y645">
        <v>2024</v>
      </c>
      <c r="Z645">
        <v>4</v>
      </c>
      <c r="AA645">
        <v>52</v>
      </c>
    </row>
    <row r="646" spans="1:27" x14ac:dyDescent="0.3">
      <c r="A646" s="2">
        <v>45165</v>
      </c>
      <c r="B646" t="s">
        <v>0</v>
      </c>
      <c r="C646" t="s">
        <v>9</v>
      </c>
      <c r="D646">
        <v>12</v>
      </c>
      <c r="E646">
        <v>303.08999999999997</v>
      </c>
      <c r="F646" t="s">
        <v>12</v>
      </c>
      <c r="G646" t="s">
        <v>16</v>
      </c>
      <c r="H646">
        <v>0</v>
      </c>
      <c r="I646" t="s">
        <v>19</v>
      </c>
      <c r="J646">
        <v>3637.08</v>
      </c>
      <c r="K646" t="s">
        <v>25</v>
      </c>
      <c r="L646" t="s">
        <v>31</v>
      </c>
      <c r="M646">
        <v>1</v>
      </c>
      <c r="N646" t="s">
        <v>719</v>
      </c>
      <c r="O646" t="s">
        <v>2219</v>
      </c>
      <c r="P646">
        <v>5.48</v>
      </c>
      <c r="Q646">
        <f t="shared" si="10"/>
        <v>303.08999999999997</v>
      </c>
      <c r="R646">
        <v>3631.6</v>
      </c>
      <c r="S646" s="2">
        <v>45165</v>
      </c>
      <c r="T646" s="2">
        <v>45172</v>
      </c>
      <c r="U646" t="s">
        <v>33</v>
      </c>
      <c r="V646">
        <v>27</v>
      </c>
      <c r="W646">
        <v>8</v>
      </c>
      <c r="X646" t="s">
        <v>48</v>
      </c>
      <c r="Y646">
        <v>2023</v>
      </c>
      <c r="Z646">
        <v>3</v>
      </c>
      <c r="AA646">
        <v>34</v>
      </c>
    </row>
    <row r="647" spans="1:27" x14ac:dyDescent="0.3">
      <c r="A647" s="2">
        <v>44935</v>
      </c>
      <c r="B647" t="s">
        <v>0</v>
      </c>
      <c r="C647" t="s">
        <v>9</v>
      </c>
      <c r="D647">
        <v>10</v>
      </c>
      <c r="E647">
        <v>209.95</v>
      </c>
      <c r="F647" t="s">
        <v>13</v>
      </c>
      <c r="G647" t="s">
        <v>16</v>
      </c>
      <c r="H647">
        <v>0.1</v>
      </c>
      <c r="I647" t="s">
        <v>18</v>
      </c>
      <c r="J647">
        <v>1889.55</v>
      </c>
      <c r="K647" t="s">
        <v>28</v>
      </c>
      <c r="L647" t="s">
        <v>31</v>
      </c>
      <c r="M647">
        <v>0</v>
      </c>
      <c r="N647" t="s">
        <v>720</v>
      </c>
      <c r="O647" t="s">
        <v>2220</v>
      </c>
      <c r="P647">
        <v>10.99</v>
      </c>
      <c r="Q647">
        <f t="shared" si="10"/>
        <v>188.95499999999998</v>
      </c>
      <c r="R647">
        <v>1878.56</v>
      </c>
      <c r="S647" s="2">
        <v>44935</v>
      </c>
      <c r="T647" s="2">
        <v>44939</v>
      </c>
      <c r="U647" t="s">
        <v>33</v>
      </c>
      <c r="V647">
        <v>9</v>
      </c>
      <c r="W647">
        <v>1</v>
      </c>
      <c r="X647" t="s">
        <v>42</v>
      </c>
      <c r="Y647">
        <v>2023</v>
      </c>
      <c r="Z647">
        <v>1</v>
      </c>
      <c r="AA647">
        <v>2</v>
      </c>
    </row>
    <row r="648" spans="1:27" x14ac:dyDescent="0.3">
      <c r="A648" s="2">
        <v>45769</v>
      </c>
      <c r="B648" t="s">
        <v>0</v>
      </c>
      <c r="C648" t="s">
        <v>5</v>
      </c>
      <c r="D648">
        <v>8</v>
      </c>
      <c r="E648">
        <v>283.63</v>
      </c>
      <c r="F648" t="s">
        <v>14</v>
      </c>
      <c r="G648" t="s">
        <v>16</v>
      </c>
      <c r="H648">
        <v>0.1</v>
      </c>
      <c r="I648" t="s">
        <v>19</v>
      </c>
      <c r="J648">
        <v>2042.136</v>
      </c>
      <c r="K648" t="s">
        <v>28</v>
      </c>
      <c r="L648" t="s">
        <v>30</v>
      </c>
      <c r="M648">
        <v>0</v>
      </c>
      <c r="N648" t="s">
        <v>721</v>
      </c>
      <c r="O648" t="s">
        <v>2221</v>
      </c>
      <c r="P648">
        <v>49.91</v>
      </c>
      <c r="Q648">
        <f t="shared" si="10"/>
        <v>255.267</v>
      </c>
      <c r="R648">
        <v>1992.2259999999999</v>
      </c>
      <c r="S648" s="2">
        <v>45769</v>
      </c>
      <c r="T648" s="2">
        <v>45772</v>
      </c>
      <c r="U648" t="s">
        <v>33</v>
      </c>
      <c r="V648">
        <v>22</v>
      </c>
      <c r="W648">
        <v>4</v>
      </c>
      <c r="X648" t="s">
        <v>45</v>
      </c>
      <c r="Y648">
        <v>2025</v>
      </c>
      <c r="Z648">
        <v>2</v>
      </c>
      <c r="AA648">
        <v>17</v>
      </c>
    </row>
    <row r="649" spans="1:27" x14ac:dyDescent="0.3">
      <c r="A649" s="2">
        <v>45175</v>
      </c>
      <c r="B649" t="s">
        <v>1</v>
      </c>
      <c r="C649" t="s">
        <v>6</v>
      </c>
      <c r="D649">
        <v>7</v>
      </c>
      <c r="E649">
        <v>18.36</v>
      </c>
      <c r="F649" t="s">
        <v>15</v>
      </c>
      <c r="G649" t="s">
        <v>17</v>
      </c>
      <c r="H649">
        <v>0.1</v>
      </c>
      <c r="I649" t="s">
        <v>19</v>
      </c>
      <c r="J649">
        <v>115.66800000000001</v>
      </c>
      <c r="K649" t="s">
        <v>24</v>
      </c>
      <c r="L649" t="s">
        <v>32</v>
      </c>
      <c r="M649">
        <v>0</v>
      </c>
      <c r="N649" t="s">
        <v>722</v>
      </c>
      <c r="O649" t="s">
        <v>2222</v>
      </c>
      <c r="P649">
        <v>48.92</v>
      </c>
      <c r="Q649">
        <f t="shared" si="10"/>
        <v>16.524000000000001</v>
      </c>
      <c r="R649">
        <v>66.748000000000005</v>
      </c>
      <c r="S649" s="2">
        <v>45175</v>
      </c>
      <c r="T649" s="2">
        <v>45180</v>
      </c>
      <c r="U649" t="s">
        <v>34</v>
      </c>
      <c r="V649">
        <v>6</v>
      </c>
      <c r="W649">
        <v>9</v>
      </c>
      <c r="X649" t="s">
        <v>49</v>
      </c>
      <c r="Y649">
        <v>2023</v>
      </c>
      <c r="Z649">
        <v>3</v>
      </c>
      <c r="AA649">
        <v>36</v>
      </c>
    </row>
    <row r="650" spans="1:27" x14ac:dyDescent="0.3">
      <c r="A650" s="2">
        <v>44947</v>
      </c>
      <c r="B650" t="s">
        <v>0</v>
      </c>
      <c r="C650" t="s">
        <v>9</v>
      </c>
      <c r="D650">
        <v>9</v>
      </c>
      <c r="E650">
        <v>475.38</v>
      </c>
      <c r="F650" t="s">
        <v>13</v>
      </c>
      <c r="G650" t="s">
        <v>16</v>
      </c>
      <c r="H650">
        <v>0.1</v>
      </c>
      <c r="I650" t="s">
        <v>21</v>
      </c>
      <c r="J650">
        <v>3850.578</v>
      </c>
      <c r="K650" t="s">
        <v>27</v>
      </c>
      <c r="L650" t="s">
        <v>30</v>
      </c>
      <c r="M650">
        <v>0</v>
      </c>
      <c r="N650" t="s">
        <v>723</v>
      </c>
      <c r="O650" t="s">
        <v>2223</v>
      </c>
      <c r="P650">
        <v>39.979999999999997</v>
      </c>
      <c r="Q650">
        <f t="shared" si="10"/>
        <v>427.84199999999998</v>
      </c>
      <c r="R650">
        <v>3810.598</v>
      </c>
      <c r="S650" s="2">
        <v>44947</v>
      </c>
      <c r="T650" s="2">
        <v>44953</v>
      </c>
      <c r="U650" t="s">
        <v>33</v>
      </c>
      <c r="V650">
        <v>21</v>
      </c>
      <c r="W650">
        <v>1</v>
      </c>
      <c r="X650" t="s">
        <v>42</v>
      </c>
      <c r="Y650">
        <v>2023</v>
      </c>
      <c r="Z650">
        <v>1</v>
      </c>
      <c r="AA650">
        <v>3</v>
      </c>
    </row>
    <row r="651" spans="1:27" x14ac:dyDescent="0.3">
      <c r="A651" s="2">
        <v>45408</v>
      </c>
      <c r="B651" t="s">
        <v>3</v>
      </c>
      <c r="C651" t="s">
        <v>8</v>
      </c>
      <c r="D651">
        <v>12</v>
      </c>
      <c r="E651">
        <v>591.91999999999996</v>
      </c>
      <c r="F651" t="s">
        <v>15</v>
      </c>
      <c r="G651" t="s">
        <v>17</v>
      </c>
      <c r="H651">
        <v>0</v>
      </c>
      <c r="I651" t="s">
        <v>18</v>
      </c>
      <c r="J651">
        <v>7103.0399999999991</v>
      </c>
      <c r="K651" t="s">
        <v>27</v>
      </c>
      <c r="L651" t="s">
        <v>30</v>
      </c>
      <c r="M651">
        <v>0</v>
      </c>
      <c r="N651" t="s">
        <v>724</v>
      </c>
      <c r="O651" t="s">
        <v>2224</v>
      </c>
      <c r="P651">
        <v>25.2</v>
      </c>
      <c r="Q651">
        <f t="shared" si="10"/>
        <v>591.91999999999996</v>
      </c>
      <c r="R651">
        <v>7077.8399999999992</v>
      </c>
      <c r="S651" s="2">
        <v>45408</v>
      </c>
      <c r="T651" s="2">
        <v>45418</v>
      </c>
      <c r="U651" t="s">
        <v>36</v>
      </c>
      <c r="V651">
        <v>26</v>
      </c>
      <c r="W651">
        <v>4</v>
      </c>
      <c r="X651" t="s">
        <v>45</v>
      </c>
      <c r="Y651">
        <v>2024</v>
      </c>
      <c r="Z651">
        <v>2</v>
      </c>
      <c r="AA651">
        <v>17</v>
      </c>
    </row>
    <row r="652" spans="1:27" x14ac:dyDescent="0.3">
      <c r="A652" s="2">
        <v>45104</v>
      </c>
      <c r="B652" t="s">
        <v>2</v>
      </c>
      <c r="C652" t="s">
        <v>6</v>
      </c>
      <c r="D652">
        <v>7</v>
      </c>
      <c r="E652">
        <v>93.23</v>
      </c>
      <c r="F652" t="s">
        <v>12</v>
      </c>
      <c r="G652" t="s">
        <v>17</v>
      </c>
      <c r="H652">
        <v>0.05</v>
      </c>
      <c r="I652" t="s">
        <v>19</v>
      </c>
      <c r="J652">
        <v>619.97950000000003</v>
      </c>
      <c r="K652" t="s">
        <v>26</v>
      </c>
      <c r="L652" t="s">
        <v>29</v>
      </c>
      <c r="M652">
        <v>1</v>
      </c>
      <c r="N652" t="s">
        <v>725</v>
      </c>
      <c r="O652" t="s">
        <v>2225</v>
      </c>
      <c r="P652">
        <v>6.47</v>
      </c>
      <c r="Q652">
        <f t="shared" si="10"/>
        <v>88.5685</v>
      </c>
      <c r="R652">
        <v>613.5095</v>
      </c>
      <c r="S652" s="2">
        <v>45104</v>
      </c>
      <c r="T652" s="2">
        <v>45107</v>
      </c>
      <c r="U652" t="s">
        <v>35</v>
      </c>
      <c r="V652">
        <v>27</v>
      </c>
      <c r="W652">
        <v>6</v>
      </c>
      <c r="X652" t="s">
        <v>41</v>
      </c>
      <c r="Y652">
        <v>2023</v>
      </c>
      <c r="Z652">
        <v>2</v>
      </c>
      <c r="AA652">
        <v>26</v>
      </c>
    </row>
    <row r="653" spans="1:27" x14ac:dyDescent="0.3">
      <c r="A653" s="2">
        <v>44927</v>
      </c>
      <c r="B653" t="s">
        <v>0</v>
      </c>
      <c r="C653" t="s">
        <v>10</v>
      </c>
      <c r="D653">
        <v>15</v>
      </c>
      <c r="E653">
        <v>298.70999999999998</v>
      </c>
      <c r="F653" t="s">
        <v>14</v>
      </c>
      <c r="G653" t="s">
        <v>17</v>
      </c>
      <c r="H653">
        <v>0</v>
      </c>
      <c r="I653" t="s">
        <v>23</v>
      </c>
      <c r="J653">
        <v>4480.6499999999996</v>
      </c>
      <c r="K653" t="s">
        <v>27</v>
      </c>
      <c r="L653" t="s">
        <v>30</v>
      </c>
      <c r="M653">
        <v>0</v>
      </c>
      <c r="N653" t="s">
        <v>726</v>
      </c>
      <c r="O653" t="s">
        <v>2226</v>
      </c>
      <c r="P653">
        <v>11.38</v>
      </c>
      <c r="Q653">
        <f t="shared" si="10"/>
        <v>298.70999999999998</v>
      </c>
      <c r="R653">
        <v>4469.2699999999995</v>
      </c>
      <c r="S653" s="2">
        <v>44927</v>
      </c>
      <c r="T653" s="2">
        <v>44934</v>
      </c>
      <c r="U653" t="s">
        <v>33</v>
      </c>
      <c r="V653">
        <v>1</v>
      </c>
      <c r="W653">
        <v>1</v>
      </c>
      <c r="X653" t="s">
        <v>42</v>
      </c>
      <c r="Y653">
        <v>2023</v>
      </c>
      <c r="Z653">
        <v>1</v>
      </c>
      <c r="AA653">
        <v>52</v>
      </c>
    </row>
    <row r="654" spans="1:27" x14ac:dyDescent="0.3">
      <c r="A654" s="2">
        <v>45290</v>
      </c>
      <c r="B654" t="s">
        <v>4</v>
      </c>
      <c r="C654" t="s">
        <v>10</v>
      </c>
      <c r="D654">
        <v>15</v>
      </c>
      <c r="E654">
        <v>52.37</v>
      </c>
      <c r="F654" t="s">
        <v>13</v>
      </c>
      <c r="G654" t="s">
        <v>17</v>
      </c>
      <c r="H654">
        <v>0.15</v>
      </c>
      <c r="I654" t="s">
        <v>22</v>
      </c>
      <c r="J654">
        <v>667.71749999999997</v>
      </c>
      <c r="K654" t="s">
        <v>24</v>
      </c>
      <c r="L654" t="s">
        <v>30</v>
      </c>
      <c r="M654">
        <v>0</v>
      </c>
      <c r="N654" t="s">
        <v>727</v>
      </c>
      <c r="O654" t="s">
        <v>2227</v>
      </c>
      <c r="P654">
        <v>8.93</v>
      </c>
      <c r="Q654">
        <f t="shared" si="10"/>
        <v>44.514499999999998</v>
      </c>
      <c r="R654">
        <v>658.78750000000002</v>
      </c>
      <c r="S654" s="2">
        <v>45290</v>
      </c>
      <c r="T654" s="2">
        <v>45293</v>
      </c>
      <c r="U654" t="s">
        <v>37</v>
      </c>
      <c r="V654">
        <v>30</v>
      </c>
      <c r="W654">
        <v>12</v>
      </c>
      <c r="X654" t="s">
        <v>39</v>
      </c>
      <c r="Y654">
        <v>2023</v>
      </c>
      <c r="Z654">
        <v>4</v>
      </c>
      <c r="AA654">
        <v>52</v>
      </c>
    </row>
    <row r="655" spans="1:27" x14ac:dyDescent="0.3">
      <c r="A655" s="2">
        <v>44948</v>
      </c>
      <c r="B655" t="s">
        <v>3</v>
      </c>
      <c r="C655" t="s">
        <v>6</v>
      </c>
      <c r="D655">
        <v>6</v>
      </c>
      <c r="E655">
        <v>104.19</v>
      </c>
      <c r="F655" t="s">
        <v>14</v>
      </c>
      <c r="G655" t="s">
        <v>17</v>
      </c>
      <c r="H655">
        <v>0.1</v>
      </c>
      <c r="I655" t="s">
        <v>22</v>
      </c>
      <c r="J655">
        <v>562.62599999999998</v>
      </c>
      <c r="K655" t="s">
        <v>24</v>
      </c>
      <c r="L655" t="s">
        <v>32</v>
      </c>
      <c r="M655">
        <v>0</v>
      </c>
      <c r="N655" t="s">
        <v>728</v>
      </c>
      <c r="O655" t="s">
        <v>2228</v>
      </c>
      <c r="P655">
        <v>8.6199999999999992</v>
      </c>
      <c r="Q655">
        <f t="shared" si="10"/>
        <v>93.771000000000001</v>
      </c>
      <c r="R655">
        <v>554.00599999999997</v>
      </c>
      <c r="S655" s="2">
        <v>44948</v>
      </c>
      <c r="T655" s="2">
        <v>44950</v>
      </c>
      <c r="U655" t="s">
        <v>36</v>
      </c>
      <c r="V655">
        <v>22</v>
      </c>
      <c r="W655">
        <v>1</v>
      </c>
      <c r="X655" t="s">
        <v>42</v>
      </c>
      <c r="Y655">
        <v>2023</v>
      </c>
      <c r="Z655">
        <v>1</v>
      </c>
      <c r="AA655">
        <v>3</v>
      </c>
    </row>
    <row r="656" spans="1:27" x14ac:dyDescent="0.3">
      <c r="A656" s="2">
        <v>45500</v>
      </c>
      <c r="B656" t="s">
        <v>1</v>
      </c>
      <c r="C656" t="s">
        <v>5</v>
      </c>
      <c r="D656">
        <v>8</v>
      </c>
      <c r="E656">
        <v>493.09</v>
      </c>
      <c r="F656" t="s">
        <v>13</v>
      </c>
      <c r="G656" t="s">
        <v>17</v>
      </c>
      <c r="H656">
        <v>0.05</v>
      </c>
      <c r="I656" t="s">
        <v>22</v>
      </c>
      <c r="J656">
        <v>3747.483999999999</v>
      </c>
      <c r="K656" t="s">
        <v>26</v>
      </c>
      <c r="L656" t="s">
        <v>29</v>
      </c>
      <c r="M656">
        <v>0</v>
      </c>
      <c r="N656" t="s">
        <v>729</v>
      </c>
      <c r="O656" t="s">
        <v>2229</v>
      </c>
      <c r="P656">
        <v>11.49</v>
      </c>
      <c r="Q656">
        <f t="shared" si="10"/>
        <v>468.43549999999988</v>
      </c>
      <c r="R656">
        <v>3735.9939999999992</v>
      </c>
      <c r="S656" s="2">
        <v>45500</v>
      </c>
      <c r="T656" s="2">
        <v>45509</v>
      </c>
      <c r="U656" t="s">
        <v>34</v>
      </c>
      <c r="V656">
        <v>27</v>
      </c>
      <c r="W656">
        <v>7</v>
      </c>
      <c r="X656" t="s">
        <v>46</v>
      </c>
      <c r="Y656">
        <v>2024</v>
      </c>
      <c r="Z656">
        <v>3</v>
      </c>
      <c r="AA656">
        <v>30</v>
      </c>
    </row>
    <row r="657" spans="1:27" x14ac:dyDescent="0.3">
      <c r="A657" s="2">
        <v>45306</v>
      </c>
      <c r="B657" t="s">
        <v>1</v>
      </c>
      <c r="C657" t="s">
        <v>8</v>
      </c>
      <c r="D657">
        <v>6</v>
      </c>
      <c r="E657">
        <v>291.58</v>
      </c>
      <c r="F657" t="s">
        <v>12</v>
      </c>
      <c r="G657" t="s">
        <v>16</v>
      </c>
      <c r="H657">
        <v>0</v>
      </c>
      <c r="I657" t="s">
        <v>20</v>
      </c>
      <c r="J657">
        <v>1749.48</v>
      </c>
      <c r="K657" t="s">
        <v>26</v>
      </c>
      <c r="L657" t="s">
        <v>29</v>
      </c>
      <c r="M657">
        <v>0</v>
      </c>
      <c r="N657" t="s">
        <v>730</v>
      </c>
      <c r="O657" t="s">
        <v>2230</v>
      </c>
      <c r="P657">
        <v>30.25</v>
      </c>
      <c r="Q657">
        <f t="shared" si="10"/>
        <v>291.58</v>
      </c>
      <c r="R657">
        <v>1719.23</v>
      </c>
      <c r="S657" s="2">
        <v>45306</v>
      </c>
      <c r="T657" s="2">
        <v>45308</v>
      </c>
      <c r="U657" t="s">
        <v>34</v>
      </c>
      <c r="V657">
        <v>15</v>
      </c>
      <c r="W657">
        <v>1</v>
      </c>
      <c r="X657" t="s">
        <v>42</v>
      </c>
      <c r="Y657">
        <v>2024</v>
      </c>
      <c r="Z657">
        <v>1</v>
      </c>
      <c r="AA657">
        <v>3</v>
      </c>
    </row>
    <row r="658" spans="1:27" x14ac:dyDescent="0.3">
      <c r="A658" s="2">
        <v>45295</v>
      </c>
      <c r="B658" t="s">
        <v>4</v>
      </c>
      <c r="C658" t="s">
        <v>10</v>
      </c>
      <c r="D658">
        <v>1</v>
      </c>
      <c r="E658">
        <v>103.13</v>
      </c>
      <c r="F658" t="s">
        <v>12</v>
      </c>
      <c r="G658" t="s">
        <v>16</v>
      </c>
      <c r="H658">
        <v>0</v>
      </c>
      <c r="I658" t="s">
        <v>23</v>
      </c>
      <c r="J658">
        <v>103.13</v>
      </c>
      <c r="K658" t="s">
        <v>24</v>
      </c>
      <c r="L658" t="s">
        <v>29</v>
      </c>
      <c r="M658">
        <v>0</v>
      </c>
      <c r="N658" t="s">
        <v>731</v>
      </c>
      <c r="O658" t="s">
        <v>2231</v>
      </c>
      <c r="P658">
        <v>42.38</v>
      </c>
      <c r="Q658">
        <f t="shared" si="10"/>
        <v>103.13</v>
      </c>
      <c r="R658">
        <v>60.749999999999993</v>
      </c>
      <c r="S658" s="2">
        <v>45295</v>
      </c>
      <c r="T658" s="2">
        <v>45305</v>
      </c>
      <c r="U658" t="s">
        <v>37</v>
      </c>
      <c r="V658">
        <v>4</v>
      </c>
      <c r="W658">
        <v>1</v>
      </c>
      <c r="X658" t="s">
        <v>42</v>
      </c>
      <c r="Y658">
        <v>2024</v>
      </c>
      <c r="Z658">
        <v>1</v>
      </c>
      <c r="AA658">
        <v>1</v>
      </c>
    </row>
    <row r="659" spans="1:27" x14ac:dyDescent="0.3">
      <c r="A659" s="2">
        <v>44966</v>
      </c>
      <c r="B659" t="s">
        <v>0</v>
      </c>
      <c r="C659" t="s">
        <v>9</v>
      </c>
      <c r="D659">
        <v>1</v>
      </c>
      <c r="E659">
        <v>541.9</v>
      </c>
      <c r="F659" t="s">
        <v>13</v>
      </c>
      <c r="G659" t="s">
        <v>17</v>
      </c>
      <c r="H659">
        <v>0.05</v>
      </c>
      <c r="I659" t="s">
        <v>18</v>
      </c>
      <c r="J659">
        <v>514.80499999999995</v>
      </c>
      <c r="K659" t="s">
        <v>28</v>
      </c>
      <c r="L659" t="s">
        <v>31</v>
      </c>
      <c r="M659">
        <v>0</v>
      </c>
      <c r="N659" t="s">
        <v>732</v>
      </c>
      <c r="O659" t="s">
        <v>2232</v>
      </c>
      <c r="P659">
        <v>40.35</v>
      </c>
      <c r="Q659">
        <f t="shared" si="10"/>
        <v>514.80499999999995</v>
      </c>
      <c r="R659">
        <v>474.45499999999993</v>
      </c>
      <c r="S659" s="2">
        <v>44966</v>
      </c>
      <c r="T659" s="2">
        <v>44976</v>
      </c>
      <c r="U659" t="s">
        <v>33</v>
      </c>
      <c r="V659">
        <v>9</v>
      </c>
      <c r="W659">
        <v>2</v>
      </c>
      <c r="X659" t="s">
        <v>38</v>
      </c>
      <c r="Y659">
        <v>2023</v>
      </c>
      <c r="Z659">
        <v>1</v>
      </c>
      <c r="AA659">
        <v>6</v>
      </c>
    </row>
    <row r="660" spans="1:27" x14ac:dyDescent="0.3">
      <c r="A660" s="2">
        <v>45463</v>
      </c>
      <c r="B660" t="s">
        <v>2</v>
      </c>
      <c r="C660" t="s">
        <v>6</v>
      </c>
      <c r="D660">
        <v>11</v>
      </c>
      <c r="E660">
        <v>303.08999999999997</v>
      </c>
      <c r="F660" t="s">
        <v>15</v>
      </c>
      <c r="G660" t="s">
        <v>16</v>
      </c>
      <c r="H660">
        <v>0.1</v>
      </c>
      <c r="I660" t="s">
        <v>22</v>
      </c>
      <c r="J660">
        <v>3000.5909999999999</v>
      </c>
      <c r="K660" t="s">
        <v>24</v>
      </c>
      <c r="L660" t="s">
        <v>30</v>
      </c>
      <c r="M660">
        <v>0</v>
      </c>
      <c r="N660" t="s">
        <v>733</v>
      </c>
      <c r="O660" t="s">
        <v>2233</v>
      </c>
      <c r="P660">
        <v>21.88</v>
      </c>
      <c r="Q660">
        <f t="shared" si="10"/>
        <v>272.78100000000001</v>
      </c>
      <c r="R660">
        <v>2978.7109999999998</v>
      </c>
      <c r="S660" s="2">
        <v>45463</v>
      </c>
      <c r="T660" s="2">
        <v>45467</v>
      </c>
      <c r="U660" t="s">
        <v>35</v>
      </c>
      <c r="V660">
        <v>20</v>
      </c>
      <c r="W660">
        <v>6</v>
      </c>
      <c r="X660" t="s">
        <v>41</v>
      </c>
      <c r="Y660">
        <v>2024</v>
      </c>
      <c r="Z660">
        <v>2</v>
      </c>
      <c r="AA660">
        <v>25</v>
      </c>
    </row>
    <row r="661" spans="1:27" x14ac:dyDescent="0.3">
      <c r="A661" s="2">
        <v>44978</v>
      </c>
      <c r="B661" t="s">
        <v>3</v>
      </c>
      <c r="C661" t="s">
        <v>7</v>
      </c>
      <c r="D661">
        <v>11</v>
      </c>
      <c r="E661">
        <v>61.81</v>
      </c>
      <c r="F661" t="s">
        <v>14</v>
      </c>
      <c r="G661" t="s">
        <v>17</v>
      </c>
      <c r="H661">
        <v>0.05</v>
      </c>
      <c r="I661" t="s">
        <v>23</v>
      </c>
      <c r="J661">
        <v>645.91450000000009</v>
      </c>
      <c r="K661" t="s">
        <v>25</v>
      </c>
      <c r="L661" t="s">
        <v>31</v>
      </c>
      <c r="M661">
        <v>0</v>
      </c>
      <c r="N661" t="s">
        <v>734</v>
      </c>
      <c r="O661" t="s">
        <v>2234</v>
      </c>
      <c r="P661">
        <v>47.95</v>
      </c>
      <c r="Q661">
        <f t="shared" si="10"/>
        <v>58.719500000000011</v>
      </c>
      <c r="R661">
        <v>597.96450000000004</v>
      </c>
      <c r="S661" s="2">
        <v>44978</v>
      </c>
      <c r="T661" s="2">
        <v>44988</v>
      </c>
      <c r="U661" t="s">
        <v>36</v>
      </c>
      <c r="V661">
        <v>21</v>
      </c>
      <c r="W661">
        <v>2</v>
      </c>
      <c r="X661" t="s">
        <v>38</v>
      </c>
      <c r="Y661">
        <v>2023</v>
      </c>
      <c r="Z661">
        <v>1</v>
      </c>
      <c r="AA661">
        <v>8</v>
      </c>
    </row>
    <row r="662" spans="1:27" x14ac:dyDescent="0.3">
      <c r="A662" s="2">
        <v>45154</v>
      </c>
      <c r="B662" t="s">
        <v>3</v>
      </c>
      <c r="C662" t="s">
        <v>7</v>
      </c>
      <c r="D662">
        <v>8</v>
      </c>
      <c r="E662">
        <v>355.15</v>
      </c>
      <c r="F662" t="s">
        <v>12</v>
      </c>
      <c r="G662" t="s">
        <v>17</v>
      </c>
      <c r="H662">
        <v>0.1</v>
      </c>
      <c r="I662" t="s">
        <v>21</v>
      </c>
      <c r="J662">
        <v>2557.08</v>
      </c>
      <c r="K662" t="s">
        <v>24</v>
      </c>
      <c r="L662" t="s">
        <v>32</v>
      </c>
      <c r="M662">
        <v>1</v>
      </c>
      <c r="N662" t="s">
        <v>735</v>
      </c>
      <c r="O662" t="s">
        <v>2235</v>
      </c>
      <c r="P662">
        <v>38.590000000000003</v>
      </c>
      <c r="Q662">
        <f t="shared" si="10"/>
        <v>319.63499999999999</v>
      </c>
      <c r="R662">
        <v>2518.4899999999998</v>
      </c>
      <c r="S662" s="2">
        <v>45154</v>
      </c>
      <c r="T662" s="2">
        <v>45162</v>
      </c>
      <c r="U662" t="s">
        <v>36</v>
      </c>
      <c r="V662">
        <v>16</v>
      </c>
      <c r="W662">
        <v>8</v>
      </c>
      <c r="X662" t="s">
        <v>48</v>
      </c>
      <c r="Y662">
        <v>2023</v>
      </c>
      <c r="Z662">
        <v>3</v>
      </c>
      <c r="AA662">
        <v>33</v>
      </c>
    </row>
    <row r="663" spans="1:27" x14ac:dyDescent="0.3">
      <c r="A663" s="2">
        <v>45233</v>
      </c>
      <c r="B663" t="s">
        <v>4</v>
      </c>
      <c r="C663" t="s">
        <v>9</v>
      </c>
      <c r="D663">
        <v>11</v>
      </c>
      <c r="E663">
        <v>119.84</v>
      </c>
      <c r="F663" t="s">
        <v>15</v>
      </c>
      <c r="G663" t="s">
        <v>16</v>
      </c>
      <c r="H663">
        <v>0.1</v>
      </c>
      <c r="I663" t="s">
        <v>18</v>
      </c>
      <c r="J663">
        <v>1186.4159999999999</v>
      </c>
      <c r="K663" t="s">
        <v>24</v>
      </c>
      <c r="L663" t="s">
        <v>30</v>
      </c>
      <c r="M663">
        <v>0</v>
      </c>
      <c r="N663" t="s">
        <v>736</v>
      </c>
      <c r="O663" t="s">
        <v>2236</v>
      </c>
      <c r="P663">
        <v>16.64</v>
      </c>
      <c r="Q663">
        <f t="shared" si="10"/>
        <v>107.85599999999999</v>
      </c>
      <c r="R663">
        <v>1169.7759999999998</v>
      </c>
      <c r="S663" s="2">
        <v>45233</v>
      </c>
      <c r="T663" s="2">
        <v>45241</v>
      </c>
      <c r="U663" t="s">
        <v>37</v>
      </c>
      <c r="V663">
        <v>3</v>
      </c>
      <c r="W663">
        <v>11</v>
      </c>
      <c r="X663" t="s">
        <v>47</v>
      </c>
      <c r="Y663">
        <v>2023</v>
      </c>
      <c r="Z663">
        <v>4</v>
      </c>
      <c r="AA663">
        <v>44</v>
      </c>
    </row>
    <row r="664" spans="1:27" x14ac:dyDescent="0.3">
      <c r="A664" s="2">
        <v>45408</v>
      </c>
      <c r="B664" t="s">
        <v>1</v>
      </c>
      <c r="C664" t="s">
        <v>5</v>
      </c>
      <c r="D664">
        <v>16</v>
      </c>
      <c r="E664">
        <v>318.32</v>
      </c>
      <c r="F664" t="s">
        <v>14</v>
      </c>
      <c r="G664" t="s">
        <v>16</v>
      </c>
      <c r="H664">
        <v>0.05</v>
      </c>
      <c r="I664" t="s">
        <v>22</v>
      </c>
      <c r="J664">
        <v>4838.4639999999999</v>
      </c>
      <c r="K664" t="s">
        <v>26</v>
      </c>
      <c r="L664" t="s">
        <v>29</v>
      </c>
      <c r="M664">
        <v>0</v>
      </c>
      <c r="N664" t="s">
        <v>737</v>
      </c>
      <c r="O664" t="s">
        <v>2237</v>
      </c>
      <c r="P664">
        <v>40.78</v>
      </c>
      <c r="Q664">
        <f t="shared" si="10"/>
        <v>302.404</v>
      </c>
      <c r="R664">
        <v>4797.6840000000002</v>
      </c>
      <c r="S664" s="2">
        <v>45408</v>
      </c>
      <c r="T664" s="2">
        <v>45413</v>
      </c>
      <c r="U664" t="s">
        <v>34</v>
      </c>
      <c r="V664">
        <v>26</v>
      </c>
      <c r="W664">
        <v>4</v>
      </c>
      <c r="X664" t="s">
        <v>45</v>
      </c>
      <c r="Y664">
        <v>2024</v>
      </c>
      <c r="Z664">
        <v>2</v>
      </c>
      <c r="AA664">
        <v>17</v>
      </c>
    </row>
    <row r="665" spans="1:27" x14ac:dyDescent="0.3">
      <c r="A665" s="2">
        <v>45573</v>
      </c>
      <c r="B665" t="s">
        <v>1</v>
      </c>
      <c r="C665" t="s">
        <v>7</v>
      </c>
      <c r="D665">
        <v>9</v>
      </c>
      <c r="E665">
        <v>446.49</v>
      </c>
      <c r="F665" t="s">
        <v>15</v>
      </c>
      <c r="G665" t="s">
        <v>16</v>
      </c>
      <c r="H665">
        <v>0.15</v>
      </c>
      <c r="I665" t="s">
        <v>21</v>
      </c>
      <c r="J665">
        <v>3415.6484999999998</v>
      </c>
      <c r="K665" t="s">
        <v>28</v>
      </c>
      <c r="L665" t="s">
        <v>29</v>
      </c>
      <c r="M665">
        <v>0</v>
      </c>
      <c r="N665" t="s">
        <v>738</v>
      </c>
      <c r="O665" t="s">
        <v>2238</v>
      </c>
      <c r="P665">
        <v>5.77</v>
      </c>
      <c r="Q665">
        <f t="shared" si="10"/>
        <v>379.51649999999995</v>
      </c>
      <c r="R665">
        <v>3409.8784999999998</v>
      </c>
      <c r="S665" s="2">
        <v>45573</v>
      </c>
      <c r="T665" s="2">
        <v>45582</v>
      </c>
      <c r="U665" t="s">
        <v>34</v>
      </c>
      <c r="V665">
        <v>8</v>
      </c>
      <c r="W665">
        <v>10</v>
      </c>
      <c r="X665" t="s">
        <v>43</v>
      </c>
      <c r="Y665">
        <v>2024</v>
      </c>
      <c r="Z665">
        <v>4</v>
      </c>
      <c r="AA665">
        <v>41</v>
      </c>
    </row>
    <row r="666" spans="1:27" x14ac:dyDescent="0.3">
      <c r="A666" s="2">
        <v>44935</v>
      </c>
      <c r="B666" t="s">
        <v>1</v>
      </c>
      <c r="C666" t="s">
        <v>7</v>
      </c>
      <c r="D666">
        <v>16</v>
      </c>
      <c r="E666">
        <v>258.82</v>
      </c>
      <c r="F666" t="s">
        <v>15</v>
      </c>
      <c r="G666" t="s">
        <v>17</v>
      </c>
      <c r="H666">
        <v>0.1</v>
      </c>
      <c r="I666" t="s">
        <v>22</v>
      </c>
      <c r="J666">
        <v>3727.0079999999998</v>
      </c>
      <c r="K666" t="s">
        <v>24</v>
      </c>
      <c r="L666" t="s">
        <v>30</v>
      </c>
      <c r="M666">
        <v>0</v>
      </c>
      <c r="N666" t="s">
        <v>739</v>
      </c>
      <c r="O666" t="s">
        <v>2239</v>
      </c>
      <c r="P666">
        <v>46.93</v>
      </c>
      <c r="Q666">
        <f t="shared" si="10"/>
        <v>232.93799999999999</v>
      </c>
      <c r="R666">
        <v>3680.078</v>
      </c>
      <c r="S666" s="2">
        <v>44935</v>
      </c>
      <c r="T666" s="2">
        <v>44943</v>
      </c>
      <c r="U666" t="s">
        <v>34</v>
      </c>
      <c r="V666">
        <v>9</v>
      </c>
      <c r="W666">
        <v>1</v>
      </c>
      <c r="X666" t="s">
        <v>42</v>
      </c>
      <c r="Y666">
        <v>2023</v>
      </c>
      <c r="Z666">
        <v>1</v>
      </c>
      <c r="AA666">
        <v>2</v>
      </c>
    </row>
    <row r="667" spans="1:27" x14ac:dyDescent="0.3">
      <c r="A667" s="2">
        <v>45285</v>
      </c>
      <c r="B667" t="s">
        <v>2</v>
      </c>
      <c r="C667" t="s">
        <v>11</v>
      </c>
      <c r="D667">
        <v>9</v>
      </c>
      <c r="E667">
        <v>272.68</v>
      </c>
      <c r="F667" t="s">
        <v>15</v>
      </c>
      <c r="G667" t="s">
        <v>16</v>
      </c>
      <c r="H667">
        <v>0.05</v>
      </c>
      <c r="I667" t="s">
        <v>18</v>
      </c>
      <c r="J667">
        <v>2331.4140000000002</v>
      </c>
      <c r="K667" t="s">
        <v>24</v>
      </c>
      <c r="L667" t="s">
        <v>30</v>
      </c>
      <c r="M667">
        <v>0</v>
      </c>
      <c r="N667" t="s">
        <v>740</v>
      </c>
      <c r="O667" t="s">
        <v>2240</v>
      </c>
      <c r="P667">
        <v>16.43</v>
      </c>
      <c r="Q667">
        <f t="shared" si="10"/>
        <v>259.04600000000005</v>
      </c>
      <c r="R667">
        <v>2314.9840000000004</v>
      </c>
      <c r="S667" s="2">
        <v>45285</v>
      </c>
      <c r="T667" s="2">
        <v>45293</v>
      </c>
      <c r="U667" t="s">
        <v>35</v>
      </c>
      <c r="V667">
        <v>25</v>
      </c>
      <c r="W667">
        <v>12</v>
      </c>
      <c r="X667" t="s">
        <v>39</v>
      </c>
      <c r="Y667">
        <v>2023</v>
      </c>
      <c r="Z667">
        <v>4</v>
      </c>
      <c r="AA667">
        <v>52</v>
      </c>
    </row>
    <row r="668" spans="1:27" x14ac:dyDescent="0.3">
      <c r="A668" s="2">
        <v>45423</v>
      </c>
      <c r="B668" t="s">
        <v>3</v>
      </c>
      <c r="C668" t="s">
        <v>9</v>
      </c>
      <c r="D668">
        <v>12</v>
      </c>
      <c r="E668">
        <v>438.77</v>
      </c>
      <c r="F668" t="s">
        <v>14</v>
      </c>
      <c r="G668" t="s">
        <v>17</v>
      </c>
      <c r="H668">
        <v>0</v>
      </c>
      <c r="I668" t="s">
        <v>18</v>
      </c>
      <c r="J668">
        <v>5265.24</v>
      </c>
      <c r="K668" t="s">
        <v>27</v>
      </c>
      <c r="L668" t="s">
        <v>30</v>
      </c>
      <c r="M668">
        <v>0</v>
      </c>
      <c r="N668" t="s">
        <v>741</v>
      </c>
      <c r="O668" t="s">
        <v>2241</v>
      </c>
      <c r="P668">
        <v>9.31</v>
      </c>
      <c r="Q668">
        <f t="shared" si="10"/>
        <v>438.77</v>
      </c>
      <c r="R668">
        <v>5255.9299999999994</v>
      </c>
      <c r="S668" s="2">
        <v>45423</v>
      </c>
      <c r="T668" s="2">
        <v>45432</v>
      </c>
      <c r="U668" t="s">
        <v>36</v>
      </c>
      <c r="V668">
        <v>11</v>
      </c>
      <c r="W668">
        <v>5</v>
      </c>
      <c r="X668" t="s">
        <v>40</v>
      </c>
      <c r="Y668">
        <v>2024</v>
      </c>
      <c r="Z668">
        <v>2</v>
      </c>
      <c r="AA668">
        <v>19</v>
      </c>
    </row>
    <row r="669" spans="1:27" x14ac:dyDescent="0.3">
      <c r="A669" s="2">
        <v>45253</v>
      </c>
      <c r="B669" t="s">
        <v>4</v>
      </c>
      <c r="C669" t="s">
        <v>10</v>
      </c>
      <c r="D669">
        <v>18</v>
      </c>
      <c r="E669">
        <v>267.63</v>
      </c>
      <c r="F669" t="s">
        <v>12</v>
      </c>
      <c r="G669" t="s">
        <v>17</v>
      </c>
      <c r="H669">
        <v>0</v>
      </c>
      <c r="I669" t="s">
        <v>21</v>
      </c>
      <c r="J669">
        <v>4817.34</v>
      </c>
      <c r="K669" t="s">
        <v>25</v>
      </c>
      <c r="L669" t="s">
        <v>30</v>
      </c>
      <c r="M669">
        <v>0</v>
      </c>
      <c r="N669" t="s">
        <v>742</v>
      </c>
      <c r="O669" t="s">
        <v>2242</v>
      </c>
      <c r="P669">
        <v>44.48</v>
      </c>
      <c r="Q669">
        <f t="shared" si="10"/>
        <v>267.63</v>
      </c>
      <c r="R669">
        <v>4772.8600000000006</v>
      </c>
      <c r="S669" s="2">
        <v>45253</v>
      </c>
      <c r="T669" s="2">
        <v>45256</v>
      </c>
      <c r="U669" t="s">
        <v>37</v>
      </c>
      <c r="V669">
        <v>23</v>
      </c>
      <c r="W669">
        <v>11</v>
      </c>
      <c r="X669" t="s">
        <v>47</v>
      </c>
      <c r="Y669">
        <v>2023</v>
      </c>
      <c r="Z669">
        <v>4</v>
      </c>
      <c r="AA669">
        <v>47</v>
      </c>
    </row>
    <row r="670" spans="1:27" x14ac:dyDescent="0.3">
      <c r="A670" s="2">
        <v>45270</v>
      </c>
      <c r="B670" t="s">
        <v>3</v>
      </c>
      <c r="C670" t="s">
        <v>11</v>
      </c>
      <c r="D670">
        <v>6</v>
      </c>
      <c r="E670">
        <v>115.94</v>
      </c>
      <c r="F670" t="s">
        <v>13</v>
      </c>
      <c r="G670" t="s">
        <v>16</v>
      </c>
      <c r="H670">
        <v>0.05</v>
      </c>
      <c r="I670" t="s">
        <v>21</v>
      </c>
      <c r="J670">
        <v>660.85799999999995</v>
      </c>
      <c r="K670" t="s">
        <v>26</v>
      </c>
      <c r="L670" t="s">
        <v>30</v>
      </c>
      <c r="M670">
        <v>0</v>
      </c>
      <c r="N670" t="s">
        <v>743</v>
      </c>
      <c r="O670" t="s">
        <v>2243</v>
      </c>
      <c r="P670">
        <v>23.91</v>
      </c>
      <c r="Q670">
        <f t="shared" si="10"/>
        <v>110.14299999999999</v>
      </c>
      <c r="R670">
        <v>636.94799999999998</v>
      </c>
      <c r="S670" s="2">
        <v>45270</v>
      </c>
      <c r="T670" s="2">
        <v>45272</v>
      </c>
      <c r="U670" t="s">
        <v>36</v>
      </c>
      <c r="V670">
        <v>10</v>
      </c>
      <c r="W670">
        <v>12</v>
      </c>
      <c r="X670" t="s">
        <v>39</v>
      </c>
      <c r="Y670">
        <v>2023</v>
      </c>
      <c r="Z670">
        <v>4</v>
      </c>
      <c r="AA670">
        <v>49</v>
      </c>
    </row>
    <row r="671" spans="1:27" x14ac:dyDescent="0.3">
      <c r="A671" s="2">
        <v>45325</v>
      </c>
      <c r="B671" t="s">
        <v>2</v>
      </c>
      <c r="C671" t="s">
        <v>11</v>
      </c>
      <c r="D671">
        <v>19</v>
      </c>
      <c r="E671">
        <v>275.77999999999997</v>
      </c>
      <c r="F671" t="s">
        <v>14</v>
      </c>
      <c r="G671" t="s">
        <v>17</v>
      </c>
      <c r="H671">
        <v>0</v>
      </c>
      <c r="I671" t="s">
        <v>20</v>
      </c>
      <c r="J671">
        <v>5239.82</v>
      </c>
      <c r="K671" t="s">
        <v>28</v>
      </c>
      <c r="L671" t="s">
        <v>30</v>
      </c>
      <c r="M671">
        <v>0</v>
      </c>
      <c r="N671" t="s">
        <v>744</v>
      </c>
      <c r="O671" t="s">
        <v>2244</v>
      </c>
      <c r="P671">
        <v>47</v>
      </c>
      <c r="Q671">
        <f t="shared" si="10"/>
        <v>275.77999999999997</v>
      </c>
      <c r="R671">
        <v>5192.82</v>
      </c>
      <c r="S671" s="2">
        <v>45325</v>
      </c>
      <c r="T671" s="2">
        <v>45327</v>
      </c>
      <c r="U671" t="s">
        <v>35</v>
      </c>
      <c r="V671">
        <v>3</v>
      </c>
      <c r="W671">
        <v>2</v>
      </c>
      <c r="X671" t="s">
        <v>38</v>
      </c>
      <c r="Y671">
        <v>2024</v>
      </c>
      <c r="Z671">
        <v>1</v>
      </c>
      <c r="AA671">
        <v>5</v>
      </c>
    </row>
    <row r="672" spans="1:27" x14ac:dyDescent="0.3">
      <c r="A672" s="2">
        <v>45620</v>
      </c>
      <c r="B672" t="s">
        <v>3</v>
      </c>
      <c r="C672" t="s">
        <v>8</v>
      </c>
      <c r="D672">
        <v>12</v>
      </c>
      <c r="E672">
        <v>255.93</v>
      </c>
      <c r="F672" t="s">
        <v>12</v>
      </c>
      <c r="G672" t="s">
        <v>17</v>
      </c>
      <c r="H672">
        <v>0</v>
      </c>
      <c r="I672" t="s">
        <v>18</v>
      </c>
      <c r="J672">
        <v>3071.16</v>
      </c>
      <c r="K672" t="s">
        <v>28</v>
      </c>
      <c r="L672" t="s">
        <v>31</v>
      </c>
      <c r="M672">
        <v>0</v>
      </c>
      <c r="N672" t="s">
        <v>745</v>
      </c>
      <c r="O672" t="s">
        <v>2245</v>
      </c>
      <c r="P672">
        <v>23.74</v>
      </c>
      <c r="Q672">
        <f t="shared" si="10"/>
        <v>255.92999999999998</v>
      </c>
      <c r="R672">
        <v>3047.42</v>
      </c>
      <c r="S672" s="2">
        <v>45620</v>
      </c>
      <c r="T672" s="2">
        <v>45630</v>
      </c>
      <c r="U672" t="s">
        <v>36</v>
      </c>
      <c r="V672">
        <v>24</v>
      </c>
      <c r="W672">
        <v>11</v>
      </c>
      <c r="X672" t="s">
        <v>47</v>
      </c>
      <c r="Y672">
        <v>2024</v>
      </c>
      <c r="Z672">
        <v>4</v>
      </c>
      <c r="AA672">
        <v>47</v>
      </c>
    </row>
    <row r="673" spans="1:27" x14ac:dyDescent="0.3">
      <c r="A673" s="2">
        <v>45357</v>
      </c>
      <c r="B673" t="s">
        <v>4</v>
      </c>
      <c r="C673" t="s">
        <v>6</v>
      </c>
      <c r="D673">
        <v>1</v>
      </c>
      <c r="E673">
        <v>381.21</v>
      </c>
      <c r="F673" t="s">
        <v>15</v>
      </c>
      <c r="G673" t="s">
        <v>16</v>
      </c>
      <c r="H673">
        <v>0.15</v>
      </c>
      <c r="I673" t="s">
        <v>23</v>
      </c>
      <c r="J673">
        <v>324.02850000000001</v>
      </c>
      <c r="K673" t="s">
        <v>24</v>
      </c>
      <c r="L673" t="s">
        <v>32</v>
      </c>
      <c r="M673">
        <v>0</v>
      </c>
      <c r="N673" t="s">
        <v>746</v>
      </c>
      <c r="O673" t="s">
        <v>2246</v>
      </c>
      <c r="P673">
        <v>9.9499999999999993</v>
      </c>
      <c r="Q673">
        <f t="shared" si="10"/>
        <v>324.02850000000001</v>
      </c>
      <c r="R673">
        <v>314.07850000000002</v>
      </c>
      <c r="S673" s="2">
        <v>45357</v>
      </c>
      <c r="T673" s="2">
        <v>45362</v>
      </c>
      <c r="U673" t="s">
        <v>37</v>
      </c>
      <c r="V673">
        <v>6</v>
      </c>
      <c r="W673">
        <v>3</v>
      </c>
      <c r="X673" t="s">
        <v>44</v>
      </c>
      <c r="Y673">
        <v>2024</v>
      </c>
      <c r="Z673">
        <v>1</v>
      </c>
      <c r="AA673">
        <v>10</v>
      </c>
    </row>
    <row r="674" spans="1:27" x14ac:dyDescent="0.3">
      <c r="A674" s="2">
        <v>45689</v>
      </c>
      <c r="B674" t="s">
        <v>1</v>
      </c>
      <c r="C674" t="s">
        <v>7</v>
      </c>
      <c r="D674">
        <v>5</v>
      </c>
      <c r="E674">
        <v>38.229999999999997</v>
      </c>
      <c r="F674" t="s">
        <v>14</v>
      </c>
      <c r="G674" t="s">
        <v>16</v>
      </c>
      <c r="H674">
        <v>0.15</v>
      </c>
      <c r="I674" t="s">
        <v>23</v>
      </c>
      <c r="J674">
        <v>162.47749999999999</v>
      </c>
      <c r="K674" t="s">
        <v>27</v>
      </c>
      <c r="L674" t="s">
        <v>32</v>
      </c>
      <c r="M674">
        <v>0</v>
      </c>
      <c r="N674" t="s">
        <v>747</v>
      </c>
      <c r="O674" t="s">
        <v>2247</v>
      </c>
      <c r="P674">
        <v>21.06</v>
      </c>
      <c r="Q674">
        <f t="shared" si="10"/>
        <v>32.4955</v>
      </c>
      <c r="R674">
        <v>141.41749999999999</v>
      </c>
      <c r="S674" s="2">
        <v>45689</v>
      </c>
      <c r="T674" s="2">
        <v>45699</v>
      </c>
      <c r="U674" t="s">
        <v>34</v>
      </c>
      <c r="V674">
        <v>1</v>
      </c>
      <c r="W674">
        <v>2</v>
      </c>
      <c r="X674" t="s">
        <v>38</v>
      </c>
      <c r="Y674">
        <v>2025</v>
      </c>
      <c r="Z674">
        <v>1</v>
      </c>
      <c r="AA674">
        <v>5</v>
      </c>
    </row>
    <row r="675" spans="1:27" x14ac:dyDescent="0.3">
      <c r="A675" s="2">
        <v>45447</v>
      </c>
      <c r="B675" t="s">
        <v>3</v>
      </c>
      <c r="C675" t="s">
        <v>5</v>
      </c>
      <c r="D675">
        <v>7</v>
      </c>
      <c r="E675">
        <v>225.86</v>
      </c>
      <c r="F675" t="s">
        <v>12</v>
      </c>
      <c r="G675" t="s">
        <v>16</v>
      </c>
      <c r="H675">
        <v>0</v>
      </c>
      <c r="I675" t="s">
        <v>21</v>
      </c>
      <c r="J675">
        <v>1581.02</v>
      </c>
      <c r="K675" t="s">
        <v>27</v>
      </c>
      <c r="L675" t="s">
        <v>32</v>
      </c>
      <c r="M675">
        <v>0</v>
      </c>
      <c r="N675" t="s">
        <v>748</v>
      </c>
      <c r="O675" t="s">
        <v>2248</v>
      </c>
      <c r="P675">
        <v>24.48</v>
      </c>
      <c r="Q675">
        <f t="shared" si="10"/>
        <v>225.85999999999999</v>
      </c>
      <c r="R675">
        <v>1556.54</v>
      </c>
      <c r="S675" s="2">
        <v>45447</v>
      </c>
      <c r="T675" s="2">
        <v>45452</v>
      </c>
      <c r="U675" t="s">
        <v>36</v>
      </c>
      <c r="V675">
        <v>4</v>
      </c>
      <c r="W675">
        <v>6</v>
      </c>
      <c r="X675" t="s">
        <v>41</v>
      </c>
      <c r="Y675">
        <v>2024</v>
      </c>
      <c r="Z675">
        <v>2</v>
      </c>
      <c r="AA675">
        <v>23</v>
      </c>
    </row>
    <row r="676" spans="1:27" x14ac:dyDescent="0.3">
      <c r="A676" s="2">
        <v>45144</v>
      </c>
      <c r="B676" t="s">
        <v>3</v>
      </c>
      <c r="C676" t="s">
        <v>7</v>
      </c>
      <c r="D676">
        <v>8</v>
      </c>
      <c r="E676">
        <v>548.02</v>
      </c>
      <c r="F676" t="s">
        <v>15</v>
      </c>
      <c r="G676" t="s">
        <v>17</v>
      </c>
      <c r="H676">
        <v>0.05</v>
      </c>
      <c r="I676" t="s">
        <v>18</v>
      </c>
      <c r="J676">
        <v>4164.9519999999993</v>
      </c>
      <c r="K676" t="s">
        <v>24</v>
      </c>
      <c r="L676" t="s">
        <v>32</v>
      </c>
      <c r="M676">
        <v>0</v>
      </c>
      <c r="N676" t="s">
        <v>749</v>
      </c>
      <c r="O676" t="s">
        <v>2249</v>
      </c>
      <c r="P676">
        <v>33.4</v>
      </c>
      <c r="Q676">
        <f t="shared" si="10"/>
        <v>520.61899999999991</v>
      </c>
      <c r="R676">
        <v>4131.5519999999997</v>
      </c>
      <c r="S676" s="2">
        <v>45144</v>
      </c>
      <c r="T676" s="2">
        <v>45151</v>
      </c>
      <c r="U676" t="s">
        <v>36</v>
      </c>
      <c r="V676">
        <v>6</v>
      </c>
      <c r="W676">
        <v>8</v>
      </c>
      <c r="X676" t="s">
        <v>48</v>
      </c>
      <c r="Y676">
        <v>2023</v>
      </c>
      <c r="Z676">
        <v>3</v>
      </c>
      <c r="AA676">
        <v>31</v>
      </c>
    </row>
    <row r="677" spans="1:27" x14ac:dyDescent="0.3">
      <c r="A677" s="2">
        <v>45107</v>
      </c>
      <c r="B677" t="s">
        <v>4</v>
      </c>
      <c r="C677" t="s">
        <v>11</v>
      </c>
      <c r="D677">
        <v>18</v>
      </c>
      <c r="E677">
        <v>485.3</v>
      </c>
      <c r="F677" t="s">
        <v>15</v>
      </c>
      <c r="G677" t="s">
        <v>16</v>
      </c>
      <c r="H677">
        <v>0.05</v>
      </c>
      <c r="I677" t="s">
        <v>23</v>
      </c>
      <c r="J677">
        <v>8298.6299999999992</v>
      </c>
      <c r="K677" t="s">
        <v>27</v>
      </c>
      <c r="L677" t="s">
        <v>29</v>
      </c>
      <c r="M677">
        <v>1</v>
      </c>
      <c r="N677" t="s">
        <v>750</v>
      </c>
      <c r="O677" t="s">
        <v>2250</v>
      </c>
      <c r="P677">
        <v>47.77</v>
      </c>
      <c r="Q677">
        <f t="shared" si="10"/>
        <v>461.03499999999997</v>
      </c>
      <c r="R677">
        <v>8250.8599999999988</v>
      </c>
      <c r="S677" s="2">
        <v>45107</v>
      </c>
      <c r="T677" s="2">
        <v>45112</v>
      </c>
      <c r="U677" t="s">
        <v>37</v>
      </c>
      <c r="V677">
        <v>30</v>
      </c>
      <c r="W677">
        <v>6</v>
      </c>
      <c r="X677" t="s">
        <v>41</v>
      </c>
      <c r="Y677">
        <v>2023</v>
      </c>
      <c r="Z677">
        <v>2</v>
      </c>
      <c r="AA677">
        <v>26</v>
      </c>
    </row>
    <row r="678" spans="1:27" x14ac:dyDescent="0.3">
      <c r="A678" s="2">
        <v>44972</v>
      </c>
      <c r="B678" t="s">
        <v>4</v>
      </c>
      <c r="C678" t="s">
        <v>11</v>
      </c>
      <c r="D678">
        <v>19</v>
      </c>
      <c r="E678">
        <v>414.31</v>
      </c>
      <c r="F678" t="s">
        <v>13</v>
      </c>
      <c r="G678" t="s">
        <v>17</v>
      </c>
      <c r="H678">
        <v>0.1</v>
      </c>
      <c r="I678" t="s">
        <v>18</v>
      </c>
      <c r="J678">
        <v>7084.701</v>
      </c>
      <c r="K678" t="s">
        <v>26</v>
      </c>
      <c r="L678" t="s">
        <v>30</v>
      </c>
      <c r="M678">
        <v>0</v>
      </c>
      <c r="N678" t="s">
        <v>751</v>
      </c>
      <c r="O678" t="s">
        <v>2251</v>
      </c>
      <c r="P678">
        <v>17.43</v>
      </c>
      <c r="Q678">
        <f t="shared" si="10"/>
        <v>372.87900000000002</v>
      </c>
      <c r="R678">
        <v>7067.2709999999997</v>
      </c>
      <c r="S678" s="2">
        <v>44972</v>
      </c>
      <c r="T678" s="2">
        <v>44976</v>
      </c>
      <c r="U678" t="s">
        <v>37</v>
      </c>
      <c r="V678">
        <v>15</v>
      </c>
      <c r="W678">
        <v>2</v>
      </c>
      <c r="X678" t="s">
        <v>38</v>
      </c>
      <c r="Y678">
        <v>2023</v>
      </c>
      <c r="Z678">
        <v>1</v>
      </c>
      <c r="AA678">
        <v>7</v>
      </c>
    </row>
    <row r="679" spans="1:27" x14ac:dyDescent="0.3">
      <c r="A679" s="2">
        <v>45314</v>
      </c>
      <c r="B679" t="s">
        <v>2</v>
      </c>
      <c r="C679" t="s">
        <v>11</v>
      </c>
      <c r="D679">
        <v>8</v>
      </c>
      <c r="E679">
        <v>50.72</v>
      </c>
      <c r="F679" t="s">
        <v>13</v>
      </c>
      <c r="G679" t="s">
        <v>16</v>
      </c>
      <c r="H679">
        <v>0.05</v>
      </c>
      <c r="I679" t="s">
        <v>21</v>
      </c>
      <c r="J679">
        <v>385.47199999999998</v>
      </c>
      <c r="K679" t="s">
        <v>27</v>
      </c>
      <c r="L679" t="s">
        <v>32</v>
      </c>
      <c r="M679">
        <v>0</v>
      </c>
      <c r="N679" t="s">
        <v>752</v>
      </c>
      <c r="O679" t="s">
        <v>2252</v>
      </c>
      <c r="P679">
        <v>12.35</v>
      </c>
      <c r="Q679">
        <f t="shared" si="10"/>
        <v>48.183999999999997</v>
      </c>
      <c r="R679">
        <v>373.12199999999996</v>
      </c>
      <c r="S679" s="2">
        <v>45314</v>
      </c>
      <c r="T679" s="2">
        <v>45321</v>
      </c>
      <c r="U679" t="s">
        <v>35</v>
      </c>
      <c r="V679">
        <v>23</v>
      </c>
      <c r="W679">
        <v>1</v>
      </c>
      <c r="X679" t="s">
        <v>42</v>
      </c>
      <c r="Y679">
        <v>2024</v>
      </c>
      <c r="Z679">
        <v>1</v>
      </c>
      <c r="AA679">
        <v>4</v>
      </c>
    </row>
    <row r="680" spans="1:27" x14ac:dyDescent="0.3">
      <c r="A680" s="2">
        <v>45596</v>
      </c>
      <c r="B680" t="s">
        <v>2</v>
      </c>
      <c r="C680" t="s">
        <v>10</v>
      </c>
      <c r="D680">
        <v>17</v>
      </c>
      <c r="E680">
        <v>83.26</v>
      </c>
      <c r="F680" t="s">
        <v>13</v>
      </c>
      <c r="G680" t="s">
        <v>16</v>
      </c>
      <c r="H680">
        <v>0.15</v>
      </c>
      <c r="I680" t="s">
        <v>18</v>
      </c>
      <c r="J680">
        <v>1203.107</v>
      </c>
      <c r="K680" t="s">
        <v>28</v>
      </c>
      <c r="L680" t="s">
        <v>30</v>
      </c>
      <c r="M680">
        <v>0</v>
      </c>
      <c r="N680" t="s">
        <v>753</v>
      </c>
      <c r="O680" t="s">
        <v>2253</v>
      </c>
      <c r="P680">
        <v>42.68</v>
      </c>
      <c r="Q680">
        <f t="shared" si="10"/>
        <v>70.771000000000001</v>
      </c>
      <c r="R680">
        <v>1160.4269999999999</v>
      </c>
      <c r="S680" s="2">
        <v>45596</v>
      </c>
      <c r="T680" s="2">
        <v>45602</v>
      </c>
      <c r="U680" t="s">
        <v>35</v>
      </c>
      <c r="V680">
        <v>31</v>
      </c>
      <c r="W680">
        <v>10</v>
      </c>
      <c r="X680" t="s">
        <v>43</v>
      </c>
      <c r="Y680">
        <v>2024</v>
      </c>
      <c r="Z680">
        <v>4</v>
      </c>
      <c r="AA680">
        <v>44</v>
      </c>
    </row>
    <row r="681" spans="1:27" x14ac:dyDescent="0.3">
      <c r="A681" s="2">
        <v>45279</v>
      </c>
      <c r="B681" t="s">
        <v>3</v>
      </c>
      <c r="C681" t="s">
        <v>7</v>
      </c>
      <c r="D681">
        <v>20</v>
      </c>
      <c r="E681">
        <v>51.85</v>
      </c>
      <c r="F681" t="s">
        <v>14</v>
      </c>
      <c r="G681" t="s">
        <v>16</v>
      </c>
      <c r="H681">
        <v>0.15</v>
      </c>
      <c r="I681" t="s">
        <v>21</v>
      </c>
      <c r="J681">
        <v>881.44999999999993</v>
      </c>
      <c r="K681" t="s">
        <v>28</v>
      </c>
      <c r="L681" t="s">
        <v>32</v>
      </c>
      <c r="M681">
        <v>0</v>
      </c>
      <c r="N681" t="s">
        <v>754</v>
      </c>
      <c r="O681" t="s">
        <v>2254</v>
      </c>
      <c r="P681">
        <v>33.159999999999997</v>
      </c>
      <c r="Q681">
        <f t="shared" si="10"/>
        <v>44.072499999999998</v>
      </c>
      <c r="R681">
        <v>848.29</v>
      </c>
      <c r="S681" s="2">
        <v>45279</v>
      </c>
      <c r="T681" s="2">
        <v>45281</v>
      </c>
      <c r="U681" t="s">
        <v>36</v>
      </c>
      <c r="V681">
        <v>19</v>
      </c>
      <c r="W681">
        <v>12</v>
      </c>
      <c r="X681" t="s">
        <v>39</v>
      </c>
      <c r="Y681">
        <v>2023</v>
      </c>
      <c r="Z681">
        <v>4</v>
      </c>
      <c r="AA681">
        <v>51</v>
      </c>
    </row>
    <row r="682" spans="1:27" x14ac:dyDescent="0.3">
      <c r="A682" s="2">
        <v>45111</v>
      </c>
      <c r="B682" t="s">
        <v>1</v>
      </c>
      <c r="C682" t="s">
        <v>10</v>
      </c>
      <c r="D682">
        <v>12</v>
      </c>
      <c r="E682">
        <v>122.51</v>
      </c>
      <c r="F682" t="s">
        <v>12</v>
      </c>
      <c r="G682" t="s">
        <v>16</v>
      </c>
      <c r="H682">
        <v>0.05</v>
      </c>
      <c r="I682" t="s">
        <v>22</v>
      </c>
      <c r="J682">
        <v>1396.614</v>
      </c>
      <c r="K682" t="s">
        <v>25</v>
      </c>
      <c r="L682" t="s">
        <v>31</v>
      </c>
      <c r="M682">
        <v>0</v>
      </c>
      <c r="N682" t="s">
        <v>755</v>
      </c>
      <c r="O682" t="s">
        <v>2255</v>
      </c>
      <c r="P682">
        <v>43.47</v>
      </c>
      <c r="Q682">
        <f t="shared" si="10"/>
        <v>116.3845</v>
      </c>
      <c r="R682">
        <v>1353.144</v>
      </c>
      <c r="S682" s="2">
        <v>45111</v>
      </c>
      <c r="T682" s="2">
        <v>45113</v>
      </c>
      <c r="U682" t="s">
        <v>34</v>
      </c>
      <c r="V682">
        <v>4</v>
      </c>
      <c r="W682">
        <v>7</v>
      </c>
      <c r="X682" t="s">
        <v>46</v>
      </c>
      <c r="Y682">
        <v>2023</v>
      </c>
      <c r="Z682">
        <v>3</v>
      </c>
      <c r="AA682">
        <v>27</v>
      </c>
    </row>
    <row r="683" spans="1:27" x14ac:dyDescent="0.3">
      <c r="A683" s="2">
        <v>45428</v>
      </c>
      <c r="B683" t="s">
        <v>0</v>
      </c>
      <c r="C683" t="s">
        <v>5</v>
      </c>
      <c r="D683">
        <v>11</v>
      </c>
      <c r="E683">
        <v>222.13</v>
      </c>
      <c r="F683" t="s">
        <v>15</v>
      </c>
      <c r="G683" t="s">
        <v>16</v>
      </c>
      <c r="H683">
        <v>0.15</v>
      </c>
      <c r="I683" t="s">
        <v>18</v>
      </c>
      <c r="J683">
        <v>2076.9155000000001</v>
      </c>
      <c r="K683" t="s">
        <v>28</v>
      </c>
      <c r="L683" t="s">
        <v>31</v>
      </c>
      <c r="M683">
        <v>1</v>
      </c>
      <c r="N683" t="s">
        <v>756</v>
      </c>
      <c r="O683" t="s">
        <v>2256</v>
      </c>
      <c r="P683">
        <v>9.8800000000000008</v>
      </c>
      <c r="Q683">
        <f t="shared" si="10"/>
        <v>188.81050000000002</v>
      </c>
      <c r="R683">
        <v>2067.0355</v>
      </c>
      <c r="S683" s="2">
        <v>45428</v>
      </c>
      <c r="T683" s="2">
        <v>45430</v>
      </c>
      <c r="U683" t="s">
        <v>33</v>
      </c>
      <c r="V683">
        <v>16</v>
      </c>
      <c r="W683">
        <v>5</v>
      </c>
      <c r="X683" t="s">
        <v>40</v>
      </c>
      <c r="Y683">
        <v>2024</v>
      </c>
      <c r="Z683">
        <v>2</v>
      </c>
      <c r="AA683">
        <v>20</v>
      </c>
    </row>
    <row r="684" spans="1:27" x14ac:dyDescent="0.3">
      <c r="A684" s="2">
        <v>45185</v>
      </c>
      <c r="B684" t="s">
        <v>2</v>
      </c>
      <c r="C684" t="s">
        <v>9</v>
      </c>
      <c r="D684">
        <v>8</v>
      </c>
      <c r="E684">
        <v>204.84</v>
      </c>
      <c r="F684" t="s">
        <v>14</v>
      </c>
      <c r="G684" t="s">
        <v>17</v>
      </c>
      <c r="H684">
        <v>0</v>
      </c>
      <c r="I684" t="s">
        <v>23</v>
      </c>
      <c r="J684">
        <v>1638.72</v>
      </c>
      <c r="K684" t="s">
        <v>28</v>
      </c>
      <c r="L684" t="s">
        <v>32</v>
      </c>
      <c r="M684">
        <v>0</v>
      </c>
      <c r="N684" t="s">
        <v>757</v>
      </c>
      <c r="O684" t="s">
        <v>2257</v>
      </c>
      <c r="P684">
        <v>43.4</v>
      </c>
      <c r="Q684">
        <f t="shared" si="10"/>
        <v>204.84</v>
      </c>
      <c r="R684">
        <v>1595.32</v>
      </c>
      <c r="S684" s="2">
        <v>45185</v>
      </c>
      <c r="T684" s="2">
        <v>45190</v>
      </c>
      <c r="U684" t="s">
        <v>35</v>
      </c>
      <c r="V684">
        <v>16</v>
      </c>
      <c r="W684">
        <v>9</v>
      </c>
      <c r="X684" t="s">
        <v>49</v>
      </c>
      <c r="Y684">
        <v>2023</v>
      </c>
      <c r="Z684">
        <v>3</v>
      </c>
      <c r="AA684">
        <v>37</v>
      </c>
    </row>
    <row r="685" spans="1:27" x14ac:dyDescent="0.3">
      <c r="A685" s="2">
        <v>45618</v>
      </c>
      <c r="B685" t="s">
        <v>0</v>
      </c>
      <c r="C685" t="s">
        <v>8</v>
      </c>
      <c r="D685">
        <v>3</v>
      </c>
      <c r="E685">
        <v>536.97</v>
      </c>
      <c r="F685" t="s">
        <v>14</v>
      </c>
      <c r="G685" t="s">
        <v>16</v>
      </c>
      <c r="H685">
        <v>0</v>
      </c>
      <c r="I685" t="s">
        <v>21</v>
      </c>
      <c r="J685">
        <v>1610.91</v>
      </c>
      <c r="K685" t="s">
        <v>27</v>
      </c>
      <c r="L685" t="s">
        <v>32</v>
      </c>
      <c r="M685">
        <v>0</v>
      </c>
      <c r="N685" t="s">
        <v>758</v>
      </c>
      <c r="O685" t="s">
        <v>2258</v>
      </c>
      <c r="P685">
        <v>13.86</v>
      </c>
      <c r="Q685">
        <f t="shared" si="10"/>
        <v>536.97</v>
      </c>
      <c r="R685">
        <v>1597.0500000000002</v>
      </c>
      <c r="S685" s="2">
        <v>45618</v>
      </c>
      <c r="T685" s="2">
        <v>45627</v>
      </c>
      <c r="U685" t="s">
        <v>33</v>
      </c>
      <c r="V685">
        <v>22</v>
      </c>
      <c r="W685">
        <v>11</v>
      </c>
      <c r="X685" t="s">
        <v>47</v>
      </c>
      <c r="Y685">
        <v>2024</v>
      </c>
      <c r="Z685">
        <v>4</v>
      </c>
      <c r="AA685">
        <v>47</v>
      </c>
    </row>
    <row r="686" spans="1:27" x14ac:dyDescent="0.3">
      <c r="A686" s="2">
        <v>45395</v>
      </c>
      <c r="B686" t="s">
        <v>4</v>
      </c>
      <c r="C686" t="s">
        <v>8</v>
      </c>
      <c r="D686">
        <v>15</v>
      </c>
      <c r="E686">
        <v>553.01</v>
      </c>
      <c r="F686" t="s">
        <v>13</v>
      </c>
      <c r="G686" t="s">
        <v>17</v>
      </c>
      <c r="H686">
        <v>0.1</v>
      </c>
      <c r="I686" t="s">
        <v>21</v>
      </c>
      <c r="J686">
        <v>7465.6350000000002</v>
      </c>
      <c r="K686" t="s">
        <v>26</v>
      </c>
      <c r="L686" t="s">
        <v>30</v>
      </c>
      <c r="M686">
        <v>1</v>
      </c>
      <c r="N686" t="s">
        <v>759</v>
      </c>
      <c r="O686" t="s">
        <v>2259</v>
      </c>
      <c r="P686">
        <v>23.3</v>
      </c>
      <c r="Q686">
        <f t="shared" si="10"/>
        <v>497.709</v>
      </c>
      <c r="R686">
        <v>7442.335</v>
      </c>
      <c r="S686" s="2">
        <v>45395</v>
      </c>
      <c r="T686" s="2">
        <v>45403</v>
      </c>
      <c r="U686" t="s">
        <v>37</v>
      </c>
      <c r="V686">
        <v>13</v>
      </c>
      <c r="W686">
        <v>4</v>
      </c>
      <c r="X686" t="s">
        <v>45</v>
      </c>
      <c r="Y686">
        <v>2024</v>
      </c>
      <c r="Z686">
        <v>2</v>
      </c>
      <c r="AA686">
        <v>15</v>
      </c>
    </row>
    <row r="687" spans="1:27" x14ac:dyDescent="0.3">
      <c r="A687" s="2">
        <v>45473</v>
      </c>
      <c r="B687" t="s">
        <v>1</v>
      </c>
      <c r="C687" t="s">
        <v>8</v>
      </c>
      <c r="D687">
        <v>20</v>
      </c>
      <c r="E687">
        <v>284.82</v>
      </c>
      <c r="F687" t="s">
        <v>15</v>
      </c>
      <c r="G687" t="s">
        <v>17</v>
      </c>
      <c r="H687">
        <v>0.1</v>
      </c>
      <c r="I687" t="s">
        <v>19</v>
      </c>
      <c r="J687">
        <v>5126.76</v>
      </c>
      <c r="K687" t="s">
        <v>26</v>
      </c>
      <c r="L687" t="s">
        <v>31</v>
      </c>
      <c r="M687">
        <v>1</v>
      </c>
      <c r="N687" t="s">
        <v>760</v>
      </c>
      <c r="O687" t="s">
        <v>2260</v>
      </c>
      <c r="P687">
        <v>27</v>
      </c>
      <c r="Q687">
        <f t="shared" si="10"/>
        <v>256.33800000000002</v>
      </c>
      <c r="R687">
        <v>5099.76</v>
      </c>
      <c r="S687" s="2">
        <v>45473</v>
      </c>
      <c r="T687" s="2">
        <v>45479</v>
      </c>
      <c r="U687" t="s">
        <v>34</v>
      </c>
      <c r="V687">
        <v>30</v>
      </c>
      <c r="W687">
        <v>6</v>
      </c>
      <c r="X687" t="s">
        <v>41</v>
      </c>
      <c r="Y687">
        <v>2024</v>
      </c>
      <c r="Z687">
        <v>2</v>
      </c>
      <c r="AA687">
        <v>26</v>
      </c>
    </row>
    <row r="688" spans="1:27" x14ac:dyDescent="0.3">
      <c r="A688" s="2">
        <v>45533</v>
      </c>
      <c r="B688" t="s">
        <v>2</v>
      </c>
      <c r="C688" t="s">
        <v>7</v>
      </c>
      <c r="D688">
        <v>18</v>
      </c>
      <c r="E688">
        <v>523.87</v>
      </c>
      <c r="F688" t="s">
        <v>14</v>
      </c>
      <c r="G688" t="s">
        <v>17</v>
      </c>
      <c r="H688">
        <v>0.15</v>
      </c>
      <c r="I688" t="s">
        <v>22</v>
      </c>
      <c r="J688">
        <v>8015.2109999999993</v>
      </c>
      <c r="K688" t="s">
        <v>25</v>
      </c>
      <c r="L688" t="s">
        <v>31</v>
      </c>
      <c r="M688">
        <v>0</v>
      </c>
      <c r="N688" t="s">
        <v>761</v>
      </c>
      <c r="O688" t="s">
        <v>2261</v>
      </c>
      <c r="P688">
        <v>42.63</v>
      </c>
      <c r="Q688">
        <f t="shared" si="10"/>
        <v>445.28949999999998</v>
      </c>
      <c r="R688">
        <v>7972.5809999999992</v>
      </c>
      <c r="S688" s="2">
        <v>45533</v>
      </c>
      <c r="T688" s="2">
        <v>45537</v>
      </c>
      <c r="U688" t="s">
        <v>35</v>
      </c>
      <c r="V688">
        <v>29</v>
      </c>
      <c r="W688">
        <v>8</v>
      </c>
      <c r="X688" t="s">
        <v>48</v>
      </c>
      <c r="Y688">
        <v>2024</v>
      </c>
      <c r="Z688">
        <v>3</v>
      </c>
      <c r="AA688">
        <v>35</v>
      </c>
    </row>
    <row r="689" spans="1:27" x14ac:dyDescent="0.3">
      <c r="A689" s="2">
        <v>45286</v>
      </c>
      <c r="B689" t="s">
        <v>3</v>
      </c>
      <c r="C689" t="s">
        <v>7</v>
      </c>
      <c r="D689">
        <v>3</v>
      </c>
      <c r="E689">
        <v>232.13</v>
      </c>
      <c r="F689" t="s">
        <v>12</v>
      </c>
      <c r="G689" t="s">
        <v>17</v>
      </c>
      <c r="H689">
        <v>0.1</v>
      </c>
      <c r="I689" t="s">
        <v>22</v>
      </c>
      <c r="J689">
        <v>626.75099999999998</v>
      </c>
      <c r="K689" t="s">
        <v>28</v>
      </c>
      <c r="L689" t="s">
        <v>32</v>
      </c>
      <c r="M689">
        <v>1</v>
      </c>
      <c r="N689" t="s">
        <v>762</v>
      </c>
      <c r="O689" t="s">
        <v>2262</v>
      </c>
      <c r="P689">
        <v>46.65</v>
      </c>
      <c r="Q689">
        <f t="shared" si="10"/>
        <v>208.917</v>
      </c>
      <c r="R689">
        <v>580.101</v>
      </c>
      <c r="S689" s="2">
        <v>45286</v>
      </c>
      <c r="T689" s="2">
        <v>45291</v>
      </c>
      <c r="U689" t="s">
        <v>36</v>
      </c>
      <c r="V689">
        <v>26</v>
      </c>
      <c r="W689">
        <v>12</v>
      </c>
      <c r="X689" t="s">
        <v>39</v>
      </c>
      <c r="Y689">
        <v>2023</v>
      </c>
      <c r="Z689">
        <v>4</v>
      </c>
      <c r="AA689">
        <v>52</v>
      </c>
    </row>
    <row r="690" spans="1:27" x14ac:dyDescent="0.3">
      <c r="A690" s="2">
        <v>45687</v>
      </c>
      <c r="B690" t="s">
        <v>2</v>
      </c>
      <c r="C690" t="s">
        <v>6</v>
      </c>
      <c r="D690">
        <v>17</v>
      </c>
      <c r="E690">
        <v>179.32</v>
      </c>
      <c r="F690" t="s">
        <v>13</v>
      </c>
      <c r="G690" t="s">
        <v>17</v>
      </c>
      <c r="H690">
        <v>0.1</v>
      </c>
      <c r="I690" t="s">
        <v>23</v>
      </c>
      <c r="J690">
        <v>2743.596</v>
      </c>
      <c r="K690" t="s">
        <v>27</v>
      </c>
      <c r="L690" t="s">
        <v>30</v>
      </c>
      <c r="M690">
        <v>1</v>
      </c>
      <c r="N690" t="s">
        <v>763</v>
      </c>
      <c r="O690" t="s">
        <v>2263</v>
      </c>
      <c r="P690">
        <v>26.74</v>
      </c>
      <c r="Q690">
        <f t="shared" si="10"/>
        <v>161.38800000000001</v>
      </c>
      <c r="R690">
        <v>2716.8560000000002</v>
      </c>
      <c r="S690" s="2">
        <v>45687</v>
      </c>
      <c r="T690" s="2">
        <v>45694</v>
      </c>
      <c r="U690" t="s">
        <v>35</v>
      </c>
      <c r="V690">
        <v>30</v>
      </c>
      <c r="W690">
        <v>1</v>
      </c>
      <c r="X690" t="s">
        <v>42</v>
      </c>
      <c r="Y690">
        <v>2025</v>
      </c>
      <c r="Z690">
        <v>1</v>
      </c>
      <c r="AA690">
        <v>5</v>
      </c>
    </row>
    <row r="691" spans="1:27" x14ac:dyDescent="0.3">
      <c r="A691" s="2">
        <v>45063</v>
      </c>
      <c r="B691" t="s">
        <v>1</v>
      </c>
      <c r="C691" t="s">
        <v>8</v>
      </c>
      <c r="D691">
        <v>1</v>
      </c>
      <c r="E691">
        <v>396.35</v>
      </c>
      <c r="F691" t="s">
        <v>12</v>
      </c>
      <c r="G691" t="s">
        <v>17</v>
      </c>
      <c r="H691">
        <v>0.15</v>
      </c>
      <c r="I691" t="s">
        <v>20</v>
      </c>
      <c r="J691">
        <v>336.89749999999998</v>
      </c>
      <c r="K691" t="s">
        <v>27</v>
      </c>
      <c r="L691" t="s">
        <v>30</v>
      </c>
      <c r="M691">
        <v>1</v>
      </c>
      <c r="N691" t="s">
        <v>764</v>
      </c>
      <c r="O691" t="s">
        <v>2264</v>
      </c>
      <c r="P691">
        <v>19.89</v>
      </c>
      <c r="Q691">
        <f t="shared" si="10"/>
        <v>336.89749999999998</v>
      </c>
      <c r="R691">
        <v>317.00749999999999</v>
      </c>
      <c r="S691" s="2">
        <v>45063</v>
      </c>
      <c r="T691" s="2">
        <v>45071</v>
      </c>
      <c r="U691" t="s">
        <v>34</v>
      </c>
      <c r="V691">
        <v>17</v>
      </c>
      <c r="W691">
        <v>5</v>
      </c>
      <c r="X691" t="s">
        <v>40</v>
      </c>
      <c r="Y691">
        <v>2023</v>
      </c>
      <c r="Z691">
        <v>2</v>
      </c>
      <c r="AA691">
        <v>20</v>
      </c>
    </row>
    <row r="692" spans="1:27" x14ac:dyDescent="0.3">
      <c r="A692" s="2">
        <v>45318</v>
      </c>
      <c r="B692" t="s">
        <v>3</v>
      </c>
      <c r="C692" t="s">
        <v>7</v>
      </c>
      <c r="D692">
        <v>17</v>
      </c>
      <c r="E692">
        <v>108.48</v>
      </c>
      <c r="F692" t="s">
        <v>13</v>
      </c>
      <c r="G692" t="s">
        <v>16</v>
      </c>
      <c r="H692">
        <v>0.1</v>
      </c>
      <c r="I692" t="s">
        <v>21</v>
      </c>
      <c r="J692">
        <v>1659.7439999999999</v>
      </c>
      <c r="K692" t="s">
        <v>24</v>
      </c>
      <c r="L692" t="s">
        <v>32</v>
      </c>
      <c r="M692">
        <v>1</v>
      </c>
      <c r="N692" t="s">
        <v>765</v>
      </c>
      <c r="O692" t="s">
        <v>2265</v>
      </c>
      <c r="P692">
        <v>48.9</v>
      </c>
      <c r="Q692">
        <f t="shared" si="10"/>
        <v>97.631999999999991</v>
      </c>
      <c r="R692">
        <v>1610.8439999999998</v>
      </c>
      <c r="S692" s="2">
        <v>45318</v>
      </c>
      <c r="T692" s="2">
        <v>45327</v>
      </c>
      <c r="U692" t="s">
        <v>36</v>
      </c>
      <c r="V692">
        <v>27</v>
      </c>
      <c r="W692">
        <v>1</v>
      </c>
      <c r="X692" t="s">
        <v>42</v>
      </c>
      <c r="Y692">
        <v>2024</v>
      </c>
      <c r="Z692">
        <v>1</v>
      </c>
      <c r="AA692">
        <v>4</v>
      </c>
    </row>
    <row r="693" spans="1:27" x14ac:dyDescent="0.3">
      <c r="A693" s="2">
        <v>45803</v>
      </c>
      <c r="B693" t="s">
        <v>0</v>
      </c>
      <c r="C693" t="s">
        <v>11</v>
      </c>
      <c r="D693">
        <v>10</v>
      </c>
      <c r="E693">
        <v>149.66999999999999</v>
      </c>
      <c r="F693" t="s">
        <v>15</v>
      </c>
      <c r="G693" t="s">
        <v>17</v>
      </c>
      <c r="H693">
        <v>0.1</v>
      </c>
      <c r="I693" t="s">
        <v>21</v>
      </c>
      <c r="J693">
        <v>1347.03</v>
      </c>
      <c r="K693" t="s">
        <v>28</v>
      </c>
      <c r="L693" t="s">
        <v>29</v>
      </c>
      <c r="M693">
        <v>1</v>
      </c>
      <c r="N693" t="s">
        <v>766</v>
      </c>
      <c r="O693" t="s">
        <v>2266</v>
      </c>
      <c r="P693">
        <v>49.67</v>
      </c>
      <c r="Q693">
        <f t="shared" si="10"/>
        <v>134.703</v>
      </c>
      <c r="R693">
        <v>1297.3599999999999</v>
      </c>
      <c r="S693" s="2">
        <v>45803</v>
      </c>
      <c r="T693" s="2">
        <v>45810</v>
      </c>
      <c r="U693" t="s">
        <v>33</v>
      </c>
      <c r="V693">
        <v>26</v>
      </c>
      <c r="W693">
        <v>5</v>
      </c>
      <c r="X693" t="s">
        <v>40</v>
      </c>
      <c r="Y693">
        <v>2025</v>
      </c>
      <c r="Z693">
        <v>2</v>
      </c>
      <c r="AA693">
        <v>22</v>
      </c>
    </row>
    <row r="694" spans="1:27" x14ac:dyDescent="0.3">
      <c r="A694" s="2">
        <v>45725</v>
      </c>
      <c r="B694" t="s">
        <v>2</v>
      </c>
      <c r="C694" t="s">
        <v>6</v>
      </c>
      <c r="D694">
        <v>1</v>
      </c>
      <c r="E694">
        <v>506.41</v>
      </c>
      <c r="F694" t="s">
        <v>15</v>
      </c>
      <c r="G694" t="s">
        <v>16</v>
      </c>
      <c r="H694">
        <v>0</v>
      </c>
      <c r="I694" t="s">
        <v>23</v>
      </c>
      <c r="J694">
        <v>506.41</v>
      </c>
      <c r="K694" t="s">
        <v>28</v>
      </c>
      <c r="L694" t="s">
        <v>32</v>
      </c>
      <c r="M694">
        <v>0</v>
      </c>
      <c r="N694" t="s">
        <v>767</v>
      </c>
      <c r="O694" t="s">
        <v>2267</v>
      </c>
      <c r="P694">
        <v>17.899999999999999</v>
      </c>
      <c r="Q694">
        <f t="shared" si="10"/>
        <v>506.41</v>
      </c>
      <c r="R694">
        <v>488.51000000000005</v>
      </c>
      <c r="S694" s="2">
        <v>45725</v>
      </c>
      <c r="T694" s="2">
        <v>45733</v>
      </c>
      <c r="U694" t="s">
        <v>35</v>
      </c>
      <c r="V694">
        <v>9</v>
      </c>
      <c r="W694">
        <v>3</v>
      </c>
      <c r="X694" t="s">
        <v>44</v>
      </c>
      <c r="Y694">
        <v>2025</v>
      </c>
      <c r="Z694">
        <v>1</v>
      </c>
      <c r="AA694">
        <v>10</v>
      </c>
    </row>
    <row r="695" spans="1:27" x14ac:dyDescent="0.3">
      <c r="A695" s="2">
        <v>45344</v>
      </c>
      <c r="B695" t="s">
        <v>4</v>
      </c>
      <c r="C695" t="s">
        <v>10</v>
      </c>
      <c r="D695">
        <v>6</v>
      </c>
      <c r="E695">
        <v>345.9</v>
      </c>
      <c r="F695" t="s">
        <v>12</v>
      </c>
      <c r="G695" t="s">
        <v>17</v>
      </c>
      <c r="H695">
        <v>0.15</v>
      </c>
      <c r="I695" t="s">
        <v>20</v>
      </c>
      <c r="J695">
        <v>1764.09</v>
      </c>
      <c r="K695" t="s">
        <v>26</v>
      </c>
      <c r="L695" t="s">
        <v>31</v>
      </c>
      <c r="M695">
        <v>0</v>
      </c>
      <c r="N695" t="s">
        <v>768</v>
      </c>
      <c r="O695" t="s">
        <v>2268</v>
      </c>
      <c r="P695">
        <v>30.58</v>
      </c>
      <c r="Q695">
        <f t="shared" si="10"/>
        <v>294.01499999999999</v>
      </c>
      <c r="R695">
        <v>1733.51</v>
      </c>
      <c r="S695" s="2">
        <v>45344</v>
      </c>
      <c r="T695" s="2">
        <v>45354</v>
      </c>
      <c r="U695" t="s">
        <v>37</v>
      </c>
      <c r="V695">
        <v>22</v>
      </c>
      <c r="W695">
        <v>2</v>
      </c>
      <c r="X695" t="s">
        <v>38</v>
      </c>
      <c r="Y695">
        <v>2024</v>
      </c>
      <c r="Z695">
        <v>1</v>
      </c>
      <c r="AA695">
        <v>8</v>
      </c>
    </row>
    <row r="696" spans="1:27" x14ac:dyDescent="0.3">
      <c r="A696" s="2">
        <v>45691</v>
      </c>
      <c r="B696" t="s">
        <v>0</v>
      </c>
      <c r="C696" t="s">
        <v>10</v>
      </c>
      <c r="D696">
        <v>15</v>
      </c>
      <c r="E696">
        <v>342.04</v>
      </c>
      <c r="F696" t="s">
        <v>14</v>
      </c>
      <c r="G696" t="s">
        <v>17</v>
      </c>
      <c r="H696">
        <v>0.15</v>
      </c>
      <c r="I696" t="s">
        <v>22</v>
      </c>
      <c r="J696">
        <v>4361.01</v>
      </c>
      <c r="K696" t="s">
        <v>25</v>
      </c>
      <c r="L696" t="s">
        <v>31</v>
      </c>
      <c r="M696">
        <v>0</v>
      </c>
      <c r="N696" t="s">
        <v>769</v>
      </c>
      <c r="O696" t="s">
        <v>2269</v>
      </c>
      <c r="P696">
        <v>44.91</v>
      </c>
      <c r="Q696">
        <f t="shared" si="10"/>
        <v>290.73400000000004</v>
      </c>
      <c r="R696">
        <v>4316.1000000000004</v>
      </c>
      <c r="S696" s="2">
        <v>45691</v>
      </c>
      <c r="T696" s="2">
        <v>45696</v>
      </c>
      <c r="U696" t="s">
        <v>33</v>
      </c>
      <c r="V696">
        <v>3</v>
      </c>
      <c r="W696">
        <v>2</v>
      </c>
      <c r="X696" t="s">
        <v>38</v>
      </c>
      <c r="Y696">
        <v>2025</v>
      </c>
      <c r="Z696">
        <v>1</v>
      </c>
      <c r="AA696">
        <v>6</v>
      </c>
    </row>
    <row r="697" spans="1:27" x14ac:dyDescent="0.3">
      <c r="A697" s="2">
        <v>45300</v>
      </c>
      <c r="B697" t="s">
        <v>3</v>
      </c>
      <c r="C697" t="s">
        <v>11</v>
      </c>
      <c r="D697">
        <v>11</v>
      </c>
      <c r="E697">
        <v>404.88</v>
      </c>
      <c r="F697" t="s">
        <v>13</v>
      </c>
      <c r="G697" t="s">
        <v>16</v>
      </c>
      <c r="H697">
        <v>0.05</v>
      </c>
      <c r="I697" t="s">
        <v>19</v>
      </c>
      <c r="J697">
        <v>4230.9960000000001</v>
      </c>
      <c r="K697" t="s">
        <v>25</v>
      </c>
      <c r="L697" t="s">
        <v>30</v>
      </c>
      <c r="M697">
        <v>0</v>
      </c>
      <c r="N697" t="s">
        <v>770</v>
      </c>
      <c r="O697" t="s">
        <v>2270</v>
      </c>
      <c r="P697">
        <v>18.920000000000002</v>
      </c>
      <c r="Q697">
        <f t="shared" si="10"/>
        <v>384.63600000000002</v>
      </c>
      <c r="R697">
        <v>4212.076</v>
      </c>
      <c r="S697" s="2">
        <v>45300</v>
      </c>
      <c r="T697" s="2">
        <v>45307</v>
      </c>
      <c r="U697" t="s">
        <v>36</v>
      </c>
      <c r="V697">
        <v>9</v>
      </c>
      <c r="W697">
        <v>1</v>
      </c>
      <c r="X697" t="s">
        <v>42</v>
      </c>
      <c r="Y697">
        <v>2024</v>
      </c>
      <c r="Z697">
        <v>1</v>
      </c>
      <c r="AA697">
        <v>2</v>
      </c>
    </row>
    <row r="698" spans="1:27" x14ac:dyDescent="0.3">
      <c r="A698" s="2">
        <v>45782</v>
      </c>
      <c r="B698" t="s">
        <v>2</v>
      </c>
      <c r="C698" t="s">
        <v>7</v>
      </c>
      <c r="D698">
        <v>9</v>
      </c>
      <c r="E698">
        <v>292.45999999999998</v>
      </c>
      <c r="F698" t="s">
        <v>13</v>
      </c>
      <c r="G698" t="s">
        <v>16</v>
      </c>
      <c r="H698">
        <v>0.05</v>
      </c>
      <c r="I698" t="s">
        <v>21</v>
      </c>
      <c r="J698">
        <v>2500.5329999999999</v>
      </c>
      <c r="K698" t="s">
        <v>26</v>
      </c>
      <c r="L698" t="s">
        <v>32</v>
      </c>
      <c r="M698">
        <v>0</v>
      </c>
      <c r="N698" t="s">
        <v>771</v>
      </c>
      <c r="O698" t="s">
        <v>2271</v>
      </c>
      <c r="P698">
        <v>34.26</v>
      </c>
      <c r="Q698">
        <f t="shared" si="10"/>
        <v>277.83699999999999</v>
      </c>
      <c r="R698">
        <v>2466.2729999999997</v>
      </c>
      <c r="S698" s="2">
        <v>45782</v>
      </c>
      <c r="T698" s="2">
        <v>45791</v>
      </c>
      <c r="U698" t="s">
        <v>35</v>
      </c>
      <c r="V698">
        <v>5</v>
      </c>
      <c r="W698">
        <v>5</v>
      </c>
      <c r="X698" t="s">
        <v>40</v>
      </c>
      <c r="Y698">
        <v>2025</v>
      </c>
      <c r="Z698">
        <v>2</v>
      </c>
      <c r="AA698">
        <v>19</v>
      </c>
    </row>
    <row r="699" spans="1:27" x14ac:dyDescent="0.3">
      <c r="A699" s="2">
        <v>45033</v>
      </c>
      <c r="B699" t="s">
        <v>3</v>
      </c>
      <c r="C699" t="s">
        <v>7</v>
      </c>
      <c r="D699">
        <v>5</v>
      </c>
      <c r="E699">
        <v>547.53</v>
      </c>
      <c r="F699" t="s">
        <v>13</v>
      </c>
      <c r="G699" t="s">
        <v>17</v>
      </c>
      <c r="H699">
        <v>0.1</v>
      </c>
      <c r="I699" t="s">
        <v>18</v>
      </c>
      <c r="J699">
        <v>2463.8850000000002</v>
      </c>
      <c r="K699" t="s">
        <v>27</v>
      </c>
      <c r="L699" t="s">
        <v>32</v>
      </c>
      <c r="M699">
        <v>0</v>
      </c>
      <c r="N699" t="s">
        <v>772</v>
      </c>
      <c r="O699" t="s">
        <v>2272</v>
      </c>
      <c r="P699">
        <v>24.68</v>
      </c>
      <c r="Q699">
        <f t="shared" si="10"/>
        <v>492.77700000000004</v>
      </c>
      <c r="R699">
        <v>2439.2050000000004</v>
      </c>
      <c r="S699" s="2">
        <v>45033</v>
      </c>
      <c r="T699" s="2">
        <v>45037</v>
      </c>
      <c r="U699" t="s">
        <v>36</v>
      </c>
      <c r="V699">
        <v>17</v>
      </c>
      <c r="W699">
        <v>4</v>
      </c>
      <c r="X699" t="s">
        <v>45</v>
      </c>
      <c r="Y699">
        <v>2023</v>
      </c>
      <c r="Z699">
        <v>2</v>
      </c>
      <c r="AA699">
        <v>16</v>
      </c>
    </row>
    <row r="700" spans="1:27" x14ac:dyDescent="0.3">
      <c r="A700" s="2">
        <v>45459</v>
      </c>
      <c r="B700" t="s">
        <v>1</v>
      </c>
      <c r="C700" t="s">
        <v>7</v>
      </c>
      <c r="D700">
        <v>12</v>
      </c>
      <c r="E700">
        <v>348.88</v>
      </c>
      <c r="F700" t="s">
        <v>14</v>
      </c>
      <c r="G700" t="s">
        <v>16</v>
      </c>
      <c r="H700">
        <v>0</v>
      </c>
      <c r="I700" t="s">
        <v>19</v>
      </c>
      <c r="J700">
        <v>4186.5599999999986</v>
      </c>
      <c r="K700" t="s">
        <v>26</v>
      </c>
      <c r="L700" t="s">
        <v>30</v>
      </c>
      <c r="M700">
        <v>0</v>
      </c>
      <c r="N700" t="s">
        <v>773</v>
      </c>
      <c r="O700" t="s">
        <v>2273</v>
      </c>
      <c r="P700">
        <v>31.28</v>
      </c>
      <c r="Q700">
        <f t="shared" si="10"/>
        <v>348.87999999999988</v>
      </c>
      <c r="R700">
        <v>4155.2799999999988</v>
      </c>
      <c r="S700" s="2">
        <v>45459</v>
      </c>
      <c r="T700" s="2">
        <v>45464</v>
      </c>
      <c r="U700" t="s">
        <v>34</v>
      </c>
      <c r="V700">
        <v>16</v>
      </c>
      <c r="W700">
        <v>6</v>
      </c>
      <c r="X700" t="s">
        <v>41</v>
      </c>
      <c r="Y700">
        <v>2024</v>
      </c>
      <c r="Z700">
        <v>2</v>
      </c>
      <c r="AA700">
        <v>24</v>
      </c>
    </row>
    <row r="701" spans="1:27" x14ac:dyDescent="0.3">
      <c r="A701" s="2">
        <v>45597</v>
      </c>
      <c r="B701" t="s">
        <v>1</v>
      </c>
      <c r="C701" t="s">
        <v>6</v>
      </c>
      <c r="D701">
        <v>15</v>
      </c>
      <c r="E701">
        <v>486.03</v>
      </c>
      <c r="F701" t="s">
        <v>14</v>
      </c>
      <c r="G701" t="s">
        <v>16</v>
      </c>
      <c r="H701">
        <v>0</v>
      </c>
      <c r="I701" t="s">
        <v>19</v>
      </c>
      <c r="J701">
        <v>7290.45</v>
      </c>
      <c r="K701" t="s">
        <v>27</v>
      </c>
      <c r="L701" t="s">
        <v>31</v>
      </c>
      <c r="M701">
        <v>0</v>
      </c>
      <c r="N701" t="s">
        <v>774</v>
      </c>
      <c r="O701" t="s">
        <v>2274</v>
      </c>
      <c r="P701">
        <v>14.9</v>
      </c>
      <c r="Q701">
        <f t="shared" si="10"/>
        <v>486.03</v>
      </c>
      <c r="R701">
        <v>7275.55</v>
      </c>
      <c r="S701" s="2">
        <v>45597</v>
      </c>
      <c r="T701" s="2">
        <v>45600</v>
      </c>
      <c r="U701" t="s">
        <v>34</v>
      </c>
      <c r="V701">
        <v>1</v>
      </c>
      <c r="W701">
        <v>11</v>
      </c>
      <c r="X701" t="s">
        <v>47</v>
      </c>
      <c r="Y701">
        <v>2024</v>
      </c>
      <c r="Z701">
        <v>4</v>
      </c>
      <c r="AA701">
        <v>44</v>
      </c>
    </row>
    <row r="702" spans="1:27" x14ac:dyDescent="0.3">
      <c r="A702" s="2">
        <v>45695</v>
      </c>
      <c r="B702" t="s">
        <v>0</v>
      </c>
      <c r="C702" t="s">
        <v>10</v>
      </c>
      <c r="D702">
        <v>14</v>
      </c>
      <c r="E702">
        <v>159.09</v>
      </c>
      <c r="F702" t="s">
        <v>14</v>
      </c>
      <c r="G702" t="s">
        <v>17</v>
      </c>
      <c r="H702">
        <v>0.15</v>
      </c>
      <c r="I702" t="s">
        <v>23</v>
      </c>
      <c r="J702">
        <v>1893.171</v>
      </c>
      <c r="K702" t="s">
        <v>27</v>
      </c>
      <c r="L702" t="s">
        <v>29</v>
      </c>
      <c r="M702">
        <v>0</v>
      </c>
      <c r="N702" t="s">
        <v>775</v>
      </c>
      <c r="O702" t="s">
        <v>2275</v>
      </c>
      <c r="P702">
        <v>27.05</v>
      </c>
      <c r="Q702">
        <f t="shared" si="10"/>
        <v>135.22650000000002</v>
      </c>
      <c r="R702">
        <v>1866.1210000000001</v>
      </c>
      <c r="S702" s="2">
        <v>45695</v>
      </c>
      <c r="T702" s="2">
        <v>45698</v>
      </c>
      <c r="U702" t="s">
        <v>33</v>
      </c>
      <c r="V702">
        <v>7</v>
      </c>
      <c r="W702">
        <v>2</v>
      </c>
      <c r="X702" t="s">
        <v>38</v>
      </c>
      <c r="Y702">
        <v>2025</v>
      </c>
      <c r="Z702">
        <v>1</v>
      </c>
      <c r="AA702">
        <v>6</v>
      </c>
    </row>
    <row r="703" spans="1:27" x14ac:dyDescent="0.3">
      <c r="A703" s="2">
        <v>45620</v>
      </c>
      <c r="B703" t="s">
        <v>1</v>
      </c>
      <c r="C703" t="s">
        <v>9</v>
      </c>
      <c r="D703">
        <v>12</v>
      </c>
      <c r="E703">
        <v>173.79</v>
      </c>
      <c r="F703" t="s">
        <v>15</v>
      </c>
      <c r="G703" t="s">
        <v>17</v>
      </c>
      <c r="H703">
        <v>0.15</v>
      </c>
      <c r="I703" t="s">
        <v>18</v>
      </c>
      <c r="J703">
        <v>1772.6579999999999</v>
      </c>
      <c r="K703" t="s">
        <v>26</v>
      </c>
      <c r="L703" t="s">
        <v>32</v>
      </c>
      <c r="M703">
        <v>0</v>
      </c>
      <c r="N703" t="s">
        <v>776</v>
      </c>
      <c r="O703" t="s">
        <v>2276</v>
      </c>
      <c r="P703">
        <v>21.23</v>
      </c>
      <c r="Q703">
        <f t="shared" si="10"/>
        <v>147.72149999999999</v>
      </c>
      <c r="R703">
        <v>1751.4279999999999</v>
      </c>
      <c r="S703" s="2">
        <v>45620</v>
      </c>
      <c r="T703" s="2">
        <v>45630</v>
      </c>
      <c r="U703" t="s">
        <v>34</v>
      </c>
      <c r="V703">
        <v>24</v>
      </c>
      <c r="W703">
        <v>11</v>
      </c>
      <c r="X703" t="s">
        <v>47</v>
      </c>
      <c r="Y703">
        <v>2024</v>
      </c>
      <c r="Z703">
        <v>4</v>
      </c>
      <c r="AA703">
        <v>47</v>
      </c>
    </row>
    <row r="704" spans="1:27" x14ac:dyDescent="0.3">
      <c r="A704" s="2">
        <v>45405</v>
      </c>
      <c r="B704" t="s">
        <v>3</v>
      </c>
      <c r="C704" t="s">
        <v>9</v>
      </c>
      <c r="D704">
        <v>13</v>
      </c>
      <c r="E704">
        <v>439.75</v>
      </c>
      <c r="F704" t="s">
        <v>13</v>
      </c>
      <c r="G704" t="s">
        <v>16</v>
      </c>
      <c r="H704">
        <v>0</v>
      </c>
      <c r="I704" t="s">
        <v>20</v>
      </c>
      <c r="J704">
        <v>5716.75</v>
      </c>
      <c r="K704" t="s">
        <v>24</v>
      </c>
      <c r="L704" t="s">
        <v>32</v>
      </c>
      <c r="M704">
        <v>1</v>
      </c>
      <c r="N704" t="s">
        <v>777</v>
      </c>
      <c r="O704" t="s">
        <v>2277</v>
      </c>
      <c r="P704">
        <v>12.23</v>
      </c>
      <c r="Q704">
        <f t="shared" si="10"/>
        <v>439.75</v>
      </c>
      <c r="R704">
        <v>5704.52</v>
      </c>
      <c r="S704" s="2">
        <v>45405</v>
      </c>
      <c r="T704" s="2">
        <v>45414</v>
      </c>
      <c r="U704" t="s">
        <v>36</v>
      </c>
      <c r="V704">
        <v>23</v>
      </c>
      <c r="W704">
        <v>4</v>
      </c>
      <c r="X704" t="s">
        <v>45</v>
      </c>
      <c r="Y704">
        <v>2024</v>
      </c>
      <c r="Z704">
        <v>2</v>
      </c>
      <c r="AA704">
        <v>17</v>
      </c>
    </row>
    <row r="705" spans="1:27" x14ac:dyDescent="0.3">
      <c r="A705" s="2">
        <v>45467</v>
      </c>
      <c r="B705" t="s">
        <v>0</v>
      </c>
      <c r="C705" t="s">
        <v>5</v>
      </c>
      <c r="D705">
        <v>9</v>
      </c>
      <c r="E705">
        <v>265.43</v>
      </c>
      <c r="F705" t="s">
        <v>15</v>
      </c>
      <c r="G705" t="s">
        <v>16</v>
      </c>
      <c r="H705">
        <v>0.05</v>
      </c>
      <c r="I705" t="s">
        <v>18</v>
      </c>
      <c r="J705">
        <v>2269.4265</v>
      </c>
      <c r="K705" t="s">
        <v>26</v>
      </c>
      <c r="L705" t="s">
        <v>29</v>
      </c>
      <c r="M705">
        <v>0</v>
      </c>
      <c r="N705" t="s">
        <v>778</v>
      </c>
      <c r="O705" t="s">
        <v>2278</v>
      </c>
      <c r="P705">
        <v>40.18</v>
      </c>
      <c r="Q705">
        <f t="shared" si="10"/>
        <v>252.1585</v>
      </c>
      <c r="R705">
        <v>2229.2465000000002</v>
      </c>
      <c r="S705" s="2">
        <v>45467</v>
      </c>
      <c r="T705" s="2">
        <v>45470</v>
      </c>
      <c r="U705" t="s">
        <v>33</v>
      </c>
      <c r="V705">
        <v>24</v>
      </c>
      <c r="W705">
        <v>6</v>
      </c>
      <c r="X705" t="s">
        <v>41</v>
      </c>
      <c r="Y705">
        <v>2024</v>
      </c>
      <c r="Z705">
        <v>2</v>
      </c>
      <c r="AA705">
        <v>26</v>
      </c>
    </row>
    <row r="706" spans="1:27" x14ac:dyDescent="0.3">
      <c r="A706" s="2">
        <v>45809</v>
      </c>
      <c r="B706" t="s">
        <v>4</v>
      </c>
      <c r="C706" t="s">
        <v>9</v>
      </c>
      <c r="D706">
        <v>12</v>
      </c>
      <c r="E706">
        <v>290.27999999999997</v>
      </c>
      <c r="F706" t="s">
        <v>12</v>
      </c>
      <c r="G706" t="s">
        <v>17</v>
      </c>
      <c r="H706">
        <v>0.1</v>
      </c>
      <c r="I706" t="s">
        <v>21</v>
      </c>
      <c r="J706">
        <v>3135.0239999999999</v>
      </c>
      <c r="K706" t="s">
        <v>28</v>
      </c>
      <c r="L706" t="s">
        <v>29</v>
      </c>
      <c r="M706">
        <v>1</v>
      </c>
      <c r="N706" t="s">
        <v>779</v>
      </c>
      <c r="O706" t="s">
        <v>2279</v>
      </c>
      <c r="P706">
        <v>5.55</v>
      </c>
      <c r="Q706">
        <f t="shared" si="10"/>
        <v>261.25200000000001</v>
      </c>
      <c r="R706">
        <v>3129.4739999999997</v>
      </c>
      <c r="S706" s="2">
        <v>45809</v>
      </c>
      <c r="T706" s="2">
        <v>45815</v>
      </c>
      <c r="U706" t="s">
        <v>37</v>
      </c>
      <c r="V706">
        <v>1</v>
      </c>
      <c r="W706">
        <v>6</v>
      </c>
      <c r="X706" t="s">
        <v>41</v>
      </c>
      <c r="Y706">
        <v>2025</v>
      </c>
      <c r="Z706">
        <v>2</v>
      </c>
      <c r="AA706">
        <v>22</v>
      </c>
    </row>
    <row r="707" spans="1:27" x14ac:dyDescent="0.3">
      <c r="A707" s="2">
        <v>44997</v>
      </c>
      <c r="B707" t="s">
        <v>4</v>
      </c>
      <c r="C707" t="s">
        <v>10</v>
      </c>
      <c r="D707">
        <v>6</v>
      </c>
      <c r="E707">
        <v>88.7</v>
      </c>
      <c r="F707" t="s">
        <v>12</v>
      </c>
      <c r="G707" t="s">
        <v>16</v>
      </c>
      <c r="H707">
        <v>0</v>
      </c>
      <c r="I707" t="s">
        <v>21</v>
      </c>
      <c r="J707">
        <v>532.20000000000005</v>
      </c>
      <c r="K707" t="s">
        <v>25</v>
      </c>
      <c r="L707" t="s">
        <v>32</v>
      </c>
      <c r="M707">
        <v>0</v>
      </c>
      <c r="N707" t="s">
        <v>780</v>
      </c>
      <c r="O707" t="s">
        <v>2280</v>
      </c>
      <c r="P707">
        <v>16.98</v>
      </c>
      <c r="Q707">
        <f t="shared" ref="Q707:Q770" si="11">J707/D707</f>
        <v>88.7</v>
      </c>
      <c r="R707">
        <v>515.22</v>
      </c>
      <c r="S707" s="2">
        <v>44997</v>
      </c>
      <c r="T707" s="2">
        <v>44999</v>
      </c>
      <c r="U707" t="s">
        <v>37</v>
      </c>
      <c r="V707">
        <v>12</v>
      </c>
      <c r="W707">
        <v>3</v>
      </c>
      <c r="X707" t="s">
        <v>44</v>
      </c>
      <c r="Y707">
        <v>2023</v>
      </c>
      <c r="Z707">
        <v>1</v>
      </c>
      <c r="AA707">
        <v>10</v>
      </c>
    </row>
    <row r="708" spans="1:27" x14ac:dyDescent="0.3">
      <c r="A708" s="2">
        <v>45607</v>
      </c>
      <c r="B708" t="s">
        <v>3</v>
      </c>
      <c r="C708" t="s">
        <v>7</v>
      </c>
      <c r="D708">
        <v>2</v>
      </c>
      <c r="E708">
        <v>239.69</v>
      </c>
      <c r="F708" t="s">
        <v>14</v>
      </c>
      <c r="G708" t="s">
        <v>17</v>
      </c>
      <c r="H708">
        <v>0</v>
      </c>
      <c r="I708" t="s">
        <v>22</v>
      </c>
      <c r="J708">
        <v>479.38</v>
      </c>
      <c r="K708" t="s">
        <v>26</v>
      </c>
      <c r="L708" t="s">
        <v>31</v>
      </c>
      <c r="M708">
        <v>0</v>
      </c>
      <c r="N708" t="s">
        <v>781</v>
      </c>
      <c r="O708" t="s">
        <v>2281</v>
      </c>
      <c r="P708">
        <v>28.96</v>
      </c>
      <c r="Q708">
        <f t="shared" si="11"/>
        <v>239.69</v>
      </c>
      <c r="R708">
        <v>450.42</v>
      </c>
      <c r="S708" s="2">
        <v>45607</v>
      </c>
      <c r="T708" s="2">
        <v>45615</v>
      </c>
      <c r="U708" t="s">
        <v>36</v>
      </c>
      <c r="V708">
        <v>11</v>
      </c>
      <c r="W708">
        <v>11</v>
      </c>
      <c r="X708" t="s">
        <v>47</v>
      </c>
      <c r="Y708">
        <v>2024</v>
      </c>
      <c r="Z708">
        <v>4</v>
      </c>
      <c r="AA708">
        <v>46</v>
      </c>
    </row>
    <row r="709" spans="1:27" x14ac:dyDescent="0.3">
      <c r="A709" s="2">
        <v>45582</v>
      </c>
      <c r="B709" t="s">
        <v>3</v>
      </c>
      <c r="C709" t="s">
        <v>10</v>
      </c>
      <c r="D709">
        <v>8</v>
      </c>
      <c r="E709">
        <v>39.79</v>
      </c>
      <c r="F709" t="s">
        <v>14</v>
      </c>
      <c r="G709" t="s">
        <v>17</v>
      </c>
      <c r="H709">
        <v>0.1</v>
      </c>
      <c r="I709" t="s">
        <v>23</v>
      </c>
      <c r="J709">
        <v>286.488</v>
      </c>
      <c r="K709" t="s">
        <v>26</v>
      </c>
      <c r="L709" t="s">
        <v>30</v>
      </c>
      <c r="M709">
        <v>0</v>
      </c>
      <c r="N709" t="s">
        <v>782</v>
      </c>
      <c r="O709" t="s">
        <v>2282</v>
      </c>
      <c r="P709">
        <v>46.16</v>
      </c>
      <c r="Q709">
        <f t="shared" si="11"/>
        <v>35.811</v>
      </c>
      <c r="R709">
        <v>240.328</v>
      </c>
      <c r="S709" s="2">
        <v>45582</v>
      </c>
      <c r="T709" s="2">
        <v>45591</v>
      </c>
      <c r="U709" t="s">
        <v>36</v>
      </c>
      <c r="V709">
        <v>17</v>
      </c>
      <c r="W709">
        <v>10</v>
      </c>
      <c r="X709" t="s">
        <v>43</v>
      </c>
      <c r="Y709">
        <v>2024</v>
      </c>
      <c r="Z709">
        <v>4</v>
      </c>
      <c r="AA709">
        <v>42</v>
      </c>
    </row>
    <row r="710" spans="1:27" x14ac:dyDescent="0.3">
      <c r="A710" s="2">
        <v>45056</v>
      </c>
      <c r="B710" t="s">
        <v>0</v>
      </c>
      <c r="C710" t="s">
        <v>11</v>
      </c>
      <c r="D710">
        <v>18</v>
      </c>
      <c r="E710">
        <v>206.8</v>
      </c>
      <c r="F710" t="s">
        <v>13</v>
      </c>
      <c r="G710" t="s">
        <v>17</v>
      </c>
      <c r="H710">
        <v>0.05</v>
      </c>
      <c r="I710" t="s">
        <v>20</v>
      </c>
      <c r="J710">
        <v>3536.28</v>
      </c>
      <c r="K710" t="s">
        <v>27</v>
      </c>
      <c r="L710" t="s">
        <v>29</v>
      </c>
      <c r="M710">
        <v>1</v>
      </c>
      <c r="N710" t="s">
        <v>783</v>
      </c>
      <c r="O710" t="s">
        <v>2283</v>
      </c>
      <c r="P710">
        <v>39.25</v>
      </c>
      <c r="Q710">
        <f t="shared" si="11"/>
        <v>196.46</v>
      </c>
      <c r="R710">
        <v>3497.03</v>
      </c>
      <c r="S710" s="2">
        <v>45056</v>
      </c>
      <c r="T710" s="2">
        <v>45059</v>
      </c>
      <c r="U710" t="s">
        <v>33</v>
      </c>
      <c r="V710">
        <v>10</v>
      </c>
      <c r="W710">
        <v>5</v>
      </c>
      <c r="X710" t="s">
        <v>40</v>
      </c>
      <c r="Y710">
        <v>2023</v>
      </c>
      <c r="Z710">
        <v>2</v>
      </c>
      <c r="AA710">
        <v>19</v>
      </c>
    </row>
    <row r="711" spans="1:27" x14ac:dyDescent="0.3">
      <c r="A711" s="2">
        <v>45136</v>
      </c>
      <c r="B711" t="s">
        <v>0</v>
      </c>
      <c r="C711" t="s">
        <v>5</v>
      </c>
      <c r="D711">
        <v>18</v>
      </c>
      <c r="E711">
        <v>175.81</v>
      </c>
      <c r="F711" t="s">
        <v>14</v>
      </c>
      <c r="G711" t="s">
        <v>17</v>
      </c>
      <c r="H711">
        <v>0</v>
      </c>
      <c r="I711" t="s">
        <v>18</v>
      </c>
      <c r="J711">
        <v>3164.58</v>
      </c>
      <c r="K711" t="s">
        <v>25</v>
      </c>
      <c r="L711" t="s">
        <v>31</v>
      </c>
      <c r="M711">
        <v>1</v>
      </c>
      <c r="N711" t="s">
        <v>784</v>
      </c>
      <c r="O711" t="s">
        <v>2284</v>
      </c>
      <c r="P711">
        <v>26.97</v>
      </c>
      <c r="Q711">
        <f t="shared" si="11"/>
        <v>175.81</v>
      </c>
      <c r="R711">
        <v>3137.61</v>
      </c>
      <c r="S711" s="2">
        <v>45136</v>
      </c>
      <c r="T711" s="2">
        <v>45145</v>
      </c>
      <c r="U711" t="s">
        <v>33</v>
      </c>
      <c r="V711">
        <v>29</v>
      </c>
      <c r="W711">
        <v>7</v>
      </c>
      <c r="X711" t="s">
        <v>46</v>
      </c>
      <c r="Y711">
        <v>2023</v>
      </c>
      <c r="Z711">
        <v>3</v>
      </c>
      <c r="AA711">
        <v>30</v>
      </c>
    </row>
    <row r="712" spans="1:27" x14ac:dyDescent="0.3">
      <c r="A712" s="2">
        <v>45164</v>
      </c>
      <c r="B712" t="s">
        <v>3</v>
      </c>
      <c r="C712" t="s">
        <v>6</v>
      </c>
      <c r="D712">
        <v>14</v>
      </c>
      <c r="E712">
        <v>547.36</v>
      </c>
      <c r="F712" t="s">
        <v>14</v>
      </c>
      <c r="G712" t="s">
        <v>17</v>
      </c>
      <c r="H712">
        <v>0.15</v>
      </c>
      <c r="I712" t="s">
        <v>22</v>
      </c>
      <c r="J712">
        <v>6513.5839999999998</v>
      </c>
      <c r="K712" t="s">
        <v>24</v>
      </c>
      <c r="L712" t="s">
        <v>29</v>
      </c>
      <c r="M712">
        <v>0</v>
      </c>
      <c r="N712" t="s">
        <v>785</v>
      </c>
      <c r="O712" t="s">
        <v>2285</v>
      </c>
      <c r="P712">
        <v>25.24</v>
      </c>
      <c r="Q712">
        <f t="shared" si="11"/>
        <v>465.25599999999997</v>
      </c>
      <c r="R712">
        <v>6488.3440000000001</v>
      </c>
      <c r="S712" s="2">
        <v>45164</v>
      </c>
      <c r="T712" s="2">
        <v>45167</v>
      </c>
      <c r="U712" t="s">
        <v>36</v>
      </c>
      <c r="V712">
        <v>26</v>
      </c>
      <c r="W712">
        <v>8</v>
      </c>
      <c r="X712" t="s">
        <v>48</v>
      </c>
      <c r="Y712">
        <v>2023</v>
      </c>
      <c r="Z712">
        <v>3</v>
      </c>
      <c r="AA712">
        <v>34</v>
      </c>
    </row>
    <row r="713" spans="1:27" x14ac:dyDescent="0.3">
      <c r="A713" s="2">
        <v>45288</v>
      </c>
      <c r="B713" t="s">
        <v>0</v>
      </c>
      <c r="C713" t="s">
        <v>5</v>
      </c>
      <c r="D713">
        <v>19</v>
      </c>
      <c r="E713">
        <v>374.8</v>
      </c>
      <c r="F713" t="s">
        <v>13</v>
      </c>
      <c r="G713" t="s">
        <v>17</v>
      </c>
      <c r="H713">
        <v>0.05</v>
      </c>
      <c r="I713" t="s">
        <v>21</v>
      </c>
      <c r="J713">
        <v>6765.1399999999994</v>
      </c>
      <c r="K713" t="s">
        <v>24</v>
      </c>
      <c r="L713" t="s">
        <v>31</v>
      </c>
      <c r="M713">
        <v>0</v>
      </c>
      <c r="N713" t="s">
        <v>786</v>
      </c>
      <c r="O713" t="s">
        <v>2286</v>
      </c>
      <c r="P713">
        <v>41.67</v>
      </c>
      <c r="Q713">
        <f t="shared" si="11"/>
        <v>356.05999999999995</v>
      </c>
      <c r="R713">
        <v>6723.4699999999993</v>
      </c>
      <c r="S713" s="2">
        <v>45288</v>
      </c>
      <c r="T713" s="2">
        <v>45294</v>
      </c>
      <c r="U713" t="s">
        <v>33</v>
      </c>
      <c r="V713">
        <v>28</v>
      </c>
      <c r="W713">
        <v>12</v>
      </c>
      <c r="X713" t="s">
        <v>39</v>
      </c>
      <c r="Y713">
        <v>2023</v>
      </c>
      <c r="Z713">
        <v>4</v>
      </c>
      <c r="AA713">
        <v>52</v>
      </c>
    </row>
    <row r="714" spans="1:27" x14ac:dyDescent="0.3">
      <c r="A714" s="2">
        <v>45726</v>
      </c>
      <c r="B714" t="s">
        <v>2</v>
      </c>
      <c r="C714" t="s">
        <v>10</v>
      </c>
      <c r="D714">
        <v>9</v>
      </c>
      <c r="E714">
        <v>507.74</v>
      </c>
      <c r="F714" t="s">
        <v>15</v>
      </c>
      <c r="G714" t="s">
        <v>17</v>
      </c>
      <c r="H714">
        <v>0.15</v>
      </c>
      <c r="I714" t="s">
        <v>23</v>
      </c>
      <c r="J714">
        <v>3884.2109999999998</v>
      </c>
      <c r="K714" t="s">
        <v>28</v>
      </c>
      <c r="L714" t="s">
        <v>29</v>
      </c>
      <c r="M714">
        <v>1</v>
      </c>
      <c r="N714" t="s">
        <v>787</v>
      </c>
      <c r="O714" t="s">
        <v>2287</v>
      </c>
      <c r="P714">
        <v>22.08</v>
      </c>
      <c r="Q714">
        <f t="shared" si="11"/>
        <v>431.57899999999995</v>
      </c>
      <c r="R714">
        <v>3862.1309999999999</v>
      </c>
      <c r="S714" s="2">
        <v>45726</v>
      </c>
      <c r="T714" s="2">
        <v>45733</v>
      </c>
      <c r="U714" t="s">
        <v>35</v>
      </c>
      <c r="V714">
        <v>10</v>
      </c>
      <c r="W714">
        <v>3</v>
      </c>
      <c r="X714" t="s">
        <v>44</v>
      </c>
      <c r="Y714">
        <v>2025</v>
      </c>
      <c r="Z714">
        <v>1</v>
      </c>
      <c r="AA714">
        <v>11</v>
      </c>
    </row>
    <row r="715" spans="1:27" x14ac:dyDescent="0.3">
      <c r="A715" s="2">
        <v>45178</v>
      </c>
      <c r="B715" t="s">
        <v>3</v>
      </c>
      <c r="C715" t="s">
        <v>7</v>
      </c>
      <c r="D715">
        <v>1</v>
      </c>
      <c r="E715">
        <v>223.56</v>
      </c>
      <c r="F715" t="s">
        <v>12</v>
      </c>
      <c r="G715" t="s">
        <v>16</v>
      </c>
      <c r="H715">
        <v>0.15</v>
      </c>
      <c r="I715" t="s">
        <v>23</v>
      </c>
      <c r="J715">
        <v>190.02600000000001</v>
      </c>
      <c r="K715" t="s">
        <v>26</v>
      </c>
      <c r="L715" t="s">
        <v>31</v>
      </c>
      <c r="M715">
        <v>0</v>
      </c>
      <c r="N715" t="s">
        <v>788</v>
      </c>
      <c r="O715" t="s">
        <v>2288</v>
      </c>
      <c r="P715">
        <v>37.840000000000003</v>
      </c>
      <c r="Q715">
        <f t="shared" si="11"/>
        <v>190.02600000000001</v>
      </c>
      <c r="R715">
        <v>152.18600000000001</v>
      </c>
      <c r="S715" s="2">
        <v>45178</v>
      </c>
      <c r="T715" s="2">
        <v>45183</v>
      </c>
      <c r="U715" t="s">
        <v>36</v>
      </c>
      <c r="V715">
        <v>9</v>
      </c>
      <c r="W715">
        <v>9</v>
      </c>
      <c r="X715" t="s">
        <v>49</v>
      </c>
      <c r="Y715">
        <v>2023</v>
      </c>
      <c r="Z715">
        <v>3</v>
      </c>
      <c r="AA715">
        <v>36</v>
      </c>
    </row>
    <row r="716" spans="1:27" x14ac:dyDescent="0.3">
      <c r="A716" s="2">
        <v>45074</v>
      </c>
      <c r="B716" t="s">
        <v>2</v>
      </c>
      <c r="C716" t="s">
        <v>10</v>
      </c>
      <c r="D716">
        <v>2</v>
      </c>
      <c r="E716">
        <v>294.27</v>
      </c>
      <c r="F716" t="s">
        <v>14</v>
      </c>
      <c r="G716" t="s">
        <v>17</v>
      </c>
      <c r="H716">
        <v>0.1</v>
      </c>
      <c r="I716" t="s">
        <v>22</v>
      </c>
      <c r="J716">
        <v>529.68600000000004</v>
      </c>
      <c r="K716" t="s">
        <v>25</v>
      </c>
      <c r="L716" t="s">
        <v>32</v>
      </c>
      <c r="M716">
        <v>0</v>
      </c>
      <c r="N716" t="s">
        <v>789</v>
      </c>
      <c r="O716" t="s">
        <v>2289</v>
      </c>
      <c r="P716">
        <v>9.0500000000000007</v>
      </c>
      <c r="Q716">
        <f t="shared" si="11"/>
        <v>264.84300000000002</v>
      </c>
      <c r="R716">
        <v>520.63600000000008</v>
      </c>
      <c r="S716" s="2">
        <v>45074</v>
      </c>
      <c r="T716" s="2">
        <v>45078</v>
      </c>
      <c r="U716" t="s">
        <v>35</v>
      </c>
      <c r="V716">
        <v>28</v>
      </c>
      <c r="W716">
        <v>5</v>
      </c>
      <c r="X716" t="s">
        <v>40</v>
      </c>
      <c r="Y716">
        <v>2023</v>
      </c>
      <c r="Z716">
        <v>2</v>
      </c>
      <c r="AA716">
        <v>21</v>
      </c>
    </row>
    <row r="717" spans="1:27" x14ac:dyDescent="0.3">
      <c r="A717" s="2">
        <v>45798</v>
      </c>
      <c r="B717" t="s">
        <v>4</v>
      </c>
      <c r="C717" t="s">
        <v>9</v>
      </c>
      <c r="D717">
        <v>1</v>
      </c>
      <c r="E717">
        <v>319.49</v>
      </c>
      <c r="F717" t="s">
        <v>14</v>
      </c>
      <c r="G717" t="s">
        <v>16</v>
      </c>
      <c r="H717">
        <v>0.15</v>
      </c>
      <c r="I717" t="s">
        <v>22</v>
      </c>
      <c r="J717">
        <v>271.56650000000002</v>
      </c>
      <c r="K717" t="s">
        <v>24</v>
      </c>
      <c r="L717" t="s">
        <v>29</v>
      </c>
      <c r="M717">
        <v>1</v>
      </c>
      <c r="N717" t="s">
        <v>790</v>
      </c>
      <c r="O717" t="s">
        <v>2290</v>
      </c>
      <c r="P717">
        <v>18.100000000000001</v>
      </c>
      <c r="Q717">
        <f t="shared" si="11"/>
        <v>271.56650000000002</v>
      </c>
      <c r="R717">
        <v>253.46650000000002</v>
      </c>
      <c r="S717" s="2">
        <v>45798</v>
      </c>
      <c r="T717" s="2">
        <v>45808</v>
      </c>
      <c r="U717" t="s">
        <v>37</v>
      </c>
      <c r="V717">
        <v>21</v>
      </c>
      <c r="W717">
        <v>5</v>
      </c>
      <c r="X717" t="s">
        <v>40</v>
      </c>
      <c r="Y717">
        <v>2025</v>
      </c>
      <c r="Z717">
        <v>2</v>
      </c>
      <c r="AA717">
        <v>21</v>
      </c>
    </row>
    <row r="718" spans="1:27" x14ac:dyDescent="0.3">
      <c r="A718" s="2">
        <v>45199</v>
      </c>
      <c r="B718" t="s">
        <v>0</v>
      </c>
      <c r="C718" t="s">
        <v>5</v>
      </c>
      <c r="D718">
        <v>14</v>
      </c>
      <c r="E718">
        <v>243.96</v>
      </c>
      <c r="F718" t="s">
        <v>15</v>
      </c>
      <c r="G718" t="s">
        <v>16</v>
      </c>
      <c r="H718">
        <v>0.05</v>
      </c>
      <c r="I718" t="s">
        <v>22</v>
      </c>
      <c r="J718">
        <v>3244.6680000000001</v>
      </c>
      <c r="K718" t="s">
        <v>24</v>
      </c>
      <c r="L718" t="s">
        <v>32</v>
      </c>
      <c r="M718">
        <v>1</v>
      </c>
      <c r="N718" t="s">
        <v>791</v>
      </c>
      <c r="O718" t="s">
        <v>2291</v>
      </c>
      <c r="P718">
        <v>13.24</v>
      </c>
      <c r="Q718">
        <f t="shared" si="11"/>
        <v>231.762</v>
      </c>
      <c r="R718">
        <v>3231.4280000000003</v>
      </c>
      <c r="S718" s="2">
        <v>45199</v>
      </c>
      <c r="T718" s="2">
        <v>45203</v>
      </c>
      <c r="U718" t="s">
        <v>33</v>
      </c>
      <c r="V718">
        <v>30</v>
      </c>
      <c r="W718">
        <v>9</v>
      </c>
      <c r="X718" t="s">
        <v>49</v>
      </c>
      <c r="Y718">
        <v>2023</v>
      </c>
      <c r="Z718">
        <v>3</v>
      </c>
      <c r="AA718">
        <v>39</v>
      </c>
    </row>
    <row r="719" spans="1:27" x14ac:dyDescent="0.3">
      <c r="A719" s="2">
        <v>45573</v>
      </c>
      <c r="B719" t="s">
        <v>1</v>
      </c>
      <c r="C719" t="s">
        <v>5</v>
      </c>
      <c r="D719">
        <v>6</v>
      </c>
      <c r="E719">
        <v>48.48</v>
      </c>
      <c r="F719" t="s">
        <v>15</v>
      </c>
      <c r="G719" t="s">
        <v>17</v>
      </c>
      <c r="H719">
        <v>0.1</v>
      </c>
      <c r="I719" t="s">
        <v>22</v>
      </c>
      <c r="J719">
        <v>261.79199999999997</v>
      </c>
      <c r="K719" t="s">
        <v>24</v>
      </c>
      <c r="L719" t="s">
        <v>32</v>
      </c>
      <c r="M719">
        <v>0</v>
      </c>
      <c r="N719" t="s">
        <v>792</v>
      </c>
      <c r="O719" t="s">
        <v>2292</v>
      </c>
      <c r="P719">
        <v>6.11</v>
      </c>
      <c r="Q719">
        <f t="shared" si="11"/>
        <v>43.631999999999998</v>
      </c>
      <c r="R719">
        <v>255.68199999999996</v>
      </c>
      <c r="S719" s="2">
        <v>45573</v>
      </c>
      <c r="T719" s="2">
        <v>45578</v>
      </c>
      <c r="U719" t="s">
        <v>34</v>
      </c>
      <c r="V719">
        <v>8</v>
      </c>
      <c r="W719">
        <v>10</v>
      </c>
      <c r="X719" t="s">
        <v>43</v>
      </c>
      <c r="Y719">
        <v>2024</v>
      </c>
      <c r="Z719">
        <v>4</v>
      </c>
      <c r="AA719">
        <v>41</v>
      </c>
    </row>
    <row r="720" spans="1:27" x14ac:dyDescent="0.3">
      <c r="A720" s="2">
        <v>45030</v>
      </c>
      <c r="B720" t="s">
        <v>0</v>
      </c>
      <c r="C720" t="s">
        <v>5</v>
      </c>
      <c r="D720">
        <v>20</v>
      </c>
      <c r="E720">
        <v>87.47</v>
      </c>
      <c r="F720" t="s">
        <v>12</v>
      </c>
      <c r="G720" t="s">
        <v>17</v>
      </c>
      <c r="H720">
        <v>0</v>
      </c>
      <c r="I720" t="s">
        <v>21</v>
      </c>
      <c r="J720">
        <v>1749.4</v>
      </c>
      <c r="K720" t="s">
        <v>24</v>
      </c>
      <c r="L720" t="s">
        <v>31</v>
      </c>
      <c r="M720">
        <v>0</v>
      </c>
      <c r="N720" t="s">
        <v>793</v>
      </c>
      <c r="O720" t="s">
        <v>2293</v>
      </c>
      <c r="P720">
        <v>48.48</v>
      </c>
      <c r="Q720">
        <f t="shared" si="11"/>
        <v>87.47</v>
      </c>
      <c r="R720">
        <v>1700.92</v>
      </c>
      <c r="S720" s="2">
        <v>45030</v>
      </c>
      <c r="T720" s="2">
        <v>45039</v>
      </c>
      <c r="U720" t="s">
        <v>33</v>
      </c>
      <c r="V720">
        <v>14</v>
      </c>
      <c r="W720">
        <v>4</v>
      </c>
      <c r="X720" t="s">
        <v>45</v>
      </c>
      <c r="Y720">
        <v>2023</v>
      </c>
      <c r="Z720">
        <v>2</v>
      </c>
      <c r="AA720">
        <v>15</v>
      </c>
    </row>
    <row r="721" spans="1:27" x14ac:dyDescent="0.3">
      <c r="A721" s="2">
        <v>44990</v>
      </c>
      <c r="B721" t="s">
        <v>1</v>
      </c>
      <c r="C721" t="s">
        <v>9</v>
      </c>
      <c r="D721">
        <v>17</v>
      </c>
      <c r="E721">
        <v>465.6</v>
      </c>
      <c r="F721" t="s">
        <v>14</v>
      </c>
      <c r="G721" t="s">
        <v>17</v>
      </c>
      <c r="H721">
        <v>0.1</v>
      </c>
      <c r="I721" t="s">
        <v>23</v>
      </c>
      <c r="J721">
        <v>7123.6800000000012</v>
      </c>
      <c r="K721" t="s">
        <v>27</v>
      </c>
      <c r="L721" t="s">
        <v>30</v>
      </c>
      <c r="M721">
        <v>0</v>
      </c>
      <c r="N721" t="s">
        <v>794</v>
      </c>
      <c r="O721" t="s">
        <v>2294</v>
      </c>
      <c r="P721">
        <v>7.76</v>
      </c>
      <c r="Q721">
        <f t="shared" si="11"/>
        <v>419.04000000000008</v>
      </c>
      <c r="R721">
        <v>7115.920000000001</v>
      </c>
      <c r="S721" s="2">
        <v>44990</v>
      </c>
      <c r="T721" s="2">
        <v>44995</v>
      </c>
      <c r="U721" t="s">
        <v>34</v>
      </c>
      <c r="V721">
        <v>5</v>
      </c>
      <c r="W721">
        <v>3</v>
      </c>
      <c r="X721" t="s">
        <v>44</v>
      </c>
      <c r="Y721">
        <v>2023</v>
      </c>
      <c r="Z721">
        <v>1</v>
      </c>
      <c r="AA721">
        <v>9</v>
      </c>
    </row>
    <row r="722" spans="1:27" x14ac:dyDescent="0.3">
      <c r="A722" s="2">
        <v>45490</v>
      </c>
      <c r="B722" t="s">
        <v>2</v>
      </c>
      <c r="C722" t="s">
        <v>7</v>
      </c>
      <c r="D722">
        <v>17</v>
      </c>
      <c r="E722">
        <v>279.38</v>
      </c>
      <c r="F722" t="s">
        <v>12</v>
      </c>
      <c r="G722" t="s">
        <v>16</v>
      </c>
      <c r="H722">
        <v>0.05</v>
      </c>
      <c r="I722" t="s">
        <v>20</v>
      </c>
      <c r="J722">
        <v>4511.9870000000001</v>
      </c>
      <c r="K722" t="s">
        <v>26</v>
      </c>
      <c r="L722" t="s">
        <v>31</v>
      </c>
      <c r="M722">
        <v>0</v>
      </c>
      <c r="N722" t="s">
        <v>795</v>
      </c>
      <c r="O722" t="s">
        <v>2295</v>
      </c>
      <c r="P722">
        <v>30.3</v>
      </c>
      <c r="Q722">
        <f t="shared" si="11"/>
        <v>265.411</v>
      </c>
      <c r="R722">
        <v>4481.6869999999999</v>
      </c>
      <c r="S722" s="2">
        <v>45490</v>
      </c>
      <c r="T722" s="2">
        <v>45493</v>
      </c>
      <c r="U722" t="s">
        <v>35</v>
      </c>
      <c r="V722">
        <v>17</v>
      </c>
      <c r="W722">
        <v>7</v>
      </c>
      <c r="X722" t="s">
        <v>46</v>
      </c>
      <c r="Y722">
        <v>2024</v>
      </c>
      <c r="Z722">
        <v>3</v>
      </c>
      <c r="AA722">
        <v>29</v>
      </c>
    </row>
    <row r="723" spans="1:27" x14ac:dyDescent="0.3">
      <c r="A723" s="2">
        <v>45432</v>
      </c>
      <c r="B723" t="s">
        <v>2</v>
      </c>
      <c r="C723" t="s">
        <v>10</v>
      </c>
      <c r="D723">
        <v>16</v>
      </c>
      <c r="E723">
        <v>427.68</v>
      </c>
      <c r="F723" t="s">
        <v>13</v>
      </c>
      <c r="G723" t="s">
        <v>17</v>
      </c>
      <c r="H723">
        <v>0.1</v>
      </c>
      <c r="I723" t="s">
        <v>21</v>
      </c>
      <c r="J723">
        <v>6158.5920000000006</v>
      </c>
      <c r="K723" t="s">
        <v>27</v>
      </c>
      <c r="L723" t="s">
        <v>32</v>
      </c>
      <c r="M723">
        <v>0</v>
      </c>
      <c r="N723" t="s">
        <v>796</v>
      </c>
      <c r="O723" t="s">
        <v>2296</v>
      </c>
      <c r="P723">
        <v>18.72</v>
      </c>
      <c r="Q723">
        <f t="shared" si="11"/>
        <v>384.91200000000003</v>
      </c>
      <c r="R723">
        <v>6139.8720000000003</v>
      </c>
      <c r="S723" s="2">
        <v>45432</v>
      </c>
      <c r="T723" s="2">
        <v>45441</v>
      </c>
      <c r="U723" t="s">
        <v>35</v>
      </c>
      <c r="V723">
        <v>20</v>
      </c>
      <c r="W723">
        <v>5</v>
      </c>
      <c r="X723" t="s">
        <v>40</v>
      </c>
      <c r="Y723">
        <v>2024</v>
      </c>
      <c r="Z723">
        <v>2</v>
      </c>
      <c r="AA723">
        <v>21</v>
      </c>
    </row>
    <row r="724" spans="1:27" x14ac:dyDescent="0.3">
      <c r="A724" s="2">
        <v>45783</v>
      </c>
      <c r="B724" t="s">
        <v>2</v>
      </c>
      <c r="C724" t="s">
        <v>5</v>
      </c>
      <c r="D724">
        <v>15</v>
      </c>
      <c r="E724">
        <v>281.73</v>
      </c>
      <c r="F724" t="s">
        <v>12</v>
      </c>
      <c r="G724" t="s">
        <v>16</v>
      </c>
      <c r="H724">
        <v>0.1</v>
      </c>
      <c r="I724" t="s">
        <v>23</v>
      </c>
      <c r="J724">
        <v>3803.3550000000009</v>
      </c>
      <c r="K724" t="s">
        <v>26</v>
      </c>
      <c r="L724" t="s">
        <v>31</v>
      </c>
      <c r="M724">
        <v>0</v>
      </c>
      <c r="N724" t="s">
        <v>797</v>
      </c>
      <c r="O724" t="s">
        <v>2297</v>
      </c>
      <c r="P724">
        <v>36.869999999999997</v>
      </c>
      <c r="Q724">
        <f t="shared" si="11"/>
        <v>253.55700000000007</v>
      </c>
      <c r="R724">
        <v>3766.485000000001</v>
      </c>
      <c r="S724" s="2">
        <v>45783</v>
      </c>
      <c r="T724" s="2">
        <v>45787</v>
      </c>
      <c r="U724" t="s">
        <v>35</v>
      </c>
      <c r="V724">
        <v>6</v>
      </c>
      <c r="W724">
        <v>5</v>
      </c>
      <c r="X724" t="s">
        <v>40</v>
      </c>
      <c r="Y724">
        <v>2025</v>
      </c>
      <c r="Z724">
        <v>2</v>
      </c>
      <c r="AA724">
        <v>19</v>
      </c>
    </row>
    <row r="725" spans="1:27" x14ac:dyDescent="0.3">
      <c r="A725" s="2">
        <v>44941</v>
      </c>
      <c r="B725" t="s">
        <v>2</v>
      </c>
      <c r="C725" t="s">
        <v>7</v>
      </c>
      <c r="D725">
        <v>15</v>
      </c>
      <c r="E725">
        <v>185</v>
      </c>
      <c r="F725" t="s">
        <v>12</v>
      </c>
      <c r="G725" t="s">
        <v>16</v>
      </c>
      <c r="H725">
        <v>0</v>
      </c>
      <c r="I725" t="s">
        <v>19</v>
      </c>
      <c r="J725">
        <v>2775</v>
      </c>
      <c r="K725" t="s">
        <v>28</v>
      </c>
      <c r="L725" t="s">
        <v>29</v>
      </c>
      <c r="M725">
        <v>0</v>
      </c>
      <c r="N725" t="s">
        <v>798</v>
      </c>
      <c r="O725" t="s">
        <v>2298</v>
      </c>
      <c r="P725">
        <v>29.31</v>
      </c>
      <c r="Q725">
        <f t="shared" si="11"/>
        <v>185</v>
      </c>
      <c r="R725">
        <v>2745.69</v>
      </c>
      <c r="S725" s="2">
        <v>44941</v>
      </c>
      <c r="T725" s="2">
        <v>44943</v>
      </c>
      <c r="U725" t="s">
        <v>35</v>
      </c>
      <c r="V725">
        <v>15</v>
      </c>
      <c r="W725">
        <v>1</v>
      </c>
      <c r="X725" t="s">
        <v>42</v>
      </c>
      <c r="Y725">
        <v>2023</v>
      </c>
      <c r="Z725">
        <v>1</v>
      </c>
      <c r="AA725">
        <v>2</v>
      </c>
    </row>
    <row r="726" spans="1:27" x14ac:dyDescent="0.3">
      <c r="A726" s="2">
        <v>45300</v>
      </c>
      <c r="B726" t="s">
        <v>3</v>
      </c>
      <c r="C726" t="s">
        <v>9</v>
      </c>
      <c r="D726">
        <v>19</v>
      </c>
      <c r="E726">
        <v>380.82</v>
      </c>
      <c r="F726" t="s">
        <v>15</v>
      </c>
      <c r="G726" t="s">
        <v>16</v>
      </c>
      <c r="H726">
        <v>0.1</v>
      </c>
      <c r="I726" t="s">
        <v>22</v>
      </c>
      <c r="J726">
        <v>6512.0219999999999</v>
      </c>
      <c r="K726" t="s">
        <v>26</v>
      </c>
      <c r="L726" t="s">
        <v>30</v>
      </c>
      <c r="M726">
        <v>0</v>
      </c>
      <c r="N726" t="s">
        <v>799</v>
      </c>
      <c r="O726" t="s">
        <v>2299</v>
      </c>
      <c r="P726">
        <v>48.73</v>
      </c>
      <c r="Q726">
        <f t="shared" si="11"/>
        <v>342.738</v>
      </c>
      <c r="R726">
        <v>6463.2920000000004</v>
      </c>
      <c r="S726" s="2">
        <v>45300</v>
      </c>
      <c r="T726" s="2">
        <v>45303</v>
      </c>
      <c r="U726" t="s">
        <v>36</v>
      </c>
      <c r="V726">
        <v>9</v>
      </c>
      <c r="W726">
        <v>1</v>
      </c>
      <c r="X726" t="s">
        <v>42</v>
      </c>
      <c r="Y726">
        <v>2024</v>
      </c>
      <c r="Z726">
        <v>1</v>
      </c>
      <c r="AA726">
        <v>2</v>
      </c>
    </row>
    <row r="727" spans="1:27" x14ac:dyDescent="0.3">
      <c r="A727" s="2">
        <v>45119</v>
      </c>
      <c r="B727" t="s">
        <v>1</v>
      </c>
      <c r="C727" t="s">
        <v>8</v>
      </c>
      <c r="D727">
        <v>4</v>
      </c>
      <c r="E727">
        <v>444.87</v>
      </c>
      <c r="F727" t="s">
        <v>12</v>
      </c>
      <c r="G727" t="s">
        <v>17</v>
      </c>
      <c r="H727">
        <v>0.15</v>
      </c>
      <c r="I727" t="s">
        <v>21</v>
      </c>
      <c r="J727">
        <v>1512.558</v>
      </c>
      <c r="K727" t="s">
        <v>24</v>
      </c>
      <c r="L727" t="s">
        <v>29</v>
      </c>
      <c r="M727">
        <v>0</v>
      </c>
      <c r="N727" t="s">
        <v>800</v>
      </c>
      <c r="O727" t="s">
        <v>2300</v>
      </c>
      <c r="P727">
        <v>47.14</v>
      </c>
      <c r="Q727">
        <f t="shared" si="11"/>
        <v>378.1395</v>
      </c>
      <c r="R727">
        <v>1465.4179999999999</v>
      </c>
      <c r="S727" s="2">
        <v>45119</v>
      </c>
      <c r="T727" s="2">
        <v>45128</v>
      </c>
      <c r="U727" t="s">
        <v>34</v>
      </c>
      <c r="V727">
        <v>12</v>
      </c>
      <c r="W727">
        <v>7</v>
      </c>
      <c r="X727" t="s">
        <v>46</v>
      </c>
      <c r="Y727">
        <v>2023</v>
      </c>
      <c r="Z727">
        <v>3</v>
      </c>
      <c r="AA727">
        <v>28</v>
      </c>
    </row>
    <row r="728" spans="1:27" x14ac:dyDescent="0.3">
      <c r="A728" s="2">
        <v>45829</v>
      </c>
      <c r="B728" t="s">
        <v>0</v>
      </c>
      <c r="C728" t="s">
        <v>8</v>
      </c>
      <c r="D728">
        <v>7</v>
      </c>
      <c r="E728">
        <v>590.79</v>
      </c>
      <c r="F728" t="s">
        <v>12</v>
      </c>
      <c r="G728" t="s">
        <v>17</v>
      </c>
      <c r="H728">
        <v>0.05</v>
      </c>
      <c r="I728" t="s">
        <v>18</v>
      </c>
      <c r="J728">
        <v>3928.7534999999989</v>
      </c>
      <c r="K728" t="s">
        <v>28</v>
      </c>
      <c r="L728" t="s">
        <v>29</v>
      </c>
      <c r="M728">
        <v>1</v>
      </c>
      <c r="N728" t="s">
        <v>801</v>
      </c>
      <c r="O728" t="s">
        <v>2301</v>
      </c>
      <c r="P728">
        <v>41.39</v>
      </c>
      <c r="Q728">
        <f t="shared" si="11"/>
        <v>561.25049999999987</v>
      </c>
      <c r="R728">
        <v>3887.363499999999</v>
      </c>
      <c r="S728" s="2">
        <v>45829</v>
      </c>
      <c r="T728" s="2">
        <v>45834</v>
      </c>
      <c r="U728" t="s">
        <v>33</v>
      </c>
      <c r="V728">
        <v>21</v>
      </c>
      <c r="W728">
        <v>6</v>
      </c>
      <c r="X728" t="s">
        <v>41</v>
      </c>
      <c r="Y728">
        <v>2025</v>
      </c>
      <c r="Z728">
        <v>2</v>
      </c>
      <c r="AA728">
        <v>25</v>
      </c>
    </row>
    <row r="729" spans="1:27" x14ac:dyDescent="0.3">
      <c r="A729" s="2">
        <v>45655</v>
      </c>
      <c r="B729" t="s">
        <v>2</v>
      </c>
      <c r="C729" t="s">
        <v>11</v>
      </c>
      <c r="D729">
        <v>5</v>
      </c>
      <c r="E729">
        <v>34.58</v>
      </c>
      <c r="F729" t="s">
        <v>13</v>
      </c>
      <c r="G729" t="s">
        <v>17</v>
      </c>
      <c r="H729">
        <v>0.1</v>
      </c>
      <c r="I729" t="s">
        <v>20</v>
      </c>
      <c r="J729">
        <v>155.61000000000001</v>
      </c>
      <c r="K729" t="s">
        <v>25</v>
      </c>
      <c r="L729" t="s">
        <v>31</v>
      </c>
      <c r="M729">
        <v>0</v>
      </c>
      <c r="N729" t="s">
        <v>802</v>
      </c>
      <c r="O729" t="s">
        <v>2302</v>
      </c>
      <c r="P729">
        <v>27.1</v>
      </c>
      <c r="Q729">
        <f t="shared" si="11"/>
        <v>31.122000000000003</v>
      </c>
      <c r="R729">
        <v>128.51000000000002</v>
      </c>
      <c r="S729" s="2">
        <v>45655</v>
      </c>
      <c r="T729" s="2">
        <v>45659</v>
      </c>
      <c r="U729" t="s">
        <v>35</v>
      </c>
      <c r="V729">
        <v>29</v>
      </c>
      <c r="W729">
        <v>12</v>
      </c>
      <c r="X729" t="s">
        <v>39</v>
      </c>
      <c r="Y729">
        <v>2024</v>
      </c>
      <c r="Z729">
        <v>4</v>
      </c>
      <c r="AA729">
        <v>52</v>
      </c>
    </row>
    <row r="730" spans="1:27" x14ac:dyDescent="0.3">
      <c r="A730" s="2">
        <v>45069</v>
      </c>
      <c r="B730" t="s">
        <v>4</v>
      </c>
      <c r="C730" t="s">
        <v>10</v>
      </c>
      <c r="D730">
        <v>9</v>
      </c>
      <c r="E730">
        <v>438.22</v>
      </c>
      <c r="F730" t="s">
        <v>15</v>
      </c>
      <c r="G730" t="s">
        <v>17</v>
      </c>
      <c r="H730">
        <v>0.05</v>
      </c>
      <c r="I730" t="s">
        <v>23</v>
      </c>
      <c r="J730">
        <v>3746.7809999999999</v>
      </c>
      <c r="K730" t="s">
        <v>28</v>
      </c>
      <c r="L730" t="s">
        <v>32</v>
      </c>
      <c r="M730">
        <v>0</v>
      </c>
      <c r="N730" t="s">
        <v>803</v>
      </c>
      <c r="O730" t="s">
        <v>2303</v>
      </c>
      <c r="P730">
        <v>22.73</v>
      </c>
      <c r="Q730">
        <f t="shared" si="11"/>
        <v>416.30899999999997</v>
      </c>
      <c r="R730">
        <v>3724.0509999999999</v>
      </c>
      <c r="S730" s="2">
        <v>45069</v>
      </c>
      <c r="T730" s="2">
        <v>45075</v>
      </c>
      <c r="U730" t="s">
        <v>37</v>
      </c>
      <c r="V730">
        <v>23</v>
      </c>
      <c r="W730">
        <v>5</v>
      </c>
      <c r="X730" t="s">
        <v>40</v>
      </c>
      <c r="Y730">
        <v>2023</v>
      </c>
      <c r="Z730">
        <v>2</v>
      </c>
      <c r="AA730">
        <v>21</v>
      </c>
    </row>
    <row r="731" spans="1:27" x14ac:dyDescent="0.3">
      <c r="A731" s="2">
        <v>45385</v>
      </c>
      <c r="B731" t="s">
        <v>3</v>
      </c>
      <c r="C731" t="s">
        <v>7</v>
      </c>
      <c r="D731">
        <v>5</v>
      </c>
      <c r="E731">
        <v>84.91</v>
      </c>
      <c r="F731" t="s">
        <v>13</v>
      </c>
      <c r="G731" t="s">
        <v>17</v>
      </c>
      <c r="H731">
        <v>0.1</v>
      </c>
      <c r="I731" t="s">
        <v>21</v>
      </c>
      <c r="J731">
        <v>382.09500000000003</v>
      </c>
      <c r="K731" t="s">
        <v>28</v>
      </c>
      <c r="L731" t="s">
        <v>29</v>
      </c>
      <c r="M731">
        <v>1</v>
      </c>
      <c r="N731" t="s">
        <v>804</v>
      </c>
      <c r="O731" t="s">
        <v>2304</v>
      </c>
      <c r="P731">
        <v>29.06</v>
      </c>
      <c r="Q731">
        <f t="shared" si="11"/>
        <v>76.419000000000011</v>
      </c>
      <c r="R731">
        <v>353.03500000000003</v>
      </c>
      <c r="S731" s="2">
        <v>45385</v>
      </c>
      <c r="T731" s="2">
        <v>45391</v>
      </c>
      <c r="U731" t="s">
        <v>36</v>
      </c>
      <c r="V731">
        <v>3</v>
      </c>
      <c r="W731">
        <v>4</v>
      </c>
      <c r="X731" t="s">
        <v>45</v>
      </c>
      <c r="Y731">
        <v>2024</v>
      </c>
      <c r="Z731">
        <v>2</v>
      </c>
      <c r="AA731">
        <v>14</v>
      </c>
    </row>
    <row r="732" spans="1:27" x14ac:dyDescent="0.3">
      <c r="A732" s="2">
        <v>45308</v>
      </c>
      <c r="B732" t="s">
        <v>0</v>
      </c>
      <c r="C732" t="s">
        <v>5</v>
      </c>
      <c r="D732">
        <v>7</v>
      </c>
      <c r="E732">
        <v>322.11</v>
      </c>
      <c r="F732" t="s">
        <v>14</v>
      </c>
      <c r="G732" t="s">
        <v>16</v>
      </c>
      <c r="H732">
        <v>0.1</v>
      </c>
      <c r="I732" t="s">
        <v>22</v>
      </c>
      <c r="J732">
        <v>2029.2929999999999</v>
      </c>
      <c r="K732" t="s">
        <v>27</v>
      </c>
      <c r="L732" t="s">
        <v>30</v>
      </c>
      <c r="M732">
        <v>0</v>
      </c>
      <c r="N732" t="s">
        <v>805</v>
      </c>
      <c r="O732" t="s">
        <v>2305</v>
      </c>
      <c r="P732">
        <v>19.91</v>
      </c>
      <c r="Q732">
        <f t="shared" si="11"/>
        <v>289.899</v>
      </c>
      <c r="R732">
        <v>2009.3829999999998</v>
      </c>
      <c r="S732" s="2">
        <v>45308</v>
      </c>
      <c r="T732" s="2">
        <v>45318</v>
      </c>
      <c r="U732" t="s">
        <v>33</v>
      </c>
      <c r="V732">
        <v>17</v>
      </c>
      <c r="W732">
        <v>1</v>
      </c>
      <c r="X732" t="s">
        <v>42</v>
      </c>
      <c r="Y732">
        <v>2024</v>
      </c>
      <c r="Z732">
        <v>1</v>
      </c>
      <c r="AA732">
        <v>3</v>
      </c>
    </row>
    <row r="733" spans="1:27" x14ac:dyDescent="0.3">
      <c r="A733" s="2">
        <v>45752</v>
      </c>
      <c r="B733" t="s">
        <v>3</v>
      </c>
      <c r="C733" t="s">
        <v>9</v>
      </c>
      <c r="D733">
        <v>2</v>
      </c>
      <c r="E733">
        <v>231.96</v>
      </c>
      <c r="F733" t="s">
        <v>12</v>
      </c>
      <c r="G733" t="s">
        <v>17</v>
      </c>
      <c r="H733">
        <v>0.1</v>
      </c>
      <c r="I733" t="s">
        <v>19</v>
      </c>
      <c r="J733">
        <v>417.52800000000002</v>
      </c>
      <c r="K733" t="s">
        <v>27</v>
      </c>
      <c r="L733" t="s">
        <v>32</v>
      </c>
      <c r="M733">
        <v>1</v>
      </c>
      <c r="N733" t="s">
        <v>806</v>
      </c>
      <c r="O733" t="s">
        <v>2306</v>
      </c>
      <c r="P733">
        <v>32.659999999999997</v>
      </c>
      <c r="Q733">
        <f t="shared" si="11"/>
        <v>208.76400000000001</v>
      </c>
      <c r="R733">
        <v>384.86800000000005</v>
      </c>
      <c r="S733" s="2">
        <v>45752</v>
      </c>
      <c r="T733" s="2">
        <v>45761</v>
      </c>
      <c r="U733" t="s">
        <v>36</v>
      </c>
      <c r="V733">
        <v>5</v>
      </c>
      <c r="W733">
        <v>4</v>
      </c>
      <c r="X733" t="s">
        <v>45</v>
      </c>
      <c r="Y733">
        <v>2025</v>
      </c>
      <c r="Z733">
        <v>2</v>
      </c>
      <c r="AA733">
        <v>14</v>
      </c>
    </row>
    <row r="734" spans="1:27" x14ac:dyDescent="0.3">
      <c r="A734" s="2">
        <v>45764</v>
      </c>
      <c r="B734" t="s">
        <v>3</v>
      </c>
      <c r="C734" t="s">
        <v>8</v>
      </c>
      <c r="D734">
        <v>15</v>
      </c>
      <c r="E734">
        <v>242.07</v>
      </c>
      <c r="F734" t="s">
        <v>13</v>
      </c>
      <c r="G734" t="s">
        <v>16</v>
      </c>
      <c r="H734">
        <v>0.15</v>
      </c>
      <c r="I734" t="s">
        <v>23</v>
      </c>
      <c r="J734">
        <v>3086.392499999999</v>
      </c>
      <c r="K734" t="s">
        <v>26</v>
      </c>
      <c r="L734" t="s">
        <v>32</v>
      </c>
      <c r="M734">
        <v>0</v>
      </c>
      <c r="N734" t="s">
        <v>807</v>
      </c>
      <c r="O734" t="s">
        <v>2307</v>
      </c>
      <c r="P734">
        <v>19.18</v>
      </c>
      <c r="Q734">
        <f t="shared" si="11"/>
        <v>205.75949999999995</v>
      </c>
      <c r="R734">
        <v>3067.2124999999992</v>
      </c>
      <c r="S734" s="2">
        <v>45764</v>
      </c>
      <c r="T734" s="2">
        <v>45770</v>
      </c>
      <c r="U734" t="s">
        <v>36</v>
      </c>
      <c r="V734">
        <v>17</v>
      </c>
      <c r="W734">
        <v>4</v>
      </c>
      <c r="X734" t="s">
        <v>45</v>
      </c>
      <c r="Y734">
        <v>2025</v>
      </c>
      <c r="Z734">
        <v>2</v>
      </c>
      <c r="AA734">
        <v>16</v>
      </c>
    </row>
    <row r="735" spans="1:27" x14ac:dyDescent="0.3">
      <c r="A735" s="2">
        <v>45577</v>
      </c>
      <c r="B735" t="s">
        <v>3</v>
      </c>
      <c r="C735" t="s">
        <v>5</v>
      </c>
      <c r="D735">
        <v>2</v>
      </c>
      <c r="E735">
        <v>48.02</v>
      </c>
      <c r="F735" t="s">
        <v>14</v>
      </c>
      <c r="G735" t="s">
        <v>17</v>
      </c>
      <c r="H735">
        <v>0.05</v>
      </c>
      <c r="I735" t="s">
        <v>21</v>
      </c>
      <c r="J735">
        <v>91.238</v>
      </c>
      <c r="K735" t="s">
        <v>27</v>
      </c>
      <c r="L735" t="s">
        <v>29</v>
      </c>
      <c r="M735">
        <v>1</v>
      </c>
      <c r="N735" t="s">
        <v>808</v>
      </c>
      <c r="O735" t="s">
        <v>2308</v>
      </c>
      <c r="P735">
        <v>25.81</v>
      </c>
      <c r="Q735">
        <f t="shared" si="11"/>
        <v>45.619</v>
      </c>
      <c r="R735">
        <v>65.427999999999997</v>
      </c>
      <c r="S735" s="2">
        <v>45577</v>
      </c>
      <c r="T735" s="2">
        <v>45580</v>
      </c>
      <c r="U735" t="s">
        <v>36</v>
      </c>
      <c r="V735">
        <v>12</v>
      </c>
      <c r="W735">
        <v>10</v>
      </c>
      <c r="X735" t="s">
        <v>43</v>
      </c>
      <c r="Y735">
        <v>2024</v>
      </c>
      <c r="Z735">
        <v>4</v>
      </c>
      <c r="AA735">
        <v>41</v>
      </c>
    </row>
    <row r="736" spans="1:27" x14ac:dyDescent="0.3">
      <c r="A736" s="2">
        <v>45500</v>
      </c>
      <c r="B736" t="s">
        <v>3</v>
      </c>
      <c r="C736" t="s">
        <v>8</v>
      </c>
      <c r="D736">
        <v>1</v>
      </c>
      <c r="E736">
        <v>534.28</v>
      </c>
      <c r="F736" t="s">
        <v>15</v>
      </c>
      <c r="G736" t="s">
        <v>16</v>
      </c>
      <c r="H736">
        <v>0.1</v>
      </c>
      <c r="I736" t="s">
        <v>18</v>
      </c>
      <c r="J736">
        <v>480.85199999999998</v>
      </c>
      <c r="K736" t="s">
        <v>24</v>
      </c>
      <c r="L736" t="s">
        <v>29</v>
      </c>
      <c r="M736">
        <v>0</v>
      </c>
      <c r="N736" t="s">
        <v>809</v>
      </c>
      <c r="O736" t="s">
        <v>2309</v>
      </c>
      <c r="P736">
        <v>31.3</v>
      </c>
      <c r="Q736">
        <f t="shared" si="11"/>
        <v>480.85199999999998</v>
      </c>
      <c r="R736">
        <v>449.55199999999996</v>
      </c>
      <c r="S736" s="2">
        <v>45500</v>
      </c>
      <c r="T736" s="2">
        <v>45505</v>
      </c>
      <c r="U736" t="s">
        <v>36</v>
      </c>
      <c r="V736">
        <v>27</v>
      </c>
      <c r="W736">
        <v>7</v>
      </c>
      <c r="X736" t="s">
        <v>46</v>
      </c>
      <c r="Y736">
        <v>2024</v>
      </c>
      <c r="Z736">
        <v>3</v>
      </c>
      <c r="AA736">
        <v>30</v>
      </c>
    </row>
    <row r="737" spans="1:27" x14ac:dyDescent="0.3">
      <c r="A737" s="2">
        <v>45667</v>
      </c>
      <c r="B737" t="s">
        <v>4</v>
      </c>
      <c r="C737" t="s">
        <v>10</v>
      </c>
      <c r="D737">
        <v>3</v>
      </c>
      <c r="E737">
        <v>98.15</v>
      </c>
      <c r="F737" t="s">
        <v>15</v>
      </c>
      <c r="G737" t="s">
        <v>16</v>
      </c>
      <c r="H737">
        <v>0.15</v>
      </c>
      <c r="I737" t="s">
        <v>22</v>
      </c>
      <c r="J737">
        <v>250.2825</v>
      </c>
      <c r="K737" t="s">
        <v>27</v>
      </c>
      <c r="L737" t="s">
        <v>30</v>
      </c>
      <c r="M737">
        <v>0</v>
      </c>
      <c r="N737" t="s">
        <v>810</v>
      </c>
      <c r="O737" t="s">
        <v>2310</v>
      </c>
      <c r="P737">
        <v>46.37</v>
      </c>
      <c r="Q737">
        <f t="shared" si="11"/>
        <v>83.427499999999995</v>
      </c>
      <c r="R737">
        <v>203.91249999999999</v>
      </c>
      <c r="S737" s="2">
        <v>45667</v>
      </c>
      <c r="T737" s="2">
        <v>45675</v>
      </c>
      <c r="U737" t="s">
        <v>37</v>
      </c>
      <c r="V737">
        <v>10</v>
      </c>
      <c r="W737">
        <v>1</v>
      </c>
      <c r="X737" t="s">
        <v>42</v>
      </c>
      <c r="Y737">
        <v>2025</v>
      </c>
      <c r="Z737">
        <v>1</v>
      </c>
      <c r="AA737">
        <v>2</v>
      </c>
    </row>
    <row r="738" spans="1:27" x14ac:dyDescent="0.3">
      <c r="A738" s="2">
        <v>45498</v>
      </c>
      <c r="B738" t="s">
        <v>1</v>
      </c>
      <c r="C738" t="s">
        <v>8</v>
      </c>
      <c r="D738">
        <v>12</v>
      </c>
      <c r="E738">
        <v>61.85</v>
      </c>
      <c r="F738" t="s">
        <v>15</v>
      </c>
      <c r="G738" t="s">
        <v>16</v>
      </c>
      <c r="H738">
        <v>0.05</v>
      </c>
      <c r="I738" t="s">
        <v>19</v>
      </c>
      <c r="J738">
        <v>705.09</v>
      </c>
      <c r="K738" t="s">
        <v>26</v>
      </c>
      <c r="L738" t="s">
        <v>32</v>
      </c>
      <c r="M738">
        <v>1</v>
      </c>
      <c r="N738" t="s">
        <v>811</v>
      </c>
      <c r="O738" t="s">
        <v>2311</v>
      </c>
      <c r="P738">
        <v>24.34</v>
      </c>
      <c r="Q738">
        <f t="shared" si="11"/>
        <v>58.7575</v>
      </c>
      <c r="R738">
        <v>680.75</v>
      </c>
      <c r="S738" s="2">
        <v>45498</v>
      </c>
      <c r="T738" s="2">
        <v>45504</v>
      </c>
      <c r="U738" t="s">
        <v>34</v>
      </c>
      <c r="V738">
        <v>25</v>
      </c>
      <c r="W738">
        <v>7</v>
      </c>
      <c r="X738" t="s">
        <v>46</v>
      </c>
      <c r="Y738">
        <v>2024</v>
      </c>
      <c r="Z738">
        <v>3</v>
      </c>
      <c r="AA738">
        <v>30</v>
      </c>
    </row>
    <row r="739" spans="1:27" x14ac:dyDescent="0.3">
      <c r="A739" s="2">
        <v>45434</v>
      </c>
      <c r="B739" t="s">
        <v>4</v>
      </c>
      <c r="C739" t="s">
        <v>10</v>
      </c>
      <c r="D739">
        <v>6</v>
      </c>
      <c r="E739">
        <v>268.33999999999997</v>
      </c>
      <c r="F739" t="s">
        <v>13</v>
      </c>
      <c r="G739" t="s">
        <v>16</v>
      </c>
      <c r="H739">
        <v>0.1</v>
      </c>
      <c r="I739" t="s">
        <v>22</v>
      </c>
      <c r="J739">
        <v>1449.0360000000001</v>
      </c>
      <c r="K739" t="s">
        <v>27</v>
      </c>
      <c r="L739" t="s">
        <v>31</v>
      </c>
      <c r="M739">
        <v>1</v>
      </c>
      <c r="N739" t="s">
        <v>812</v>
      </c>
      <c r="O739" t="s">
        <v>2312</v>
      </c>
      <c r="P739">
        <v>35.69</v>
      </c>
      <c r="Q739">
        <f t="shared" si="11"/>
        <v>241.506</v>
      </c>
      <c r="R739">
        <v>1413.346</v>
      </c>
      <c r="S739" s="2">
        <v>45434</v>
      </c>
      <c r="T739" s="2">
        <v>45437</v>
      </c>
      <c r="U739" t="s">
        <v>37</v>
      </c>
      <c r="V739">
        <v>22</v>
      </c>
      <c r="W739">
        <v>5</v>
      </c>
      <c r="X739" t="s">
        <v>40</v>
      </c>
      <c r="Y739">
        <v>2024</v>
      </c>
      <c r="Z739">
        <v>2</v>
      </c>
      <c r="AA739">
        <v>21</v>
      </c>
    </row>
    <row r="740" spans="1:27" x14ac:dyDescent="0.3">
      <c r="A740" s="2">
        <v>45514</v>
      </c>
      <c r="B740" t="s">
        <v>3</v>
      </c>
      <c r="C740" t="s">
        <v>7</v>
      </c>
      <c r="D740">
        <v>4</v>
      </c>
      <c r="E740">
        <v>529.03</v>
      </c>
      <c r="F740" t="s">
        <v>12</v>
      </c>
      <c r="G740" t="s">
        <v>16</v>
      </c>
      <c r="H740">
        <v>0.05</v>
      </c>
      <c r="I740" t="s">
        <v>21</v>
      </c>
      <c r="J740">
        <v>2010.3140000000001</v>
      </c>
      <c r="K740" t="s">
        <v>24</v>
      </c>
      <c r="L740" t="s">
        <v>30</v>
      </c>
      <c r="M740">
        <v>0</v>
      </c>
      <c r="N740" t="s">
        <v>813</v>
      </c>
      <c r="O740" t="s">
        <v>2313</v>
      </c>
      <c r="P740">
        <v>25.96</v>
      </c>
      <c r="Q740">
        <f t="shared" si="11"/>
        <v>502.57850000000002</v>
      </c>
      <c r="R740">
        <v>1984.354</v>
      </c>
      <c r="S740" s="2">
        <v>45514</v>
      </c>
      <c r="T740" s="2">
        <v>45524</v>
      </c>
      <c r="U740" t="s">
        <v>36</v>
      </c>
      <c r="V740">
        <v>10</v>
      </c>
      <c r="W740">
        <v>8</v>
      </c>
      <c r="X740" t="s">
        <v>48</v>
      </c>
      <c r="Y740">
        <v>2024</v>
      </c>
      <c r="Z740">
        <v>3</v>
      </c>
      <c r="AA740">
        <v>32</v>
      </c>
    </row>
    <row r="741" spans="1:27" x14ac:dyDescent="0.3">
      <c r="A741" s="2">
        <v>45043</v>
      </c>
      <c r="B741" t="s">
        <v>4</v>
      </c>
      <c r="C741" t="s">
        <v>10</v>
      </c>
      <c r="D741">
        <v>2</v>
      </c>
      <c r="E741">
        <v>107.32</v>
      </c>
      <c r="F741" t="s">
        <v>12</v>
      </c>
      <c r="G741" t="s">
        <v>17</v>
      </c>
      <c r="H741">
        <v>0.05</v>
      </c>
      <c r="I741" t="s">
        <v>19</v>
      </c>
      <c r="J741">
        <v>203.90799999999999</v>
      </c>
      <c r="K741" t="s">
        <v>26</v>
      </c>
      <c r="L741" t="s">
        <v>32</v>
      </c>
      <c r="M741">
        <v>0</v>
      </c>
      <c r="N741" t="s">
        <v>814</v>
      </c>
      <c r="O741" t="s">
        <v>2314</v>
      </c>
      <c r="P741">
        <v>47.33</v>
      </c>
      <c r="Q741">
        <f t="shared" si="11"/>
        <v>101.95399999999999</v>
      </c>
      <c r="R741">
        <v>156.57799999999997</v>
      </c>
      <c r="S741" s="2">
        <v>45043</v>
      </c>
      <c r="T741" s="2">
        <v>45045</v>
      </c>
      <c r="U741" t="s">
        <v>37</v>
      </c>
      <c r="V741">
        <v>27</v>
      </c>
      <c r="W741">
        <v>4</v>
      </c>
      <c r="X741" t="s">
        <v>45</v>
      </c>
      <c r="Y741">
        <v>2023</v>
      </c>
      <c r="Z741">
        <v>2</v>
      </c>
      <c r="AA741">
        <v>17</v>
      </c>
    </row>
    <row r="742" spans="1:27" x14ac:dyDescent="0.3">
      <c r="A742" s="2">
        <v>45098</v>
      </c>
      <c r="B742" t="s">
        <v>1</v>
      </c>
      <c r="C742" t="s">
        <v>10</v>
      </c>
      <c r="D742">
        <v>1</v>
      </c>
      <c r="E742">
        <v>500.96</v>
      </c>
      <c r="F742" t="s">
        <v>14</v>
      </c>
      <c r="G742" t="s">
        <v>16</v>
      </c>
      <c r="H742">
        <v>0.05</v>
      </c>
      <c r="I742" t="s">
        <v>20</v>
      </c>
      <c r="J742">
        <v>475.91199999999998</v>
      </c>
      <c r="K742" t="s">
        <v>24</v>
      </c>
      <c r="L742" t="s">
        <v>31</v>
      </c>
      <c r="M742">
        <v>0</v>
      </c>
      <c r="N742" t="s">
        <v>815</v>
      </c>
      <c r="O742" t="s">
        <v>2315</v>
      </c>
      <c r="P742">
        <v>42.1</v>
      </c>
      <c r="Q742">
        <f t="shared" si="11"/>
        <v>475.91199999999998</v>
      </c>
      <c r="R742">
        <v>433.81199999999995</v>
      </c>
      <c r="S742" s="2">
        <v>45098</v>
      </c>
      <c r="T742" s="2">
        <v>45102</v>
      </c>
      <c r="U742" t="s">
        <v>34</v>
      </c>
      <c r="V742">
        <v>21</v>
      </c>
      <c r="W742">
        <v>6</v>
      </c>
      <c r="X742" t="s">
        <v>41</v>
      </c>
      <c r="Y742">
        <v>2023</v>
      </c>
      <c r="Z742">
        <v>2</v>
      </c>
      <c r="AA742">
        <v>25</v>
      </c>
    </row>
    <row r="743" spans="1:27" x14ac:dyDescent="0.3">
      <c r="A743" s="2">
        <v>45576</v>
      </c>
      <c r="B743" t="s">
        <v>4</v>
      </c>
      <c r="C743" t="s">
        <v>11</v>
      </c>
      <c r="D743">
        <v>17</v>
      </c>
      <c r="E743">
        <v>549.78</v>
      </c>
      <c r="F743" t="s">
        <v>12</v>
      </c>
      <c r="G743" t="s">
        <v>16</v>
      </c>
      <c r="H743">
        <v>0.05</v>
      </c>
      <c r="I743" t="s">
        <v>19</v>
      </c>
      <c r="J743">
        <v>8878.9470000000001</v>
      </c>
      <c r="K743" t="s">
        <v>26</v>
      </c>
      <c r="L743" t="s">
        <v>32</v>
      </c>
      <c r="M743">
        <v>1</v>
      </c>
      <c r="N743" t="s">
        <v>816</v>
      </c>
      <c r="O743" t="s">
        <v>2316</v>
      </c>
      <c r="P743">
        <v>44.42</v>
      </c>
      <c r="Q743">
        <f t="shared" si="11"/>
        <v>522.29100000000005</v>
      </c>
      <c r="R743">
        <v>8834.527</v>
      </c>
      <c r="S743" s="2">
        <v>45576</v>
      </c>
      <c r="T743" s="2">
        <v>45579</v>
      </c>
      <c r="U743" t="s">
        <v>37</v>
      </c>
      <c r="V743">
        <v>11</v>
      </c>
      <c r="W743">
        <v>10</v>
      </c>
      <c r="X743" t="s">
        <v>43</v>
      </c>
      <c r="Y743">
        <v>2024</v>
      </c>
      <c r="Z743">
        <v>4</v>
      </c>
      <c r="AA743">
        <v>41</v>
      </c>
    </row>
    <row r="744" spans="1:27" x14ac:dyDescent="0.3">
      <c r="A744" s="2">
        <v>45683</v>
      </c>
      <c r="B744" t="s">
        <v>2</v>
      </c>
      <c r="C744" t="s">
        <v>5</v>
      </c>
      <c r="D744">
        <v>3</v>
      </c>
      <c r="E744">
        <v>58.51</v>
      </c>
      <c r="F744" t="s">
        <v>13</v>
      </c>
      <c r="G744" t="s">
        <v>17</v>
      </c>
      <c r="H744">
        <v>0.05</v>
      </c>
      <c r="I744" t="s">
        <v>21</v>
      </c>
      <c r="J744">
        <v>166.7535</v>
      </c>
      <c r="K744" t="s">
        <v>28</v>
      </c>
      <c r="L744" t="s">
        <v>31</v>
      </c>
      <c r="M744">
        <v>0</v>
      </c>
      <c r="N744" t="s">
        <v>817</v>
      </c>
      <c r="O744" t="s">
        <v>2317</v>
      </c>
      <c r="P744">
        <v>23.57</v>
      </c>
      <c r="Q744">
        <f t="shared" si="11"/>
        <v>55.584499999999998</v>
      </c>
      <c r="R744">
        <v>143.18350000000001</v>
      </c>
      <c r="S744" s="2">
        <v>45683</v>
      </c>
      <c r="T744" s="2">
        <v>45687</v>
      </c>
      <c r="U744" t="s">
        <v>35</v>
      </c>
      <c r="V744">
        <v>26</v>
      </c>
      <c r="W744">
        <v>1</v>
      </c>
      <c r="X744" t="s">
        <v>42</v>
      </c>
      <c r="Y744">
        <v>2025</v>
      </c>
      <c r="Z744">
        <v>1</v>
      </c>
      <c r="AA744">
        <v>4</v>
      </c>
    </row>
    <row r="745" spans="1:27" x14ac:dyDescent="0.3">
      <c r="A745" s="2">
        <v>45461</v>
      </c>
      <c r="B745" t="s">
        <v>1</v>
      </c>
      <c r="C745" t="s">
        <v>8</v>
      </c>
      <c r="D745">
        <v>17</v>
      </c>
      <c r="E745">
        <v>504.08</v>
      </c>
      <c r="F745" t="s">
        <v>13</v>
      </c>
      <c r="G745" t="s">
        <v>16</v>
      </c>
      <c r="H745">
        <v>0.1</v>
      </c>
      <c r="I745" t="s">
        <v>22</v>
      </c>
      <c r="J745">
        <v>7712.4240000000009</v>
      </c>
      <c r="K745" t="s">
        <v>24</v>
      </c>
      <c r="L745" t="s">
        <v>30</v>
      </c>
      <c r="M745">
        <v>0</v>
      </c>
      <c r="N745" t="s">
        <v>818</v>
      </c>
      <c r="O745" t="s">
        <v>2318</v>
      </c>
      <c r="P745">
        <v>26.47</v>
      </c>
      <c r="Q745">
        <f t="shared" si="11"/>
        <v>453.67200000000003</v>
      </c>
      <c r="R745">
        <v>7685.9540000000006</v>
      </c>
      <c r="S745" s="2">
        <v>45461</v>
      </c>
      <c r="T745" s="2">
        <v>45469</v>
      </c>
      <c r="U745" t="s">
        <v>34</v>
      </c>
      <c r="V745">
        <v>18</v>
      </c>
      <c r="W745">
        <v>6</v>
      </c>
      <c r="X745" t="s">
        <v>41</v>
      </c>
      <c r="Y745">
        <v>2024</v>
      </c>
      <c r="Z745">
        <v>2</v>
      </c>
      <c r="AA745">
        <v>25</v>
      </c>
    </row>
    <row r="746" spans="1:27" x14ac:dyDescent="0.3">
      <c r="A746" s="2">
        <v>45826</v>
      </c>
      <c r="B746" t="s">
        <v>0</v>
      </c>
      <c r="C746" t="s">
        <v>9</v>
      </c>
      <c r="D746">
        <v>17</v>
      </c>
      <c r="E746">
        <v>419.63</v>
      </c>
      <c r="F746" t="s">
        <v>15</v>
      </c>
      <c r="G746" t="s">
        <v>16</v>
      </c>
      <c r="H746">
        <v>0</v>
      </c>
      <c r="I746" t="s">
        <v>19</v>
      </c>
      <c r="J746">
        <v>7133.71</v>
      </c>
      <c r="K746" t="s">
        <v>28</v>
      </c>
      <c r="L746" t="s">
        <v>30</v>
      </c>
      <c r="M746">
        <v>0</v>
      </c>
      <c r="N746" t="s">
        <v>819</v>
      </c>
      <c r="O746" t="s">
        <v>2319</v>
      </c>
      <c r="P746">
        <v>17.399999999999999</v>
      </c>
      <c r="Q746">
        <f t="shared" si="11"/>
        <v>419.63</v>
      </c>
      <c r="R746">
        <v>7116.31</v>
      </c>
      <c r="S746" s="2">
        <v>45826</v>
      </c>
      <c r="T746" s="2">
        <v>45832</v>
      </c>
      <c r="U746" t="s">
        <v>33</v>
      </c>
      <c r="V746">
        <v>18</v>
      </c>
      <c r="W746">
        <v>6</v>
      </c>
      <c r="X746" t="s">
        <v>41</v>
      </c>
      <c r="Y746">
        <v>2025</v>
      </c>
      <c r="Z746">
        <v>2</v>
      </c>
      <c r="AA746">
        <v>25</v>
      </c>
    </row>
    <row r="747" spans="1:27" x14ac:dyDescent="0.3">
      <c r="A747" s="2">
        <v>45594</v>
      </c>
      <c r="B747" t="s">
        <v>1</v>
      </c>
      <c r="C747" t="s">
        <v>5</v>
      </c>
      <c r="D747">
        <v>2</v>
      </c>
      <c r="E747">
        <v>267.36</v>
      </c>
      <c r="F747" t="s">
        <v>12</v>
      </c>
      <c r="G747" t="s">
        <v>16</v>
      </c>
      <c r="H747">
        <v>0.05</v>
      </c>
      <c r="I747" t="s">
        <v>20</v>
      </c>
      <c r="J747">
        <v>507.98399999999998</v>
      </c>
      <c r="K747" t="s">
        <v>24</v>
      </c>
      <c r="L747" t="s">
        <v>32</v>
      </c>
      <c r="M747">
        <v>0</v>
      </c>
      <c r="N747" t="s">
        <v>820</v>
      </c>
      <c r="O747" t="s">
        <v>2320</v>
      </c>
      <c r="P747">
        <v>21.36</v>
      </c>
      <c r="Q747">
        <f t="shared" si="11"/>
        <v>253.99199999999999</v>
      </c>
      <c r="R747">
        <v>486.62399999999997</v>
      </c>
      <c r="S747" s="2">
        <v>45594</v>
      </c>
      <c r="T747" s="2">
        <v>45603</v>
      </c>
      <c r="U747" t="s">
        <v>34</v>
      </c>
      <c r="V747">
        <v>29</v>
      </c>
      <c r="W747">
        <v>10</v>
      </c>
      <c r="X747" t="s">
        <v>43</v>
      </c>
      <c r="Y747">
        <v>2024</v>
      </c>
      <c r="Z747">
        <v>4</v>
      </c>
      <c r="AA747">
        <v>44</v>
      </c>
    </row>
    <row r="748" spans="1:27" x14ac:dyDescent="0.3">
      <c r="A748" s="2">
        <v>45755</v>
      </c>
      <c r="B748" t="s">
        <v>3</v>
      </c>
      <c r="C748" t="s">
        <v>6</v>
      </c>
      <c r="D748">
        <v>2</v>
      </c>
      <c r="E748">
        <v>298.06</v>
      </c>
      <c r="F748" t="s">
        <v>12</v>
      </c>
      <c r="G748" t="s">
        <v>16</v>
      </c>
      <c r="H748">
        <v>0</v>
      </c>
      <c r="I748" t="s">
        <v>19</v>
      </c>
      <c r="J748">
        <v>596.12</v>
      </c>
      <c r="K748" t="s">
        <v>27</v>
      </c>
      <c r="L748" t="s">
        <v>30</v>
      </c>
      <c r="M748">
        <v>1</v>
      </c>
      <c r="N748" t="s">
        <v>821</v>
      </c>
      <c r="O748" t="s">
        <v>2321</v>
      </c>
      <c r="P748">
        <v>35.369999999999997</v>
      </c>
      <c r="Q748">
        <f t="shared" si="11"/>
        <v>298.06</v>
      </c>
      <c r="R748">
        <v>560.75</v>
      </c>
      <c r="S748" s="2">
        <v>45755</v>
      </c>
      <c r="T748" s="2">
        <v>45761</v>
      </c>
      <c r="U748" t="s">
        <v>36</v>
      </c>
      <c r="V748">
        <v>8</v>
      </c>
      <c r="W748">
        <v>4</v>
      </c>
      <c r="X748" t="s">
        <v>45</v>
      </c>
      <c r="Y748">
        <v>2025</v>
      </c>
      <c r="Z748">
        <v>2</v>
      </c>
      <c r="AA748">
        <v>15</v>
      </c>
    </row>
    <row r="749" spans="1:27" x14ac:dyDescent="0.3">
      <c r="A749" s="2">
        <v>44957</v>
      </c>
      <c r="B749" t="s">
        <v>3</v>
      </c>
      <c r="C749" t="s">
        <v>10</v>
      </c>
      <c r="D749">
        <v>13</v>
      </c>
      <c r="E749">
        <v>132.97</v>
      </c>
      <c r="F749" t="s">
        <v>12</v>
      </c>
      <c r="G749" t="s">
        <v>16</v>
      </c>
      <c r="H749">
        <v>0.05</v>
      </c>
      <c r="I749" t="s">
        <v>20</v>
      </c>
      <c r="J749">
        <v>1642.1795</v>
      </c>
      <c r="K749" t="s">
        <v>27</v>
      </c>
      <c r="L749" t="s">
        <v>31</v>
      </c>
      <c r="M749">
        <v>0</v>
      </c>
      <c r="N749" t="s">
        <v>822</v>
      </c>
      <c r="O749" t="s">
        <v>2322</v>
      </c>
      <c r="P749">
        <v>42.87</v>
      </c>
      <c r="Q749">
        <f t="shared" si="11"/>
        <v>126.3215</v>
      </c>
      <c r="R749">
        <v>1599.3095000000001</v>
      </c>
      <c r="S749" s="2">
        <v>44957</v>
      </c>
      <c r="T749" s="2">
        <v>44962</v>
      </c>
      <c r="U749" t="s">
        <v>36</v>
      </c>
      <c r="V749">
        <v>31</v>
      </c>
      <c r="W749">
        <v>1</v>
      </c>
      <c r="X749" t="s">
        <v>42</v>
      </c>
      <c r="Y749">
        <v>2023</v>
      </c>
      <c r="Z749">
        <v>1</v>
      </c>
      <c r="AA749">
        <v>5</v>
      </c>
    </row>
    <row r="750" spans="1:27" x14ac:dyDescent="0.3">
      <c r="A750" s="2">
        <v>45366</v>
      </c>
      <c r="B750" t="s">
        <v>4</v>
      </c>
      <c r="C750" t="s">
        <v>8</v>
      </c>
      <c r="D750">
        <v>14</v>
      </c>
      <c r="E750">
        <v>476.28</v>
      </c>
      <c r="F750" t="s">
        <v>13</v>
      </c>
      <c r="G750" t="s">
        <v>16</v>
      </c>
      <c r="H750">
        <v>0.1</v>
      </c>
      <c r="I750" t="s">
        <v>18</v>
      </c>
      <c r="J750">
        <v>6001.1280000000006</v>
      </c>
      <c r="K750" t="s">
        <v>26</v>
      </c>
      <c r="L750" t="s">
        <v>29</v>
      </c>
      <c r="M750">
        <v>0</v>
      </c>
      <c r="N750" t="s">
        <v>823</v>
      </c>
      <c r="O750" t="s">
        <v>2323</v>
      </c>
      <c r="P750">
        <v>22.11</v>
      </c>
      <c r="Q750">
        <f t="shared" si="11"/>
        <v>428.65200000000004</v>
      </c>
      <c r="R750">
        <v>5979.0180000000009</v>
      </c>
      <c r="S750" s="2">
        <v>45366</v>
      </c>
      <c r="T750" s="2">
        <v>45371</v>
      </c>
      <c r="U750" t="s">
        <v>37</v>
      </c>
      <c r="V750">
        <v>15</v>
      </c>
      <c r="W750">
        <v>3</v>
      </c>
      <c r="X750" t="s">
        <v>44</v>
      </c>
      <c r="Y750">
        <v>2024</v>
      </c>
      <c r="Z750">
        <v>1</v>
      </c>
      <c r="AA750">
        <v>11</v>
      </c>
    </row>
    <row r="751" spans="1:27" x14ac:dyDescent="0.3">
      <c r="A751" s="2">
        <v>45100</v>
      </c>
      <c r="B751" t="s">
        <v>2</v>
      </c>
      <c r="C751" t="s">
        <v>10</v>
      </c>
      <c r="D751">
        <v>16</v>
      </c>
      <c r="E751">
        <v>294.88</v>
      </c>
      <c r="F751" t="s">
        <v>12</v>
      </c>
      <c r="G751" t="s">
        <v>17</v>
      </c>
      <c r="H751">
        <v>0.05</v>
      </c>
      <c r="I751" t="s">
        <v>20</v>
      </c>
      <c r="J751">
        <v>4482.1759999999986</v>
      </c>
      <c r="K751" t="s">
        <v>28</v>
      </c>
      <c r="L751" t="s">
        <v>32</v>
      </c>
      <c r="M751">
        <v>1</v>
      </c>
      <c r="N751" t="s">
        <v>824</v>
      </c>
      <c r="O751" t="s">
        <v>2324</v>
      </c>
      <c r="P751">
        <v>17.190000000000001</v>
      </c>
      <c r="Q751">
        <f t="shared" si="11"/>
        <v>280.13599999999991</v>
      </c>
      <c r="R751">
        <v>4464.985999999999</v>
      </c>
      <c r="S751" s="2">
        <v>45100</v>
      </c>
      <c r="T751" s="2">
        <v>45104</v>
      </c>
      <c r="U751" t="s">
        <v>35</v>
      </c>
      <c r="V751">
        <v>23</v>
      </c>
      <c r="W751">
        <v>6</v>
      </c>
      <c r="X751" t="s">
        <v>41</v>
      </c>
      <c r="Y751">
        <v>2023</v>
      </c>
      <c r="Z751">
        <v>2</v>
      </c>
      <c r="AA751">
        <v>25</v>
      </c>
    </row>
    <row r="752" spans="1:27" x14ac:dyDescent="0.3">
      <c r="A752" s="2">
        <v>45457</v>
      </c>
      <c r="B752" t="s">
        <v>2</v>
      </c>
      <c r="C752" t="s">
        <v>9</v>
      </c>
      <c r="D752">
        <v>19</v>
      </c>
      <c r="E752">
        <v>596.03</v>
      </c>
      <c r="F752" t="s">
        <v>14</v>
      </c>
      <c r="G752" t="s">
        <v>17</v>
      </c>
      <c r="H752">
        <v>0.15</v>
      </c>
      <c r="I752" t="s">
        <v>18</v>
      </c>
      <c r="J752">
        <v>9625.8845000000001</v>
      </c>
      <c r="K752" t="s">
        <v>27</v>
      </c>
      <c r="L752" t="s">
        <v>32</v>
      </c>
      <c r="M752">
        <v>0</v>
      </c>
      <c r="N752" t="s">
        <v>825</v>
      </c>
      <c r="O752" t="s">
        <v>2325</v>
      </c>
      <c r="P752">
        <v>31.95</v>
      </c>
      <c r="Q752">
        <f t="shared" si="11"/>
        <v>506.62549999999999</v>
      </c>
      <c r="R752">
        <v>9593.9344999999994</v>
      </c>
      <c r="S752" s="2">
        <v>45457</v>
      </c>
      <c r="T752" s="2">
        <v>45466</v>
      </c>
      <c r="U752" t="s">
        <v>35</v>
      </c>
      <c r="V752">
        <v>14</v>
      </c>
      <c r="W752">
        <v>6</v>
      </c>
      <c r="X752" t="s">
        <v>41</v>
      </c>
      <c r="Y752">
        <v>2024</v>
      </c>
      <c r="Z752">
        <v>2</v>
      </c>
      <c r="AA752">
        <v>24</v>
      </c>
    </row>
    <row r="753" spans="1:27" x14ac:dyDescent="0.3">
      <c r="A753" s="2">
        <v>45260</v>
      </c>
      <c r="B753" t="s">
        <v>4</v>
      </c>
      <c r="C753" t="s">
        <v>7</v>
      </c>
      <c r="D753">
        <v>6</v>
      </c>
      <c r="E753">
        <v>182.4</v>
      </c>
      <c r="F753" t="s">
        <v>12</v>
      </c>
      <c r="G753" t="s">
        <v>16</v>
      </c>
      <c r="H753">
        <v>0</v>
      </c>
      <c r="I753" t="s">
        <v>19</v>
      </c>
      <c r="J753">
        <v>1094.4000000000001</v>
      </c>
      <c r="K753" t="s">
        <v>24</v>
      </c>
      <c r="L753" t="s">
        <v>29</v>
      </c>
      <c r="M753">
        <v>1</v>
      </c>
      <c r="N753" t="s">
        <v>826</v>
      </c>
      <c r="O753" t="s">
        <v>2326</v>
      </c>
      <c r="P753">
        <v>49.49</v>
      </c>
      <c r="Q753">
        <f t="shared" si="11"/>
        <v>182.4</v>
      </c>
      <c r="R753">
        <v>1044.9100000000001</v>
      </c>
      <c r="S753" s="2">
        <v>45260</v>
      </c>
      <c r="T753" s="2">
        <v>45269</v>
      </c>
      <c r="U753" t="s">
        <v>37</v>
      </c>
      <c r="V753">
        <v>30</v>
      </c>
      <c r="W753">
        <v>11</v>
      </c>
      <c r="X753" t="s">
        <v>47</v>
      </c>
      <c r="Y753">
        <v>2023</v>
      </c>
      <c r="Z753">
        <v>4</v>
      </c>
      <c r="AA753">
        <v>48</v>
      </c>
    </row>
    <row r="754" spans="1:27" x14ac:dyDescent="0.3">
      <c r="A754" s="2">
        <v>45403</v>
      </c>
      <c r="B754" t="s">
        <v>2</v>
      </c>
      <c r="C754" t="s">
        <v>5</v>
      </c>
      <c r="D754">
        <v>10</v>
      </c>
      <c r="E754">
        <v>400.95</v>
      </c>
      <c r="F754" t="s">
        <v>14</v>
      </c>
      <c r="G754" t="s">
        <v>17</v>
      </c>
      <c r="H754">
        <v>0.05</v>
      </c>
      <c r="I754" t="s">
        <v>21</v>
      </c>
      <c r="J754">
        <v>3809.0250000000001</v>
      </c>
      <c r="K754" t="s">
        <v>24</v>
      </c>
      <c r="L754" t="s">
        <v>32</v>
      </c>
      <c r="M754">
        <v>0</v>
      </c>
      <c r="N754" t="s">
        <v>827</v>
      </c>
      <c r="O754" t="s">
        <v>2327</v>
      </c>
      <c r="P754">
        <v>17.46</v>
      </c>
      <c r="Q754">
        <f t="shared" si="11"/>
        <v>380.90250000000003</v>
      </c>
      <c r="R754">
        <v>3791.5650000000001</v>
      </c>
      <c r="S754" s="2">
        <v>45403</v>
      </c>
      <c r="T754" s="2">
        <v>45412</v>
      </c>
      <c r="U754" t="s">
        <v>35</v>
      </c>
      <c r="V754">
        <v>21</v>
      </c>
      <c r="W754">
        <v>4</v>
      </c>
      <c r="X754" t="s">
        <v>45</v>
      </c>
      <c r="Y754">
        <v>2024</v>
      </c>
      <c r="Z754">
        <v>2</v>
      </c>
      <c r="AA754">
        <v>16</v>
      </c>
    </row>
    <row r="755" spans="1:27" x14ac:dyDescent="0.3">
      <c r="A755" s="2">
        <v>45144</v>
      </c>
      <c r="B755" t="s">
        <v>0</v>
      </c>
      <c r="C755" t="s">
        <v>7</v>
      </c>
      <c r="D755">
        <v>7</v>
      </c>
      <c r="E755">
        <v>373.66</v>
      </c>
      <c r="F755" t="s">
        <v>12</v>
      </c>
      <c r="G755" t="s">
        <v>17</v>
      </c>
      <c r="H755">
        <v>0.05</v>
      </c>
      <c r="I755" t="s">
        <v>19</v>
      </c>
      <c r="J755">
        <v>2484.8389999999999</v>
      </c>
      <c r="K755" t="s">
        <v>25</v>
      </c>
      <c r="L755" t="s">
        <v>30</v>
      </c>
      <c r="M755">
        <v>0</v>
      </c>
      <c r="N755" t="s">
        <v>828</v>
      </c>
      <c r="O755" t="s">
        <v>2328</v>
      </c>
      <c r="P755">
        <v>46.33</v>
      </c>
      <c r="Q755">
        <f t="shared" si="11"/>
        <v>354.97699999999998</v>
      </c>
      <c r="R755">
        <v>2438.509</v>
      </c>
      <c r="S755" s="2">
        <v>45144</v>
      </c>
      <c r="T755" s="2">
        <v>45150</v>
      </c>
      <c r="U755" t="s">
        <v>33</v>
      </c>
      <c r="V755">
        <v>6</v>
      </c>
      <c r="W755">
        <v>8</v>
      </c>
      <c r="X755" t="s">
        <v>48</v>
      </c>
      <c r="Y755">
        <v>2023</v>
      </c>
      <c r="Z755">
        <v>3</v>
      </c>
      <c r="AA755">
        <v>31</v>
      </c>
    </row>
    <row r="756" spans="1:27" x14ac:dyDescent="0.3">
      <c r="A756" s="2">
        <v>45464</v>
      </c>
      <c r="B756" t="s">
        <v>4</v>
      </c>
      <c r="C756" t="s">
        <v>7</v>
      </c>
      <c r="D756">
        <v>7</v>
      </c>
      <c r="E756">
        <v>355.66</v>
      </c>
      <c r="F756" t="s">
        <v>14</v>
      </c>
      <c r="G756" t="s">
        <v>17</v>
      </c>
      <c r="H756">
        <v>0.15</v>
      </c>
      <c r="I756" t="s">
        <v>21</v>
      </c>
      <c r="J756">
        <v>2116.1770000000001</v>
      </c>
      <c r="K756" t="s">
        <v>25</v>
      </c>
      <c r="L756" t="s">
        <v>29</v>
      </c>
      <c r="M756">
        <v>1</v>
      </c>
      <c r="N756" t="s">
        <v>829</v>
      </c>
      <c r="O756" t="s">
        <v>2329</v>
      </c>
      <c r="P756">
        <v>28.77</v>
      </c>
      <c r="Q756">
        <f t="shared" si="11"/>
        <v>302.31100000000004</v>
      </c>
      <c r="R756">
        <v>2087.4070000000002</v>
      </c>
      <c r="S756" s="2">
        <v>45464</v>
      </c>
      <c r="T756" s="2">
        <v>45470</v>
      </c>
      <c r="U756" t="s">
        <v>37</v>
      </c>
      <c r="V756">
        <v>21</v>
      </c>
      <c r="W756">
        <v>6</v>
      </c>
      <c r="X756" t="s">
        <v>41</v>
      </c>
      <c r="Y756">
        <v>2024</v>
      </c>
      <c r="Z756">
        <v>2</v>
      </c>
      <c r="AA756">
        <v>25</v>
      </c>
    </row>
    <row r="757" spans="1:27" x14ac:dyDescent="0.3">
      <c r="A757" s="2">
        <v>45732</v>
      </c>
      <c r="B757" t="s">
        <v>2</v>
      </c>
      <c r="C757" t="s">
        <v>10</v>
      </c>
      <c r="D757">
        <v>12</v>
      </c>
      <c r="E757">
        <v>260.31</v>
      </c>
      <c r="F757" t="s">
        <v>14</v>
      </c>
      <c r="G757" t="s">
        <v>17</v>
      </c>
      <c r="H757">
        <v>0.1</v>
      </c>
      <c r="I757" t="s">
        <v>23</v>
      </c>
      <c r="J757">
        <v>2811.348</v>
      </c>
      <c r="K757" t="s">
        <v>28</v>
      </c>
      <c r="L757" t="s">
        <v>30</v>
      </c>
      <c r="M757">
        <v>0</v>
      </c>
      <c r="N757" t="s">
        <v>830</v>
      </c>
      <c r="O757" t="s">
        <v>2330</v>
      </c>
      <c r="P757">
        <v>14.58</v>
      </c>
      <c r="Q757">
        <f t="shared" si="11"/>
        <v>234.279</v>
      </c>
      <c r="R757">
        <v>2796.768</v>
      </c>
      <c r="S757" s="2">
        <v>45732</v>
      </c>
      <c r="T757" s="2">
        <v>45740</v>
      </c>
      <c r="U757" t="s">
        <v>35</v>
      </c>
      <c r="V757">
        <v>16</v>
      </c>
      <c r="W757">
        <v>3</v>
      </c>
      <c r="X757" t="s">
        <v>44</v>
      </c>
      <c r="Y757">
        <v>2025</v>
      </c>
      <c r="Z757">
        <v>1</v>
      </c>
      <c r="AA757">
        <v>11</v>
      </c>
    </row>
    <row r="758" spans="1:27" x14ac:dyDescent="0.3">
      <c r="A758" s="2">
        <v>45402</v>
      </c>
      <c r="B758" t="s">
        <v>4</v>
      </c>
      <c r="C758" t="s">
        <v>10</v>
      </c>
      <c r="D758">
        <v>10</v>
      </c>
      <c r="E758">
        <v>370.99</v>
      </c>
      <c r="F758" t="s">
        <v>12</v>
      </c>
      <c r="G758" t="s">
        <v>17</v>
      </c>
      <c r="H758">
        <v>0.15</v>
      </c>
      <c r="I758" t="s">
        <v>20</v>
      </c>
      <c r="J758">
        <v>3153.415</v>
      </c>
      <c r="K758" t="s">
        <v>24</v>
      </c>
      <c r="L758" t="s">
        <v>30</v>
      </c>
      <c r="M758">
        <v>1</v>
      </c>
      <c r="N758" t="s">
        <v>831</v>
      </c>
      <c r="O758" t="s">
        <v>2331</v>
      </c>
      <c r="P758">
        <v>11.16</v>
      </c>
      <c r="Q758">
        <f t="shared" si="11"/>
        <v>315.3415</v>
      </c>
      <c r="R758">
        <v>3142.2550000000001</v>
      </c>
      <c r="S758" s="2">
        <v>45402</v>
      </c>
      <c r="T758" s="2">
        <v>45407</v>
      </c>
      <c r="U758" t="s">
        <v>37</v>
      </c>
      <c r="V758">
        <v>20</v>
      </c>
      <c r="W758">
        <v>4</v>
      </c>
      <c r="X758" t="s">
        <v>45</v>
      </c>
      <c r="Y758">
        <v>2024</v>
      </c>
      <c r="Z758">
        <v>2</v>
      </c>
      <c r="AA758">
        <v>16</v>
      </c>
    </row>
    <row r="759" spans="1:27" x14ac:dyDescent="0.3">
      <c r="A759" s="2">
        <v>45646</v>
      </c>
      <c r="B759" t="s">
        <v>0</v>
      </c>
      <c r="C759" t="s">
        <v>5</v>
      </c>
      <c r="D759">
        <v>2</v>
      </c>
      <c r="E759">
        <v>548.72</v>
      </c>
      <c r="F759" t="s">
        <v>13</v>
      </c>
      <c r="G759" t="s">
        <v>16</v>
      </c>
      <c r="H759">
        <v>0.1</v>
      </c>
      <c r="I759" t="s">
        <v>20</v>
      </c>
      <c r="J759">
        <v>987.69600000000003</v>
      </c>
      <c r="K759" t="s">
        <v>26</v>
      </c>
      <c r="L759" t="s">
        <v>29</v>
      </c>
      <c r="M759">
        <v>1</v>
      </c>
      <c r="N759" t="s">
        <v>832</v>
      </c>
      <c r="O759" t="s">
        <v>2332</v>
      </c>
      <c r="P759">
        <v>26.35</v>
      </c>
      <c r="Q759">
        <f t="shared" si="11"/>
        <v>493.84800000000001</v>
      </c>
      <c r="R759">
        <v>961.346</v>
      </c>
      <c r="S759" s="2">
        <v>45646</v>
      </c>
      <c r="T759" s="2">
        <v>45655</v>
      </c>
      <c r="U759" t="s">
        <v>33</v>
      </c>
      <c r="V759">
        <v>20</v>
      </c>
      <c r="W759">
        <v>12</v>
      </c>
      <c r="X759" t="s">
        <v>39</v>
      </c>
      <c r="Y759">
        <v>2024</v>
      </c>
      <c r="Z759">
        <v>4</v>
      </c>
      <c r="AA759">
        <v>51</v>
      </c>
    </row>
    <row r="760" spans="1:27" x14ac:dyDescent="0.3">
      <c r="A760" s="2">
        <v>45160</v>
      </c>
      <c r="B760" t="s">
        <v>2</v>
      </c>
      <c r="C760" t="s">
        <v>11</v>
      </c>
      <c r="D760">
        <v>8</v>
      </c>
      <c r="E760">
        <v>343.53</v>
      </c>
      <c r="F760" t="s">
        <v>13</v>
      </c>
      <c r="G760" t="s">
        <v>16</v>
      </c>
      <c r="H760">
        <v>0</v>
      </c>
      <c r="I760" t="s">
        <v>20</v>
      </c>
      <c r="J760">
        <v>2748.24</v>
      </c>
      <c r="K760" t="s">
        <v>28</v>
      </c>
      <c r="L760" t="s">
        <v>32</v>
      </c>
      <c r="M760">
        <v>0</v>
      </c>
      <c r="N760" t="s">
        <v>833</v>
      </c>
      <c r="O760" t="s">
        <v>2333</v>
      </c>
      <c r="P760">
        <v>16.100000000000001</v>
      </c>
      <c r="Q760">
        <f t="shared" si="11"/>
        <v>343.53</v>
      </c>
      <c r="R760">
        <v>2732.14</v>
      </c>
      <c r="S760" s="2">
        <v>45160</v>
      </c>
      <c r="T760" s="2">
        <v>45170</v>
      </c>
      <c r="U760" t="s">
        <v>35</v>
      </c>
      <c r="V760">
        <v>22</v>
      </c>
      <c r="W760">
        <v>8</v>
      </c>
      <c r="X760" t="s">
        <v>48</v>
      </c>
      <c r="Y760">
        <v>2023</v>
      </c>
      <c r="Z760">
        <v>3</v>
      </c>
      <c r="AA760">
        <v>34</v>
      </c>
    </row>
    <row r="761" spans="1:27" x14ac:dyDescent="0.3">
      <c r="A761" s="2">
        <v>44989</v>
      </c>
      <c r="B761" t="s">
        <v>2</v>
      </c>
      <c r="C761" t="s">
        <v>10</v>
      </c>
      <c r="D761">
        <v>13</v>
      </c>
      <c r="E761">
        <v>494.78</v>
      </c>
      <c r="F761" t="s">
        <v>13</v>
      </c>
      <c r="G761" t="s">
        <v>16</v>
      </c>
      <c r="H761">
        <v>0.15</v>
      </c>
      <c r="I761" t="s">
        <v>22</v>
      </c>
      <c r="J761">
        <v>5467.3190000000004</v>
      </c>
      <c r="K761" t="s">
        <v>28</v>
      </c>
      <c r="L761" t="s">
        <v>29</v>
      </c>
      <c r="M761">
        <v>0</v>
      </c>
      <c r="N761" t="s">
        <v>834</v>
      </c>
      <c r="O761" t="s">
        <v>2334</v>
      </c>
      <c r="P761">
        <v>5.85</v>
      </c>
      <c r="Q761">
        <f t="shared" si="11"/>
        <v>420.56300000000005</v>
      </c>
      <c r="R761">
        <v>5461.4690000000001</v>
      </c>
      <c r="S761" s="2">
        <v>44989</v>
      </c>
      <c r="T761" s="2">
        <v>44998</v>
      </c>
      <c r="U761" t="s">
        <v>35</v>
      </c>
      <c r="V761">
        <v>4</v>
      </c>
      <c r="W761">
        <v>3</v>
      </c>
      <c r="X761" t="s">
        <v>44</v>
      </c>
      <c r="Y761">
        <v>2023</v>
      </c>
      <c r="Z761">
        <v>1</v>
      </c>
      <c r="AA761">
        <v>9</v>
      </c>
    </row>
    <row r="762" spans="1:27" x14ac:dyDescent="0.3">
      <c r="A762" s="2">
        <v>45467</v>
      </c>
      <c r="B762" t="s">
        <v>2</v>
      </c>
      <c r="C762" t="s">
        <v>5</v>
      </c>
      <c r="D762">
        <v>9</v>
      </c>
      <c r="E762">
        <v>36.619999999999997</v>
      </c>
      <c r="F762" t="s">
        <v>12</v>
      </c>
      <c r="G762" t="s">
        <v>16</v>
      </c>
      <c r="H762">
        <v>0.1</v>
      </c>
      <c r="I762" t="s">
        <v>18</v>
      </c>
      <c r="J762">
        <v>296.62200000000001</v>
      </c>
      <c r="K762" t="s">
        <v>27</v>
      </c>
      <c r="L762" t="s">
        <v>29</v>
      </c>
      <c r="M762">
        <v>1</v>
      </c>
      <c r="N762" t="s">
        <v>835</v>
      </c>
      <c r="O762" t="s">
        <v>2335</v>
      </c>
      <c r="P762">
        <v>29.9</v>
      </c>
      <c r="Q762">
        <f t="shared" si="11"/>
        <v>32.957999999999998</v>
      </c>
      <c r="R762">
        <v>266.72200000000004</v>
      </c>
      <c r="S762" s="2">
        <v>45467</v>
      </c>
      <c r="T762" s="2">
        <v>45474</v>
      </c>
      <c r="U762" t="s">
        <v>35</v>
      </c>
      <c r="V762">
        <v>24</v>
      </c>
      <c r="W762">
        <v>6</v>
      </c>
      <c r="X762" t="s">
        <v>41</v>
      </c>
      <c r="Y762">
        <v>2024</v>
      </c>
      <c r="Z762">
        <v>2</v>
      </c>
      <c r="AA762">
        <v>26</v>
      </c>
    </row>
    <row r="763" spans="1:27" x14ac:dyDescent="0.3">
      <c r="A763" s="2">
        <v>45635</v>
      </c>
      <c r="B763" t="s">
        <v>0</v>
      </c>
      <c r="C763" t="s">
        <v>10</v>
      </c>
      <c r="D763">
        <v>14</v>
      </c>
      <c r="E763">
        <v>216.2</v>
      </c>
      <c r="F763" t="s">
        <v>14</v>
      </c>
      <c r="G763" t="s">
        <v>16</v>
      </c>
      <c r="H763">
        <v>0</v>
      </c>
      <c r="I763" t="s">
        <v>22</v>
      </c>
      <c r="J763">
        <v>3026.8</v>
      </c>
      <c r="K763" t="s">
        <v>24</v>
      </c>
      <c r="L763" t="s">
        <v>31</v>
      </c>
      <c r="M763">
        <v>0</v>
      </c>
      <c r="N763" t="s">
        <v>836</v>
      </c>
      <c r="O763" t="s">
        <v>2336</v>
      </c>
      <c r="P763">
        <v>14.39</v>
      </c>
      <c r="Q763">
        <f t="shared" si="11"/>
        <v>216.20000000000002</v>
      </c>
      <c r="R763">
        <v>3012.4100000000003</v>
      </c>
      <c r="S763" s="2">
        <v>45635</v>
      </c>
      <c r="T763" s="2">
        <v>45639</v>
      </c>
      <c r="U763" t="s">
        <v>33</v>
      </c>
      <c r="V763">
        <v>9</v>
      </c>
      <c r="W763">
        <v>12</v>
      </c>
      <c r="X763" t="s">
        <v>39</v>
      </c>
      <c r="Y763">
        <v>2024</v>
      </c>
      <c r="Z763">
        <v>4</v>
      </c>
      <c r="AA763">
        <v>50</v>
      </c>
    </row>
    <row r="764" spans="1:27" x14ac:dyDescent="0.3">
      <c r="A764" s="2">
        <v>45477</v>
      </c>
      <c r="B764" t="s">
        <v>4</v>
      </c>
      <c r="C764" t="s">
        <v>5</v>
      </c>
      <c r="D764">
        <v>11</v>
      </c>
      <c r="E764">
        <v>128.99</v>
      </c>
      <c r="F764" t="s">
        <v>13</v>
      </c>
      <c r="G764" t="s">
        <v>17</v>
      </c>
      <c r="H764">
        <v>0.05</v>
      </c>
      <c r="I764" t="s">
        <v>22</v>
      </c>
      <c r="J764">
        <v>1347.9455</v>
      </c>
      <c r="K764" t="s">
        <v>27</v>
      </c>
      <c r="L764" t="s">
        <v>30</v>
      </c>
      <c r="M764">
        <v>0</v>
      </c>
      <c r="N764" t="s">
        <v>837</v>
      </c>
      <c r="O764" t="s">
        <v>2337</v>
      </c>
      <c r="P764">
        <v>38.58</v>
      </c>
      <c r="Q764">
        <f t="shared" si="11"/>
        <v>122.54050000000001</v>
      </c>
      <c r="R764">
        <v>1309.3655000000001</v>
      </c>
      <c r="S764" s="2">
        <v>45477</v>
      </c>
      <c r="T764" s="2">
        <v>45480</v>
      </c>
      <c r="U764" t="s">
        <v>37</v>
      </c>
      <c r="V764">
        <v>4</v>
      </c>
      <c r="W764">
        <v>7</v>
      </c>
      <c r="X764" t="s">
        <v>46</v>
      </c>
      <c r="Y764">
        <v>2024</v>
      </c>
      <c r="Z764">
        <v>3</v>
      </c>
      <c r="AA764">
        <v>27</v>
      </c>
    </row>
    <row r="765" spans="1:27" x14ac:dyDescent="0.3">
      <c r="A765" s="2">
        <v>45720</v>
      </c>
      <c r="B765" t="s">
        <v>0</v>
      </c>
      <c r="C765" t="s">
        <v>6</v>
      </c>
      <c r="D765">
        <v>11</v>
      </c>
      <c r="E765">
        <v>183.11</v>
      </c>
      <c r="F765" t="s">
        <v>12</v>
      </c>
      <c r="G765" t="s">
        <v>17</v>
      </c>
      <c r="H765">
        <v>0.15</v>
      </c>
      <c r="I765" t="s">
        <v>20</v>
      </c>
      <c r="J765">
        <v>1712.0785000000001</v>
      </c>
      <c r="K765" t="s">
        <v>25</v>
      </c>
      <c r="L765" t="s">
        <v>29</v>
      </c>
      <c r="M765">
        <v>0</v>
      </c>
      <c r="N765" t="s">
        <v>838</v>
      </c>
      <c r="O765" t="s">
        <v>2338</v>
      </c>
      <c r="P765">
        <v>41.83</v>
      </c>
      <c r="Q765">
        <f t="shared" si="11"/>
        <v>155.64350000000002</v>
      </c>
      <c r="R765">
        <v>1670.2485000000001</v>
      </c>
      <c r="S765" s="2">
        <v>45720</v>
      </c>
      <c r="T765" s="2">
        <v>45722</v>
      </c>
      <c r="U765" t="s">
        <v>33</v>
      </c>
      <c r="V765">
        <v>4</v>
      </c>
      <c r="W765">
        <v>3</v>
      </c>
      <c r="X765" t="s">
        <v>44</v>
      </c>
      <c r="Y765">
        <v>2025</v>
      </c>
      <c r="Z765">
        <v>1</v>
      </c>
      <c r="AA765">
        <v>10</v>
      </c>
    </row>
    <row r="766" spans="1:27" x14ac:dyDescent="0.3">
      <c r="A766" s="2">
        <v>45313</v>
      </c>
      <c r="B766" t="s">
        <v>0</v>
      </c>
      <c r="C766" t="s">
        <v>11</v>
      </c>
      <c r="D766">
        <v>11</v>
      </c>
      <c r="E766">
        <v>277.95</v>
      </c>
      <c r="F766" t="s">
        <v>13</v>
      </c>
      <c r="G766" t="s">
        <v>17</v>
      </c>
      <c r="H766">
        <v>0.05</v>
      </c>
      <c r="I766" t="s">
        <v>20</v>
      </c>
      <c r="J766">
        <v>2904.5774999999999</v>
      </c>
      <c r="K766" t="s">
        <v>25</v>
      </c>
      <c r="L766" t="s">
        <v>31</v>
      </c>
      <c r="M766">
        <v>0</v>
      </c>
      <c r="N766" t="s">
        <v>839</v>
      </c>
      <c r="O766" t="s">
        <v>2339</v>
      </c>
      <c r="P766">
        <v>44.04</v>
      </c>
      <c r="Q766">
        <f t="shared" si="11"/>
        <v>264.05250000000001</v>
      </c>
      <c r="R766">
        <v>2860.5374999999999</v>
      </c>
      <c r="S766" s="2">
        <v>45313</v>
      </c>
      <c r="T766" s="2">
        <v>45320</v>
      </c>
      <c r="U766" t="s">
        <v>33</v>
      </c>
      <c r="V766">
        <v>22</v>
      </c>
      <c r="W766">
        <v>1</v>
      </c>
      <c r="X766" t="s">
        <v>42</v>
      </c>
      <c r="Y766">
        <v>2024</v>
      </c>
      <c r="Z766">
        <v>1</v>
      </c>
      <c r="AA766">
        <v>4</v>
      </c>
    </row>
    <row r="767" spans="1:27" x14ac:dyDescent="0.3">
      <c r="A767" s="2">
        <v>45728</v>
      </c>
      <c r="B767" t="s">
        <v>0</v>
      </c>
      <c r="C767" t="s">
        <v>7</v>
      </c>
      <c r="D767">
        <v>14</v>
      </c>
      <c r="E767">
        <v>554.08000000000004</v>
      </c>
      <c r="F767" t="s">
        <v>13</v>
      </c>
      <c r="G767" t="s">
        <v>17</v>
      </c>
      <c r="H767">
        <v>0.05</v>
      </c>
      <c r="I767" t="s">
        <v>22</v>
      </c>
      <c r="J767">
        <v>7369.2640000000001</v>
      </c>
      <c r="K767" t="s">
        <v>28</v>
      </c>
      <c r="L767" t="s">
        <v>32</v>
      </c>
      <c r="M767">
        <v>0</v>
      </c>
      <c r="N767" t="s">
        <v>840</v>
      </c>
      <c r="O767" t="s">
        <v>2340</v>
      </c>
      <c r="P767">
        <v>36.72</v>
      </c>
      <c r="Q767">
        <f t="shared" si="11"/>
        <v>526.37599999999998</v>
      </c>
      <c r="R767">
        <v>7332.5439999999999</v>
      </c>
      <c r="S767" s="2">
        <v>45728</v>
      </c>
      <c r="T767" s="2">
        <v>45737</v>
      </c>
      <c r="U767" t="s">
        <v>33</v>
      </c>
      <c r="V767">
        <v>12</v>
      </c>
      <c r="W767">
        <v>3</v>
      </c>
      <c r="X767" t="s">
        <v>44</v>
      </c>
      <c r="Y767">
        <v>2025</v>
      </c>
      <c r="Z767">
        <v>1</v>
      </c>
      <c r="AA767">
        <v>11</v>
      </c>
    </row>
    <row r="768" spans="1:27" x14ac:dyDescent="0.3">
      <c r="A768" s="2">
        <v>45716</v>
      </c>
      <c r="B768" t="s">
        <v>3</v>
      </c>
      <c r="C768" t="s">
        <v>6</v>
      </c>
      <c r="D768">
        <v>15</v>
      </c>
      <c r="E768">
        <v>23.32</v>
      </c>
      <c r="F768" t="s">
        <v>13</v>
      </c>
      <c r="G768" t="s">
        <v>17</v>
      </c>
      <c r="H768">
        <v>0.05</v>
      </c>
      <c r="I768" t="s">
        <v>21</v>
      </c>
      <c r="J768">
        <v>332.31</v>
      </c>
      <c r="K768" t="s">
        <v>27</v>
      </c>
      <c r="L768" t="s">
        <v>32</v>
      </c>
      <c r="M768">
        <v>0</v>
      </c>
      <c r="N768" t="s">
        <v>841</v>
      </c>
      <c r="O768" t="s">
        <v>2341</v>
      </c>
      <c r="P768">
        <v>25.27</v>
      </c>
      <c r="Q768">
        <f t="shared" si="11"/>
        <v>22.154</v>
      </c>
      <c r="R768">
        <v>307.04000000000002</v>
      </c>
      <c r="S768" s="2">
        <v>45716</v>
      </c>
      <c r="T768" s="2">
        <v>45719</v>
      </c>
      <c r="U768" t="s">
        <v>36</v>
      </c>
      <c r="V768">
        <v>28</v>
      </c>
      <c r="W768">
        <v>2</v>
      </c>
      <c r="X768" t="s">
        <v>38</v>
      </c>
      <c r="Y768">
        <v>2025</v>
      </c>
      <c r="Z768">
        <v>1</v>
      </c>
      <c r="AA768">
        <v>9</v>
      </c>
    </row>
    <row r="769" spans="1:27" x14ac:dyDescent="0.3">
      <c r="A769" s="2">
        <v>45435</v>
      </c>
      <c r="B769" t="s">
        <v>0</v>
      </c>
      <c r="C769" t="s">
        <v>7</v>
      </c>
      <c r="D769">
        <v>4</v>
      </c>
      <c r="E769">
        <v>20.96</v>
      </c>
      <c r="F769" t="s">
        <v>15</v>
      </c>
      <c r="G769" t="s">
        <v>16</v>
      </c>
      <c r="H769">
        <v>0.05</v>
      </c>
      <c r="I769" t="s">
        <v>23</v>
      </c>
      <c r="J769">
        <v>79.647999999999996</v>
      </c>
      <c r="K769" t="s">
        <v>24</v>
      </c>
      <c r="L769" t="s">
        <v>29</v>
      </c>
      <c r="M769">
        <v>1</v>
      </c>
      <c r="N769" t="s">
        <v>842</v>
      </c>
      <c r="O769" t="s">
        <v>2342</v>
      </c>
      <c r="P769">
        <v>33.67</v>
      </c>
      <c r="Q769">
        <f t="shared" si="11"/>
        <v>19.911999999999999</v>
      </c>
      <c r="R769">
        <v>45.977999999999994</v>
      </c>
      <c r="S769" s="2">
        <v>45435</v>
      </c>
      <c r="T769" s="2">
        <v>45443</v>
      </c>
      <c r="U769" t="s">
        <v>33</v>
      </c>
      <c r="V769">
        <v>23</v>
      </c>
      <c r="W769">
        <v>5</v>
      </c>
      <c r="X769" t="s">
        <v>40</v>
      </c>
      <c r="Y769">
        <v>2024</v>
      </c>
      <c r="Z769">
        <v>2</v>
      </c>
      <c r="AA769">
        <v>21</v>
      </c>
    </row>
    <row r="770" spans="1:27" x14ac:dyDescent="0.3">
      <c r="A770" s="2">
        <v>45186</v>
      </c>
      <c r="B770" t="s">
        <v>2</v>
      </c>
      <c r="C770" t="s">
        <v>7</v>
      </c>
      <c r="D770">
        <v>18</v>
      </c>
      <c r="E770">
        <v>132.29</v>
      </c>
      <c r="F770" t="s">
        <v>13</v>
      </c>
      <c r="G770" t="s">
        <v>16</v>
      </c>
      <c r="H770">
        <v>0.05</v>
      </c>
      <c r="I770" t="s">
        <v>22</v>
      </c>
      <c r="J770">
        <v>2262.1590000000001</v>
      </c>
      <c r="K770" t="s">
        <v>26</v>
      </c>
      <c r="L770" t="s">
        <v>32</v>
      </c>
      <c r="M770">
        <v>1</v>
      </c>
      <c r="N770" t="s">
        <v>843</v>
      </c>
      <c r="O770" t="s">
        <v>2343</v>
      </c>
      <c r="P770">
        <v>24.3</v>
      </c>
      <c r="Q770">
        <f t="shared" si="11"/>
        <v>125.6755</v>
      </c>
      <c r="R770">
        <v>2237.8589999999999</v>
      </c>
      <c r="S770" s="2">
        <v>45186</v>
      </c>
      <c r="T770" s="2">
        <v>45189</v>
      </c>
      <c r="U770" t="s">
        <v>35</v>
      </c>
      <c r="V770">
        <v>17</v>
      </c>
      <c r="W770">
        <v>9</v>
      </c>
      <c r="X770" t="s">
        <v>49</v>
      </c>
      <c r="Y770">
        <v>2023</v>
      </c>
      <c r="Z770">
        <v>3</v>
      </c>
      <c r="AA770">
        <v>37</v>
      </c>
    </row>
    <row r="771" spans="1:27" x14ac:dyDescent="0.3">
      <c r="A771" s="2">
        <v>45090</v>
      </c>
      <c r="B771" t="s">
        <v>0</v>
      </c>
      <c r="C771" t="s">
        <v>6</v>
      </c>
      <c r="D771">
        <v>19</v>
      </c>
      <c r="E771">
        <v>199.65</v>
      </c>
      <c r="F771" t="s">
        <v>13</v>
      </c>
      <c r="G771" t="s">
        <v>17</v>
      </c>
      <c r="H771">
        <v>0.1</v>
      </c>
      <c r="I771" t="s">
        <v>21</v>
      </c>
      <c r="J771">
        <v>3414.0149999999999</v>
      </c>
      <c r="K771" t="s">
        <v>28</v>
      </c>
      <c r="L771" t="s">
        <v>30</v>
      </c>
      <c r="M771">
        <v>1</v>
      </c>
      <c r="N771" t="s">
        <v>844</v>
      </c>
      <c r="O771" t="s">
        <v>2344</v>
      </c>
      <c r="P771">
        <v>35.119999999999997</v>
      </c>
      <c r="Q771">
        <f t="shared" ref="Q771:Q834" si="12">J771/D771</f>
        <v>179.685</v>
      </c>
      <c r="R771">
        <v>3378.895</v>
      </c>
      <c r="S771" s="2">
        <v>45090</v>
      </c>
      <c r="T771" s="2">
        <v>45095</v>
      </c>
      <c r="U771" t="s">
        <v>33</v>
      </c>
      <c r="V771">
        <v>13</v>
      </c>
      <c r="W771">
        <v>6</v>
      </c>
      <c r="X771" t="s">
        <v>41</v>
      </c>
      <c r="Y771">
        <v>2023</v>
      </c>
      <c r="Z771">
        <v>2</v>
      </c>
      <c r="AA771">
        <v>24</v>
      </c>
    </row>
    <row r="772" spans="1:27" x14ac:dyDescent="0.3">
      <c r="A772" s="2">
        <v>45808</v>
      </c>
      <c r="B772" t="s">
        <v>4</v>
      </c>
      <c r="C772" t="s">
        <v>6</v>
      </c>
      <c r="D772">
        <v>16</v>
      </c>
      <c r="E772">
        <v>307</v>
      </c>
      <c r="F772" t="s">
        <v>13</v>
      </c>
      <c r="G772" t="s">
        <v>16</v>
      </c>
      <c r="H772">
        <v>0</v>
      </c>
      <c r="I772" t="s">
        <v>23</v>
      </c>
      <c r="J772">
        <v>4912</v>
      </c>
      <c r="K772" t="s">
        <v>27</v>
      </c>
      <c r="L772" t="s">
        <v>29</v>
      </c>
      <c r="M772">
        <v>0</v>
      </c>
      <c r="N772" t="s">
        <v>845</v>
      </c>
      <c r="O772" t="s">
        <v>2345</v>
      </c>
      <c r="P772">
        <v>11.99</v>
      </c>
      <c r="Q772">
        <f t="shared" si="12"/>
        <v>307</v>
      </c>
      <c r="R772">
        <v>4900.01</v>
      </c>
      <c r="S772" s="2">
        <v>45808</v>
      </c>
      <c r="T772" s="2">
        <v>45810</v>
      </c>
      <c r="U772" t="s">
        <v>37</v>
      </c>
      <c r="V772">
        <v>31</v>
      </c>
      <c r="W772">
        <v>5</v>
      </c>
      <c r="X772" t="s">
        <v>40</v>
      </c>
      <c r="Y772">
        <v>2025</v>
      </c>
      <c r="Z772">
        <v>2</v>
      </c>
      <c r="AA772">
        <v>22</v>
      </c>
    </row>
    <row r="773" spans="1:27" x14ac:dyDescent="0.3">
      <c r="A773" s="2">
        <v>45210</v>
      </c>
      <c r="B773" t="s">
        <v>0</v>
      </c>
      <c r="C773" t="s">
        <v>10</v>
      </c>
      <c r="D773">
        <v>1</v>
      </c>
      <c r="E773">
        <v>315.93</v>
      </c>
      <c r="F773" t="s">
        <v>14</v>
      </c>
      <c r="G773" t="s">
        <v>17</v>
      </c>
      <c r="H773">
        <v>0.15</v>
      </c>
      <c r="I773" t="s">
        <v>19</v>
      </c>
      <c r="J773">
        <v>268.54050000000001</v>
      </c>
      <c r="K773" t="s">
        <v>26</v>
      </c>
      <c r="L773" t="s">
        <v>30</v>
      </c>
      <c r="M773">
        <v>0</v>
      </c>
      <c r="N773" t="s">
        <v>846</v>
      </c>
      <c r="O773" t="s">
        <v>2346</v>
      </c>
      <c r="P773">
        <v>43.2</v>
      </c>
      <c r="Q773">
        <f t="shared" si="12"/>
        <v>268.54050000000001</v>
      </c>
      <c r="R773">
        <v>225.34050000000002</v>
      </c>
      <c r="S773" s="2">
        <v>45210</v>
      </c>
      <c r="T773" s="2">
        <v>45213</v>
      </c>
      <c r="U773" t="s">
        <v>33</v>
      </c>
      <c r="V773">
        <v>11</v>
      </c>
      <c r="W773">
        <v>10</v>
      </c>
      <c r="X773" t="s">
        <v>43</v>
      </c>
      <c r="Y773">
        <v>2023</v>
      </c>
      <c r="Z773">
        <v>4</v>
      </c>
      <c r="AA773">
        <v>41</v>
      </c>
    </row>
    <row r="774" spans="1:27" x14ac:dyDescent="0.3">
      <c r="A774" s="2">
        <v>45145</v>
      </c>
      <c r="B774" t="s">
        <v>4</v>
      </c>
      <c r="C774" t="s">
        <v>11</v>
      </c>
      <c r="D774">
        <v>5</v>
      </c>
      <c r="E774">
        <v>596.97</v>
      </c>
      <c r="F774" t="s">
        <v>13</v>
      </c>
      <c r="G774" t="s">
        <v>17</v>
      </c>
      <c r="H774">
        <v>0</v>
      </c>
      <c r="I774" t="s">
        <v>18</v>
      </c>
      <c r="J774">
        <v>2984.85</v>
      </c>
      <c r="K774" t="s">
        <v>28</v>
      </c>
      <c r="L774" t="s">
        <v>30</v>
      </c>
      <c r="M774">
        <v>0</v>
      </c>
      <c r="N774" t="s">
        <v>847</v>
      </c>
      <c r="O774" t="s">
        <v>2347</v>
      </c>
      <c r="P774">
        <v>14.43</v>
      </c>
      <c r="Q774">
        <f t="shared" si="12"/>
        <v>596.97</v>
      </c>
      <c r="R774">
        <v>2970.42</v>
      </c>
      <c r="S774" s="2">
        <v>45145</v>
      </c>
      <c r="T774" s="2">
        <v>45152</v>
      </c>
      <c r="U774" t="s">
        <v>37</v>
      </c>
      <c r="V774">
        <v>7</v>
      </c>
      <c r="W774">
        <v>8</v>
      </c>
      <c r="X774" t="s">
        <v>48</v>
      </c>
      <c r="Y774">
        <v>2023</v>
      </c>
      <c r="Z774">
        <v>3</v>
      </c>
      <c r="AA774">
        <v>32</v>
      </c>
    </row>
    <row r="775" spans="1:27" x14ac:dyDescent="0.3">
      <c r="A775" s="2">
        <v>45263</v>
      </c>
      <c r="B775" t="s">
        <v>2</v>
      </c>
      <c r="C775" t="s">
        <v>5</v>
      </c>
      <c r="D775">
        <v>17</v>
      </c>
      <c r="E775">
        <v>376.98</v>
      </c>
      <c r="F775" t="s">
        <v>13</v>
      </c>
      <c r="G775" t="s">
        <v>17</v>
      </c>
      <c r="H775">
        <v>0.05</v>
      </c>
      <c r="I775" t="s">
        <v>21</v>
      </c>
      <c r="J775">
        <v>6088.2269999999999</v>
      </c>
      <c r="K775" t="s">
        <v>27</v>
      </c>
      <c r="L775" t="s">
        <v>32</v>
      </c>
      <c r="M775">
        <v>1</v>
      </c>
      <c r="N775" t="s">
        <v>848</v>
      </c>
      <c r="O775" t="s">
        <v>2348</v>
      </c>
      <c r="P775">
        <v>38.479999999999997</v>
      </c>
      <c r="Q775">
        <f t="shared" si="12"/>
        <v>358.13099999999997</v>
      </c>
      <c r="R775">
        <v>6049.7470000000003</v>
      </c>
      <c r="S775" s="2">
        <v>45263</v>
      </c>
      <c r="T775" s="2">
        <v>45265</v>
      </c>
      <c r="U775" t="s">
        <v>35</v>
      </c>
      <c r="V775">
        <v>3</v>
      </c>
      <c r="W775">
        <v>12</v>
      </c>
      <c r="X775" t="s">
        <v>39</v>
      </c>
      <c r="Y775">
        <v>2023</v>
      </c>
      <c r="Z775">
        <v>4</v>
      </c>
      <c r="AA775">
        <v>48</v>
      </c>
    </row>
    <row r="776" spans="1:27" x14ac:dyDescent="0.3">
      <c r="A776" s="2">
        <v>45505</v>
      </c>
      <c r="B776" t="s">
        <v>3</v>
      </c>
      <c r="C776" t="s">
        <v>11</v>
      </c>
      <c r="D776">
        <v>6</v>
      </c>
      <c r="E776">
        <v>208.64</v>
      </c>
      <c r="F776" t="s">
        <v>15</v>
      </c>
      <c r="G776" t="s">
        <v>17</v>
      </c>
      <c r="H776">
        <v>0.1</v>
      </c>
      <c r="I776" t="s">
        <v>20</v>
      </c>
      <c r="J776">
        <v>1126.6559999999999</v>
      </c>
      <c r="K776" t="s">
        <v>26</v>
      </c>
      <c r="L776" t="s">
        <v>29</v>
      </c>
      <c r="M776">
        <v>0</v>
      </c>
      <c r="N776" t="s">
        <v>849</v>
      </c>
      <c r="O776" t="s">
        <v>2349</v>
      </c>
      <c r="P776">
        <v>49.93</v>
      </c>
      <c r="Q776">
        <f t="shared" si="12"/>
        <v>187.77599999999998</v>
      </c>
      <c r="R776">
        <v>1076.7259999999999</v>
      </c>
      <c r="S776" s="2">
        <v>45505</v>
      </c>
      <c r="T776" s="2">
        <v>45508</v>
      </c>
      <c r="U776" t="s">
        <v>36</v>
      </c>
      <c r="V776">
        <v>1</v>
      </c>
      <c r="W776">
        <v>8</v>
      </c>
      <c r="X776" t="s">
        <v>48</v>
      </c>
      <c r="Y776">
        <v>2024</v>
      </c>
      <c r="Z776">
        <v>3</v>
      </c>
      <c r="AA776">
        <v>31</v>
      </c>
    </row>
    <row r="777" spans="1:27" x14ac:dyDescent="0.3">
      <c r="A777" s="2">
        <v>45005</v>
      </c>
      <c r="B777" t="s">
        <v>0</v>
      </c>
      <c r="C777" t="s">
        <v>8</v>
      </c>
      <c r="D777">
        <v>7</v>
      </c>
      <c r="E777">
        <v>307.82</v>
      </c>
      <c r="F777" t="s">
        <v>12</v>
      </c>
      <c r="G777" t="s">
        <v>16</v>
      </c>
      <c r="H777">
        <v>0</v>
      </c>
      <c r="I777" t="s">
        <v>18</v>
      </c>
      <c r="J777">
        <v>2154.7399999999998</v>
      </c>
      <c r="K777" t="s">
        <v>27</v>
      </c>
      <c r="L777" t="s">
        <v>31</v>
      </c>
      <c r="M777">
        <v>1</v>
      </c>
      <c r="N777" t="s">
        <v>850</v>
      </c>
      <c r="O777" t="s">
        <v>2350</v>
      </c>
      <c r="P777">
        <v>14</v>
      </c>
      <c r="Q777">
        <f t="shared" si="12"/>
        <v>307.82</v>
      </c>
      <c r="R777">
        <v>2140.7399999999998</v>
      </c>
      <c r="S777" s="2">
        <v>45005</v>
      </c>
      <c r="T777" s="2">
        <v>45012</v>
      </c>
      <c r="U777" t="s">
        <v>33</v>
      </c>
      <c r="V777">
        <v>20</v>
      </c>
      <c r="W777">
        <v>3</v>
      </c>
      <c r="X777" t="s">
        <v>44</v>
      </c>
      <c r="Y777">
        <v>2023</v>
      </c>
      <c r="Z777">
        <v>1</v>
      </c>
      <c r="AA777">
        <v>12</v>
      </c>
    </row>
    <row r="778" spans="1:27" x14ac:dyDescent="0.3">
      <c r="A778" s="2">
        <v>45838</v>
      </c>
      <c r="B778" t="s">
        <v>3</v>
      </c>
      <c r="C778" t="s">
        <v>10</v>
      </c>
      <c r="D778">
        <v>13</v>
      </c>
      <c r="E778">
        <v>382.48</v>
      </c>
      <c r="F778" t="s">
        <v>15</v>
      </c>
      <c r="G778" t="s">
        <v>17</v>
      </c>
      <c r="H778">
        <v>0.05</v>
      </c>
      <c r="I778" t="s">
        <v>18</v>
      </c>
      <c r="J778">
        <v>4723.6279999999997</v>
      </c>
      <c r="K778" t="s">
        <v>26</v>
      </c>
      <c r="L778" t="s">
        <v>31</v>
      </c>
      <c r="M778">
        <v>0</v>
      </c>
      <c r="N778" t="s">
        <v>851</v>
      </c>
      <c r="O778" t="s">
        <v>2351</v>
      </c>
      <c r="P778">
        <v>7.59</v>
      </c>
      <c r="Q778">
        <f t="shared" si="12"/>
        <v>363.35599999999999</v>
      </c>
      <c r="R778">
        <v>4716.0379999999996</v>
      </c>
      <c r="S778" s="2">
        <v>45838</v>
      </c>
      <c r="T778" s="2">
        <v>45842</v>
      </c>
      <c r="U778" t="s">
        <v>36</v>
      </c>
      <c r="V778">
        <v>30</v>
      </c>
      <c r="W778">
        <v>6</v>
      </c>
      <c r="X778" t="s">
        <v>41</v>
      </c>
      <c r="Y778">
        <v>2025</v>
      </c>
      <c r="Z778">
        <v>2</v>
      </c>
      <c r="AA778">
        <v>27</v>
      </c>
    </row>
    <row r="779" spans="1:27" x14ac:dyDescent="0.3">
      <c r="A779" s="2">
        <v>45693</v>
      </c>
      <c r="B779" t="s">
        <v>1</v>
      </c>
      <c r="C779" t="s">
        <v>7</v>
      </c>
      <c r="D779">
        <v>9</v>
      </c>
      <c r="E779">
        <v>188.03</v>
      </c>
      <c r="F779" t="s">
        <v>12</v>
      </c>
      <c r="G779" t="s">
        <v>17</v>
      </c>
      <c r="H779">
        <v>0</v>
      </c>
      <c r="I779" t="s">
        <v>20</v>
      </c>
      <c r="J779">
        <v>1692.27</v>
      </c>
      <c r="K779" t="s">
        <v>28</v>
      </c>
      <c r="L779" t="s">
        <v>29</v>
      </c>
      <c r="M779">
        <v>0</v>
      </c>
      <c r="N779" t="s">
        <v>852</v>
      </c>
      <c r="O779" t="s">
        <v>2352</v>
      </c>
      <c r="P779">
        <v>11.44</v>
      </c>
      <c r="Q779">
        <f t="shared" si="12"/>
        <v>188.03</v>
      </c>
      <c r="R779">
        <v>1680.83</v>
      </c>
      <c r="S779" s="2">
        <v>45693</v>
      </c>
      <c r="T779" s="2">
        <v>45695</v>
      </c>
      <c r="U779" t="s">
        <v>34</v>
      </c>
      <c r="V779">
        <v>5</v>
      </c>
      <c r="W779">
        <v>2</v>
      </c>
      <c r="X779" t="s">
        <v>38</v>
      </c>
      <c r="Y779">
        <v>2025</v>
      </c>
      <c r="Z779">
        <v>1</v>
      </c>
      <c r="AA779">
        <v>6</v>
      </c>
    </row>
    <row r="780" spans="1:27" x14ac:dyDescent="0.3">
      <c r="A780" s="2">
        <v>45431</v>
      </c>
      <c r="B780" t="s">
        <v>0</v>
      </c>
      <c r="C780" t="s">
        <v>7</v>
      </c>
      <c r="D780">
        <v>17</v>
      </c>
      <c r="E780">
        <v>238.17</v>
      </c>
      <c r="F780" t="s">
        <v>15</v>
      </c>
      <c r="G780" t="s">
        <v>16</v>
      </c>
      <c r="H780">
        <v>0.15</v>
      </c>
      <c r="I780" t="s">
        <v>20</v>
      </c>
      <c r="J780">
        <v>3441.5565000000001</v>
      </c>
      <c r="K780" t="s">
        <v>28</v>
      </c>
      <c r="L780" t="s">
        <v>29</v>
      </c>
      <c r="M780">
        <v>0</v>
      </c>
      <c r="N780" t="s">
        <v>853</v>
      </c>
      <c r="O780" t="s">
        <v>2353</v>
      </c>
      <c r="P780">
        <v>21.64</v>
      </c>
      <c r="Q780">
        <f t="shared" si="12"/>
        <v>202.44450000000001</v>
      </c>
      <c r="R780">
        <v>3419.9165000000003</v>
      </c>
      <c r="S780" s="2">
        <v>45431</v>
      </c>
      <c r="T780" s="2">
        <v>45441</v>
      </c>
      <c r="U780" t="s">
        <v>33</v>
      </c>
      <c r="V780">
        <v>19</v>
      </c>
      <c r="W780">
        <v>5</v>
      </c>
      <c r="X780" t="s">
        <v>40</v>
      </c>
      <c r="Y780">
        <v>2024</v>
      </c>
      <c r="Z780">
        <v>2</v>
      </c>
      <c r="AA780">
        <v>20</v>
      </c>
    </row>
    <row r="781" spans="1:27" x14ac:dyDescent="0.3">
      <c r="A781" s="2">
        <v>44989</v>
      </c>
      <c r="B781" t="s">
        <v>2</v>
      </c>
      <c r="C781" t="s">
        <v>11</v>
      </c>
      <c r="D781">
        <v>10</v>
      </c>
      <c r="E781">
        <v>450.71</v>
      </c>
      <c r="F781" t="s">
        <v>12</v>
      </c>
      <c r="G781" t="s">
        <v>17</v>
      </c>
      <c r="H781">
        <v>0.1</v>
      </c>
      <c r="I781" t="s">
        <v>23</v>
      </c>
      <c r="J781">
        <v>4056.389999999999</v>
      </c>
      <c r="K781" t="s">
        <v>25</v>
      </c>
      <c r="L781" t="s">
        <v>30</v>
      </c>
      <c r="M781">
        <v>0</v>
      </c>
      <c r="N781" t="s">
        <v>854</v>
      </c>
      <c r="O781" t="s">
        <v>2354</v>
      </c>
      <c r="P781">
        <v>21.31</v>
      </c>
      <c r="Q781">
        <f t="shared" si="12"/>
        <v>405.6389999999999</v>
      </c>
      <c r="R781">
        <v>4035.079999999999</v>
      </c>
      <c r="S781" s="2">
        <v>44989</v>
      </c>
      <c r="T781" s="2">
        <v>44997</v>
      </c>
      <c r="U781" t="s">
        <v>35</v>
      </c>
      <c r="V781">
        <v>4</v>
      </c>
      <c r="W781">
        <v>3</v>
      </c>
      <c r="X781" t="s">
        <v>44</v>
      </c>
      <c r="Y781">
        <v>2023</v>
      </c>
      <c r="Z781">
        <v>1</v>
      </c>
      <c r="AA781">
        <v>9</v>
      </c>
    </row>
    <row r="782" spans="1:27" x14ac:dyDescent="0.3">
      <c r="A782" s="2">
        <v>44948</v>
      </c>
      <c r="B782" t="s">
        <v>3</v>
      </c>
      <c r="C782" t="s">
        <v>9</v>
      </c>
      <c r="D782">
        <v>2</v>
      </c>
      <c r="E782">
        <v>413.36</v>
      </c>
      <c r="F782" t="s">
        <v>15</v>
      </c>
      <c r="G782" t="s">
        <v>17</v>
      </c>
      <c r="H782">
        <v>0.1</v>
      </c>
      <c r="I782" t="s">
        <v>19</v>
      </c>
      <c r="J782">
        <v>744.048</v>
      </c>
      <c r="K782" t="s">
        <v>24</v>
      </c>
      <c r="L782" t="s">
        <v>30</v>
      </c>
      <c r="M782">
        <v>1</v>
      </c>
      <c r="N782" t="s">
        <v>855</v>
      </c>
      <c r="O782" t="s">
        <v>2355</v>
      </c>
      <c r="P782">
        <v>41.69</v>
      </c>
      <c r="Q782">
        <f t="shared" si="12"/>
        <v>372.024</v>
      </c>
      <c r="R782">
        <v>702.35799999999995</v>
      </c>
      <c r="S782" s="2">
        <v>44948</v>
      </c>
      <c r="T782" s="2">
        <v>44950</v>
      </c>
      <c r="U782" t="s">
        <v>36</v>
      </c>
      <c r="V782">
        <v>22</v>
      </c>
      <c r="W782">
        <v>1</v>
      </c>
      <c r="X782" t="s">
        <v>42</v>
      </c>
      <c r="Y782">
        <v>2023</v>
      </c>
      <c r="Z782">
        <v>1</v>
      </c>
      <c r="AA782">
        <v>3</v>
      </c>
    </row>
    <row r="783" spans="1:27" x14ac:dyDescent="0.3">
      <c r="A783" s="2">
        <v>45005</v>
      </c>
      <c r="B783" t="s">
        <v>1</v>
      </c>
      <c r="C783" t="s">
        <v>6</v>
      </c>
      <c r="D783">
        <v>20</v>
      </c>
      <c r="E783">
        <v>536.71</v>
      </c>
      <c r="F783" t="s">
        <v>12</v>
      </c>
      <c r="G783" t="s">
        <v>17</v>
      </c>
      <c r="H783">
        <v>0.15</v>
      </c>
      <c r="I783" t="s">
        <v>21</v>
      </c>
      <c r="J783">
        <v>9124.07</v>
      </c>
      <c r="K783" t="s">
        <v>27</v>
      </c>
      <c r="L783" t="s">
        <v>30</v>
      </c>
      <c r="M783">
        <v>0</v>
      </c>
      <c r="N783" t="s">
        <v>856</v>
      </c>
      <c r="O783" t="s">
        <v>2356</v>
      </c>
      <c r="P783">
        <v>41.42</v>
      </c>
      <c r="Q783">
        <f t="shared" si="12"/>
        <v>456.20349999999996</v>
      </c>
      <c r="R783">
        <v>9082.65</v>
      </c>
      <c r="S783" s="2">
        <v>45005</v>
      </c>
      <c r="T783" s="2">
        <v>45010</v>
      </c>
      <c r="U783" t="s">
        <v>34</v>
      </c>
      <c r="V783">
        <v>20</v>
      </c>
      <c r="W783">
        <v>3</v>
      </c>
      <c r="X783" t="s">
        <v>44</v>
      </c>
      <c r="Y783">
        <v>2023</v>
      </c>
      <c r="Z783">
        <v>1</v>
      </c>
      <c r="AA783">
        <v>12</v>
      </c>
    </row>
    <row r="784" spans="1:27" x14ac:dyDescent="0.3">
      <c r="A784" s="2">
        <v>45448</v>
      </c>
      <c r="B784" t="s">
        <v>4</v>
      </c>
      <c r="C784" t="s">
        <v>6</v>
      </c>
      <c r="D784">
        <v>5</v>
      </c>
      <c r="E784">
        <v>206.42</v>
      </c>
      <c r="F784" t="s">
        <v>15</v>
      </c>
      <c r="G784" t="s">
        <v>17</v>
      </c>
      <c r="H784">
        <v>0.05</v>
      </c>
      <c r="I784" t="s">
        <v>19</v>
      </c>
      <c r="J784">
        <v>980.49499999999989</v>
      </c>
      <c r="K784" t="s">
        <v>27</v>
      </c>
      <c r="L784" t="s">
        <v>31</v>
      </c>
      <c r="M784">
        <v>0</v>
      </c>
      <c r="N784" t="s">
        <v>857</v>
      </c>
      <c r="O784" t="s">
        <v>2357</v>
      </c>
      <c r="P784">
        <v>35.51</v>
      </c>
      <c r="Q784">
        <f t="shared" si="12"/>
        <v>196.09899999999999</v>
      </c>
      <c r="R784">
        <v>944.9849999999999</v>
      </c>
      <c r="S784" s="2">
        <v>45448</v>
      </c>
      <c r="T784" s="2">
        <v>45456</v>
      </c>
      <c r="U784" t="s">
        <v>37</v>
      </c>
      <c r="V784">
        <v>5</v>
      </c>
      <c r="W784">
        <v>6</v>
      </c>
      <c r="X784" t="s">
        <v>41</v>
      </c>
      <c r="Y784">
        <v>2024</v>
      </c>
      <c r="Z784">
        <v>2</v>
      </c>
      <c r="AA784">
        <v>23</v>
      </c>
    </row>
    <row r="785" spans="1:27" x14ac:dyDescent="0.3">
      <c r="A785" s="2">
        <v>45482</v>
      </c>
      <c r="B785" t="s">
        <v>0</v>
      </c>
      <c r="C785" t="s">
        <v>11</v>
      </c>
      <c r="D785">
        <v>4</v>
      </c>
      <c r="E785">
        <v>256.83</v>
      </c>
      <c r="F785" t="s">
        <v>13</v>
      </c>
      <c r="G785" t="s">
        <v>16</v>
      </c>
      <c r="H785">
        <v>0.15</v>
      </c>
      <c r="I785" t="s">
        <v>21</v>
      </c>
      <c r="J785">
        <v>873.22199999999987</v>
      </c>
      <c r="K785" t="s">
        <v>28</v>
      </c>
      <c r="L785" t="s">
        <v>32</v>
      </c>
      <c r="M785">
        <v>1</v>
      </c>
      <c r="N785" t="s">
        <v>858</v>
      </c>
      <c r="O785" t="s">
        <v>2358</v>
      </c>
      <c r="P785">
        <v>44.72</v>
      </c>
      <c r="Q785">
        <f t="shared" si="12"/>
        <v>218.30549999999997</v>
      </c>
      <c r="R785">
        <v>828.50199999999984</v>
      </c>
      <c r="S785" s="2">
        <v>45482</v>
      </c>
      <c r="T785" s="2">
        <v>45490</v>
      </c>
      <c r="U785" t="s">
        <v>33</v>
      </c>
      <c r="V785">
        <v>9</v>
      </c>
      <c r="W785">
        <v>7</v>
      </c>
      <c r="X785" t="s">
        <v>46</v>
      </c>
      <c r="Y785">
        <v>2024</v>
      </c>
      <c r="Z785">
        <v>3</v>
      </c>
      <c r="AA785">
        <v>28</v>
      </c>
    </row>
    <row r="786" spans="1:27" x14ac:dyDescent="0.3">
      <c r="A786" s="2">
        <v>45724</v>
      </c>
      <c r="B786" t="s">
        <v>1</v>
      </c>
      <c r="C786" t="s">
        <v>9</v>
      </c>
      <c r="D786">
        <v>1</v>
      </c>
      <c r="E786">
        <v>247.04</v>
      </c>
      <c r="F786" t="s">
        <v>14</v>
      </c>
      <c r="G786" t="s">
        <v>16</v>
      </c>
      <c r="H786">
        <v>0</v>
      </c>
      <c r="I786" t="s">
        <v>23</v>
      </c>
      <c r="J786">
        <v>247.04</v>
      </c>
      <c r="K786" t="s">
        <v>26</v>
      </c>
      <c r="L786" t="s">
        <v>29</v>
      </c>
      <c r="M786">
        <v>0</v>
      </c>
      <c r="N786" t="s">
        <v>859</v>
      </c>
      <c r="O786" t="s">
        <v>2359</v>
      </c>
      <c r="P786">
        <v>26.86</v>
      </c>
      <c r="Q786">
        <f t="shared" si="12"/>
        <v>247.04</v>
      </c>
      <c r="R786">
        <v>220.18</v>
      </c>
      <c r="S786" s="2">
        <v>45724</v>
      </c>
      <c r="T786" s="2">
        <v>45729</v>
      </c>
      <c r="U786" t="s">
        <v>34</v>
      </c>
      <c r="V786">
        <v>8</v>
      </c>
      <c r="W786">
        <v>3</v>
      </c>
      <c r="X786" t="s">
        <v>44</v>
      </c>
      <c r="Y786">
        <v>2025</v>
      </c>
      <c r="Z786">
        <v>1</v>
      </c>
      <c r="AA786">
        <v>10</v>
      </c>
    </row>
    <row r="787" spans="1:27" x14ac:dyDescent="0.3">
      <c r="A787" s="2">
        <v>45829</v>
      </c>
      <c r="B787" t="s">
        <v>1</v>
      </c>
      <c r="C787" t="s">
        <v>10</v>
      </c>
      <c r="D787">
        <v>3</v>
      </c>
      <c r="E787">
        <v>583.38</v>
      </c>
      <c r="F787" t="s">
        <v>12</v>
      </c>
      <c r="G787" t="s">
        <v>17</v>
      </c>
      <c r="H787">
        <v>0.15</v>
      </c>
      <c r="I787" t="s">
        <v>22</v>
      </c>
      <c r="J787">
        <v>1487.6189999999999</v>
      </c>
      <c r="K787" t="s">
        <v>28</v>
      </c>
      <c r="L787" t="s">
        <v>31</v>
      </c>
      <c r="M787">
        <v>1</v>
      </c>
      <c r="N787" t="s">
        <v>860</v>
      </c>
      <c r="O787" t="s">
        <v>2360</v>
      </c>
      <c r="P787">
        <v>30.12</v>
      </c>
      <c r="Q787">
        <f t="shared" si="12"/>
        <v>495.87299999999999</v>
      </c>
      <c r="R787">
        <v>1457.499</v>
      </c>
      <c r="S787" s="2">
        <v>45829</v>
      </c>
      <c r="T787" s="2">
        <v>45838</v>
      </c>
      <c r="U787" t="s">
        <v>34</v>
      </c>
      <c r="V787">
        <v>21</v>
      </c>
      <c r="W787">
        <v>6</v>
      </c>
      <c r="X787" t="s">
        <v>41</v>
      </c>
      <c r="Y787">
        <v>2025</v>
      </c>
      <c r="Z787">
        <v>2</v>
      </c>
      <c r="AA787">
        <v>25</v>
      </c>
    </row>
    <row r="788" spans="1:27" x14ac:dyDescent="0.3">
      <c r="A788" s="2">
        <v>45836</v>
      </c>
      <c r="B788" t="s">
        <v>2</v>
      </c>
      <c r="C788" t="s">
        <v>10</v>
      </c>
      <c r="D788">
        <v>13</v>
      </c>
      <c r="E788">
        <v>341.38</v>
      </c>
      <c r="F788" t="s">
        <v>14</v>
      </c>
      <c r="G788" t="s">
        <v>17</v>
      </c>
      <c r="H788">
        <v>0.15</v>
      </c>
      <c r="I788" t="s">
        <v>19</v>
      </c>
      <c r="J788">
        <v>3772.2489999999989</v>
      </c>
      <c r="K788" t="s">
        <v>28</v>
      </c>
      <c r="L788" t="s">
        <v>32</v>
      </c>
      <c r="M788">
        <v>0</v>
      </c>
      <c r="N788" t="s">
        <v>861</v>
      </c>
      <c r="O788" t="s">
        <v>2361</v>
      </c>
      <c r="P788">
        <v>18.2</v>
      </c>
      <c r="Q788">
        <f t="shared" si="12"/>
        <v>290.17299999999989</v>
      </c>
      <c r="R788">
        <v>3754.0489999999991</v>
      </c>
      <c r="S788" s="2">
        <v>45836</v>
      </c>
      <c r="T788" s="2">
        <v>45839</v>
      </c>
      <c r="U788" t="s">
        <v>35</v>
      </c>
      <c r="V788">
        <v>28</v>
      </c>
      <c r="W788">
        <v>6</v>
      </c>
      <c r="X788" t="s">
        <v>41</v>
      </c>
      <c r="Y788">
        <v>2025</v>
      </c>
      <c r="Z788">
        <v>2</v>
      </c>
      <c r="AA788">
        <v>26</v>
      </c>
    </row>
    <row r="789" spans="1:27" x14ac:dyDescent="0.3">
      <c r="A789" s="2">
        <v>45752</v>
      </c>
      <c r="B789" t="s">
        <v>4</v>
      </c>
      <c r="C789" t="s">
        <v>8</v>
      </c>
      <c r="D789">
        <v>19</v>
      </c>
      <c r="E789">
        <v>267.02999999999997</v>
      </c>
      <c r="F789" t="s">
        <v>15</v>
      </c>
      <c r="G789" t="s">
        <v>16</v>
      </c>
      <c r="H789">
        <v>0.15</v>
      </c>
      <c r="I789" t="s">
        <v>23</v>
      </c>
      <c r="J789">
        <v>4312.5344999999998</v>
      </c>
      <c r="K789" t="s">
        <v>24</v>
      </c>
      <c r="L789" t="s">
        <v>30</v>
      </c>
      <c r="M789">
        <v>1</v>
      </c>
      <c r="N789" t="s">
        <v>862</v>
      </c>
      <c r="O789" t="s">
        <v>2362</v>
      </c>
      <c r="P789">
        <v>35.82</v>
      </c>
      <c r="Q789">
        <f t="shared" si="12"/>
        <v>226.97549999999998</v>
      </c>
      <c r="R789">
        <v>4276.7145</v>
      </c>
      <c r="S789" s="2">
        <v>45752</v>
      </c>
      <c r="T789" s="2">
        <v>45760</v>
      </c>
      <c r="U789" t="s">
        <v>37</v>
      </c>
      <c r="V789">
        <v>5</v>
      </c>
      <c r="W789">
        <v>4</v>
      </c>
      <c r="X789" t="s">
        <v>45</v>
      </c>
      <c r="Y789">
        <v>2025</v>
      </c>
      <c r="Z789">
        <v>2</v>
      </c>
      <c r="AA789">
        <v>14</v>
      </c>
    </row>
    <row r="790" spans="1:27" x14ac:dyDescent="0.3">
      <c r="A790" s="2">
        <v>45356</v>
      </c>
      <c r="B790" t="s">
        <v>1</v>
      </c>
      <c r="C790" t="s">
        <v>11</v>
      </c>
      <c r="D790">
        <v>7</v>
      </c>
      <c r="E790">
        <v>77.69</v>
      </c>
      <c r="F790" t="s">
        <v>15</v>
      </c>
      <c r="G790" t="s">
        <v>16</v>
      </c>
      <c r="H790">
        <v>0</v>
      </c>
      <c r="I790" t="s">
        <v>21</v>
      </c>
      <c r="J790">
        <v>543.82999999999993</v>
      </c>
      <c r="K790" t="s">
        <v>26</v>
      </c>
      <c r="L790" t="s">
        <v>30</v>
      </c>
      <c r="M790">
        <v>0</v>
      </c>
      <c r="N790" t="s">
        <v>863</v>
      </c>
      <c r="O790" t="s">
        <v>2363</v>
      </c>
      <c r="P790">
        <v>41.89</v>
      </c>
      <c r="Q790">
        <f t="shared" si="12"/>
        <v>77.689999999999984</v>
      </c>
      <c r="R790">
        <v>501.93999999999994</v>
      </c>
      <c r="S790" s="2">
        <v>45356</v>
      </c>
      <c r="T790" s="2">
        <v>45363</v>
      </c>
      <c r="U790" t="s">
        <v>34</v>
      </c>
      <c r="V790">
        <v>5</v>
      </c>
      <c r="W790">
        <v>3</v>
      </c>
      <c r="X790" t="s">
        <v>44</v>
      </c>
      <c r="Y790">
        <v>2024</v>
      </c>
      <c r="Z790">
        <v>1</v>
      </c>
      <c r="AA790">
        <v>10</v>
      </c>
    </row>
    <row r="791" spans="1:27" x14ac:dyDescent="0.3">
      <c r="A791" s="2">
        <v>45360</v>
      </c>
      <c r="B791" t="s">
        <v>0</v>
      </c>
      <c r="C791" t="s">
        <v>6</v>
      </c>
      <c r="D791">
        <v>20</v>
      </c>
      <c r="E791">
        <v>312.43</v>
      </c>
      <c r="F791" t="s">
        <v>14</v>
      </c>
      <c r="G791" t="s">
        <v>17</v>
      </c>
      <c r="H791">
        <v>0</v>
      </c>
      <c r="I791" t="s">
        <v>21</v>
      </c>
      <c r="J791">
        <v>6248.6</v>
      </c>
      <c r="K791" t="s">
        <v>26</v>
      </c>
      <c r="L791" t="s">
        <v>30</v>
      </c>
      <c r="M791">
        <v>0</v>
      </c>
      <c r="N791" t="s">
        <v>864</v>
      </c>
      <c r="O791" t="s">
        <v>2364</v>
      </c>
      <c r="P791">
        <v>28.11</v>
      </c>
      <c r="Q791">
        <f t="shared" si="12"/>
        <v>312.43</v>
      </c>
      <c r="R791">
        <v>6220.4900000000007</v>
      </c>
      <c r="S791" s="2">
        <v>45360</v>
      </c>
      <c r="T791" s="2">
        <v>45362</v>
      </c>
      <c r="U791" t="s">
        <v>33</v>
      </c>
      <c r="V791">
        <v>9</v>
      </c>
      <c r="W791">
        <v>3</v>
      </c>
      <c r="X791" t="s">
        <v>44</v>
      </c>
      <c r="Y791">
        <v>2024</v>
      </c>
      <c r="Z791">
        <v>1</v>
      </c>
      <c r="AA791">
        <v>10</v>
      </c>
    </row>
    <row r="792" spans="1:27" x14ac:dyDescent="0.3">
      <c r="A792" s="2">
        <v>45713</v>
      </c>
      <c r="B792" t="s">
        <v>3</v>
      </c>
      <c r="C792" t="s">
        <v>9</v>
      </c>
      <c r="D792">
        <v>19</v>
      </c>
      <c r="E792">
        <v>14.1</v>
      </c>
      <c r="F792" t="s">
        <v>14</v>
      </c>
      <c r="G792" t="s">
        <v>16</v>
      </c>
      <c r="H792">
        <v>0.05</v>
      </c>
      <c r="I792" t="s">
        <v>21</v>
      </c>
      <c r="J792">
        <v>254.505</v>
      </c>
      <c r="K792" t="s">
        <v>28</v>
      </c>
      <c r="L792" t="s">
        <v>29</v>
      </c>
      <c r="M792">
        <v>0</v>
      </c>
      <c r="N792" t="s">
        <v>865</v>
      </c>
      <c r="O792" t="s">
        <v>2365</v>
      </c>
      <c r="P792">
        <v>37.840000000000003</v>
      </c>
      <c r="Q792">
        <f t="shared" si="12"/>
        <v>13.395</v>
      </c>
      <c r="R792">
        <v>216.66499999999999</v>
      </c>
      <c r="S792" s="2">
        <v>45713</v>
      </c>
      <c r="T792" s="2">
        <v>45716</v>
      </c>
      <c r="U792" t="s">
        <v>36</v>
      </c>
      <c r="V792">
        <v>25</v>
      </c>
      <c r="W792">
        <v>2</v>
      </c>
      <c r="X792" t="s">
        <v>38</v>
      </c>
      <c r="Y792">
        <v>2025</v>
      </c>
      <c r="Z792">
        <v>1</v>
      </c>
      <c r="AA792">
        <v>9</v>
      </c>
    </row>
    <row r="793" spans="1:27" x14ac:dyDescent="0.3">
      <c r="A793" s="2">
        <v>45612</v>
      </c>
      <c r="B793" t="s">
        <v>4</v>
      </c>
      <c r="C793" t="s">
        <v>10</v>
      </c>
      <c r="D793">
        <v>17</v>
      </c>
      <c r="E793">
        <v>266.83</v>
      </c>
      <c r="F793" t="s">
        <v>15</v>
      </c>
      <c r="G793" t="s">
        <v>17</v>
      </c>
      <c r="H793">
        <v>0.05</v>
      </c>
      <c r="I793" t="s">
        <v>20</v>
      </c>
      <c r="J793">
        <v>4309.3044999999993</v>
      </c>
      <c r="K793" t="s">
        <v>26</v>
      </c>
      <c r="L793" t="s">
        <v>31</v>
      </c>
      <c r="M793">
        <v>0</v>
      </c>
      <c r="N793" t="s">
        <v>866</v>
      </c>
      <c r="O793" t="s">
        <v>2366</v>
      </c>
      <c r="P793">
        <v>32.520000000000003</v>
      </c>
      <c r="Q793">
        <f t="shared" si="12"/>
        <v>253.48849999999996</v>
      </c>
      <c r="R793">
        <v>4276.7844999999988</v>
      </c>
      <c r="S793" s="2">
        <v>45612</v>
      </c>
      <c r="T793" s="2">
        <v>45619</v>
      </c>
      <c r="U793" t="s">
        <v>37</v>
      </c>
      <c r="V793">
        <v>16</v>
      </c>
      <c r="W793">
        <v>11</v>
      </c>
      <c r="X793" t="s">
        <v>47</v>
      </c>
      <c r="Y793">
        <v>2024</v>
      </c>
      <c r="Z793">
        <v>4</v>
      </c>
      <c r="AA793">
        <v>46</v>
      </c>
    </row>
    <row r="794" spans="1:27" x14ac:dyDescent="0.3">
      <c r="A794" s="2">
        <v>45505</v>
      </c>
      <c r="B794" t="s">
        <v>1</v>
      </c>
      <c r="C794" t="s">
        <v>11</v>
      </c>
      <c r="D794">
        <v>20</v>
      </c>
      <c r="E794">
        <v>248.11</v>
      </c>
      <c r="F794" t="s">
        <v>15</v>
      </c>
      <c r="G794" t="s">
        <v>16</v>
      </c>
      <c r="H794">
        <v>0.05</v>
      </c>
      <c r="I794" t="s">
        <v>21</v>
      </c>
      <c r="J794">
        <v>4714.09</v>
      </c>
      <c r="K794" t="s">
        <v>24</v>
      </c>
      <c r="L794" t="s">
        <v>30</v>
      </c>
      <c r="M794">
        <v>0</v>
      </c>
      <c r="N794" t="s">
        <v>867</v>
      </c>
      <c r="O794" t="s">
        <v>2367</v>
      </c>
      <c r="P794">
        <v>22.96</v>
      </c>
      <c r="Q794">
        <f t="shared" si="12"/>
        <v>235.7045</v>
      </c>
      <c r="R794">
        <v>4691.13</v>
      </c>
      <c r="S794" s="2">
        <v>45505</v>
      </c>
      <c r="T794" s="2">
        <v>45510</v>
      </c>
      <c r="U794" t="s">
        <v>34</v>
      </c>
      <c r="V794">
        <v>1</v>
      </c>
      <c r="W794">
        <v>8</v>
      </c>
      <c r="X794" t="s">
        <v>48</v>
      </c>
      <c r="Y794">
        <v>2024</v>
      </c>
      <c r="Z794">
        <v>3</v>
      </c>
      <c r="AA794">
        <v>31</v>
      </c>
    </row>
    <row r="795" spans="1:27" x14ac:dyDescent="0.3">
      <c r="A795" s="2">
        <v>45402</v>
      </c>
      <c r="B795" t="s">
        <v>4</v>
      </c>
      <c r="C795" t="s">
        <v>8</v>
      </c>
      <c r="D795">
        <v>5</v>
      </c>
      <c r="E795">
        <v>316.76</v>
      </c>
      <c r="F795" t="s">
        <v>12</v>
      </c>
      <c r="G795" t="s">
        <v>17</v>
      </c>
      <c r="H795">
        <v>0.05</v>
      </c>
      <c r="I795" t="s">
        <v>19</v>
      </c>
      <c r="J795">
        <v>1504.61</v>
      </c>
      <c r="K795" t="s">
        <v>25</v>
      </c>
      <c r="L795" t="s">
        <v>29</v>
      </c>
      <c r="M795">
        <v>1</v>
      </c>
      <c r="N795" t="s">
        <v>868</v>
      </c>
      <c r="O795" t="s">
        <v>2368</v>
      </c>
      <c r="P795">
        <v>12.7</v>
      </c>
      <c r="Q795">
        <f t="shared" si="12"/>
        <v>300.92199999999997</v>
      </c>
      <c r="R795">
        <v>1491.9099999999999</v>
      </c>
      <c r="S795" s="2">
        <v>45402</v>
      </c>
      <c r="T795" s="2">
        <v>45412</v>
      </c>
      <c r="U795" t="s">
        <v>37</v>
      </c>
      <c r="V795">
        <v>20</v>
      </c>
      <c r="W795">
        <v>4</v>
      </c>
      <c r="X795" t="s">
        <v>45</v>
      </c>
      <c r="Y795">
        <v>2024</v>
      </c>
      <c r="Z795">
        <v>2</v>
      </c>
      <c r="AA795">
        <v>16</v>
      </c>
    </row>
    <row r="796" spans="1:27" x14ac:dyDescent="0.3">
      <c r="A796" s="2">
        <v>45402</v>
      </c>
      <c r="B796" t="s">
        <v>1</v>
      </c>
      <c r="C796" t="s">
        <v>5</v>
      </c>
      <c r="D796">
        <v>2</v>
      </c>
      <c r="E796">
        <v>169.62</v>
      </c>
      <c r="F796" t="s">
        <v>14</v>
      </c>
      <c r="G796" t="s">
        <v>17</v>
      </c>
      <c r="H796">
        <v>0.1</v>
      </c>
      <c r="I796" t="s">
        <v>19</v>
      </c>
      <c r="J796">
        <v>305.31599999999997</v>
      </c>
      <c r="K796" t="s">
        <v>27</v>
      </c>
      <c r="L796" t="s">
        <v>32</v>
      </c>
      <c r="M796">
        <v>0</v>
      </c>
      <c r="N796" t="s">
        <v>869</v>
      </c>
      <c r="O796" t="s">
        <v>2369</v>
      </c>
      <c r="P796">
        <v>45.41</v>
      </c>
      <c r="Q796">
        <f t="shared" si="12"/>
        <v>152.65799999999999</v>
      </c>
      <c r="R796">
        <v>259.90599999999995</v>
      </c>
      <c r="S796" s="2">
        <v>45402</v>
      </c>
      <c r="T796" s="2">
        <v>45407</v>
      </c>
      <c r="U796" t="s">
        <v>34</v>
      </c>
      <c r="V796">
        <v>20</v>
      </c>
      <c r="W796">
        <v>4</v>
      </c>
      <c r="X796" t="s">
        <v>45</v>
      </c>
      <c r="Y796">
        <v>2024</v>
      </c>
      <c r="Z796">
        <v>2</v>
      </c>
      <c r="AA796">
        <v>16</v>
      </c>
    </row>
    <row r="797" spans="1:27" x14ac:dyDescent="0.3">
      <c r="A797" s="2">
        <v>45191</v>
      </c>
      <c r="B797" t="s">
        <v>2</v>
      </c>
      <c r="C797" t="s">
        <v>5</v>
      </c>
      <c r="D797">
        <v>19</v>
      </c>
      <c r="E797">
        <v>35.380000000000003</v>
      </c>
      <c r="F797" t="s">
        <v>13</v>
      </c>
      <c r="G797" t="s">
        <v>17</v>
      </c>
      <c r="H797">
        <v>0.15</v>
      </c>
      <c r="I797" t="s">
        <v>22</v>
      </c>
      <c r="J797">
        <v>571.38700000000006</v>
      </c>
      <c r="K797" t="s">
        <v>24</v>
      </c>
      <c r="L797" t="s">
        <v>30</v>
      </c>
      <c r="M797">
        <v>0</v>
      </c>
      <c r="N797" t="s">
        <v>870</v>
      </c>
      <c r="O797" t="s">
        <v>2370</v>
      </c>
      <c r="P797">
        <v>7.06</v>
      </c>
      <c r="Q797">
        <f t="shared" si="12"/>
        <v>30.073000000000004</v>
      </c>
      <c r="R797">
        <v>564.32700000000011</v>
      </c>
      <c r="S797" s="2">
        <v>45191</v>
      </c>
      <c r="T797" s="2">
        <v>45197</v>
      </c>
      <c r="U797" t="s">
        <v>35</v>
      </c>
      <c r="V797">
        <v>22</v>
      </c>
      <c r="W797">
        <v>9</v>
      </c>
      <c r="X797" t="s">
        <v>49</v>
      </c>
      <c r="Y797">
        <v>2023</v>
      </c>
      <c r="Z797">
        <v>3</v>
      </c>
      <c r="AA797">
        <v>38</v>
      </c>
    </row>
    <row r="798" spans="1:27" x14ac:dyDescent="0.3">
      <c r="A798" s="2">
        <v>45709</v>
      </c>
      <c r="B798" t="s">
        <v>4</v>
      </c>
      <c r="C798" t="s">
        <v>8</v>
      </c>
      <c r="D798">
        <v>3</v>
      </c>
      <c r="E798">
        <v>264.08</v>
      </c>
      <c r="F798" t="s">
        <v>13</v>
      </c>
      <c r="G798" t="s">
        <v>17</v>
      </c>
      <c r="H798">
        <v>0.1</v>
      </c>
      <c r="I798" t="s">
        <v>22</v>
      </c>
      <c r="J798">
        <v>713.01600000000008</v>
      </c>
      <c r="K798" t="s">
        <v>24</v>
      </c>
      <c r="L798" t="s">
        <v>32</v>
      </c>
      <c r="M798">
        <v>0</v>
      </c>
      <c r="N798" t="s">
        <v>871</v>
      </c>
      <c r="O798" t="s">
        <v>2371</v>
      </c>
      <c r="P798">
        <v>25.39</v>
      </c>
      <c r="Q798">
        <f t="shared" si="12"/>
        <v>237.67200000000003</v>
      </c>
      <c r="R798">
        <v>687.62600000000009</v>
      </c>
      <c r="S798" s="2">
        <v>45709</v>
      </c>
      <c r="T798" s="2">
        <v>45718</v>
      </c>
      <c r="U798" t="s">
        <v>37</v>
      </c>
      <c r="V798">
        <v>21</v>
      </c>
      <c r="W798">
        <v>2</v>
      </c>
      <c r="X798" t="s">
        <v>38</v>
      </c>
      <c r="Y798">
        <v>2025</v>
      </c>
      <c r="Z798">
        <v>1</v>
      </c>
      <c r="AA798">
        <v>8</v>
      </c>
    </row>
    <row r="799" spans="1:27" x14ac:dyDescent="0.3">
      <c r="A799" s="2">
        <v>45832</v>
      </c>
      <c r="B799" t="s">
        <v>0</v>
      </c>
      <c r="C799" t="s">
        <v>10</v>
      </c>
      <c r="D799">
        <v>5</v>
      </c>
      <c r="E799">
        <v>137.56</v>
      </c>
      <c r="F799" t="s">
        <v>14</v>
      </c>
      <c r="G799" t="s">
        <v>16</v>
      </c>
      <c r="H799">
        <v>0.15</v>
      </c>
      <c r="I799" t="s">
        <v>22</v>
      </c>
      <c r="J799">
        <v>584.63</v>
      </c>
      <c r="K799" t="s">
        <v>27</v>
      </c>
      <c r="L799" t="s">
        <v>30</v>
      </c>
      <c r="M799">
        <v>0</v>
      </c>
      <c r="N799" t="s">
        <v>872</v>
      </c>
      <c r="O799" t="s">
        <v>2372</v>
      </c>
      <c r="P799">
        <v>6.45</v>
      </c>
      <c r="Q799">
        <f t="shared" si="12"/>
        <v>116.926</v>
      </c>
      <c r="R799">
        <v>578.17999999999995</v>
      </c>
      <c r="S799" s="2">
        <v>45832</v>
      </c>
      <c r="T799" s="2">
        <v>45839</v>
      </c>
      <c r="U799" t="s">
        <v>33</v>
      </c>
      <c r="V799">
        <v>24</v>
      </c>
      <c r="W799">
        <v>6</v>
      </c>
      <c r="X799" t="s">
        <v>41</v>
      </c>
      <c r="Y799">
        <v>2025</v>
      </c>
      <c r="Z799">
        <v>2</v>
      </c>
      <c r="AA799">
        <v>26</v>
      </c>
    </row>
    <row r="800" spans="1:27" x14ac:dyDescent="0.3">
      <c r="A800" s="2">
        <v>45258</v>
      </c>
      <c r="B800" t="s">
        <v>3</v>
      </c>
      <c r="C800" t="s">
        <v>5</v>
      </c>
      <c r="D800">
        <v>8</v>
      </c>
      <c r="E800">
        <v>157.93</v>
      </c>
      <c r="F800" t="s">
        <v>12</v>
      </c>
      <c r="G800" t="s">
        <v>17</v>
      </c>
      <c r="H800">
        <v>0.15</v>
      </c>
      <c r="I800" t="s">
        <v>22</v>
      </c>
      <c r="J800">
        <v>1073.924</v>
      </c>
      <c r="K800" t="s">
        <v>24</v>
      </c>
      <c r="L800" t="s">
        <v>30</v>
      </c>
      <c r="M800">
        <v>0</v>
      </c>
      <c r="N800" t="s">
        <v>873</v>
      </c>
      <c r="O800" t="s">
        <v>2373</v>
      </c>
      <c r="P800">
        <v>6.31</v>
      </c>
      <c r="Q800">
        <f t="shared" si="12"/>
        <v>134.2405</v>
      </c>
      <c r="R800">
        <v>1067.614</v>
      </c>
      <c r="S800" s="2">
        <v>45258</v>
      </c>
      <c r="T800" s="2">
        <v>45265</v>
      </c>
      <c r="U800" t="s">
        <v>36</v>
      </c>
      <c r="V800">
        <v>28</v>
      </c>
      <c r="W800">
        <v>11</v>
      </c>
      <c r="X800" t="s">
        <v>47</v>
      </c>
      <c r="Y800">
        <v>2023</v>
      </c>
      <c r="Z800">
        <v>4</v>
      </c>
      <c r="AA800">
        <v>48</v>
      </c>
    </row>
    <row r="801" spans="1:27" x14ac:dyDescent="0.3">
      <c r="A801" s="2">
        <v>45390</v>
      </c>
      <c r="B801" t="s">
        <v>2</v>
      </c>
      <c r="C801" t="s">
        <v>7</v>
      </c>
      <c r="D801">
        <v>6</v>
      </c>
      <c r="E801">
        <v>126.86</v>
      </c>
      <c r="F801" t="s">
        <v>14</v>
      </c>
      <c r="G801" t="s">
        <v>16</v>
      </c>
      <c r="H801">
        <v>0.05</v>
      </c>
      <c r="I801" t="s">
        <v>18</v>
      </c>
      <c r="J801">
        <v>723.10199999999998</v>
      </c>
      <c r="K801" t="s">
        <v>27</v>
      </c>
      <c r="L801" t="s">
        <v>29</v>
      </c>
      <c r="M801">
        <v>0</v>
      </c>
      <c r="N801" t="s">
        <v>874</v>
      </c>
      <c r="O801" t="s">
        <v>2374</v>
      </c>
      <c r="P801">
        <v>35.49</v>
      </c>
      <c r="Q801">
        <f t="shared" si="12"/>
        <v>120.517</v>
      </c>
      <c r="R801">
        <v>687.61199999999997</v>
      </c>
      <c r="S801" s="2">
        <v>45390</v>
      </c>
      <c r="T801" s="2">
        <v>45399</v>
      </c>
      <c r="U801" t="s">
        <v>35</v>
      </c>
      <c r="V801">
        <v>8</v>
      </c>
      <c r="W801">
        <v>4</v>
      </c>
      <c r="X801" t="s">
        <v>45</v>
      </c>
      <c r="Y801">
        <v>2024</v>
      </c>
      <c r="Z801">
        <v>2</v>
      </c>
      <c r="AA801">
        <v>15</v>
      </c>
    </row>
    <row r="802" spans="1:27" x14ac:dyDescent="0.3">
      <c r="A802" s="2">
        <v>45664</v>
      </c>
      <c r="B802" t="s">
        <v>2</v>
      </c>
      <c r="C802" t="s">
        <v>8</v>
      </c>
      <c r="D802">
        <v>15</v>
      </c>
      <c r="E802">
        <v>240.05</v>
      </c>
      <c r="F802" t="s">
        <v>14</v>
      </c>
      <c r="G802" t="s">
        <v>17</v>
      </c>
      <c r="H802">
        <v>0.05</v>
      </c>
      <c r="I802" t="s">
        <v>21</v>
      </c>
      <c r="J802">
        <v>3420.7125000000001</v>
      </c>
      <c r="K802" t="s">
        <v>26</v>
      </c>
      <c r="L802" t="s">
        <v>29</v>
      </c>
      <c r="M802">
        <v>0</v>
      </c>
      <c r="N802" t="s">
        <v>875</v>
      </c>
      <c r="O802" t="s">
        <v>2375</v>
      </c>
      <c r="P802">
        <v>14.31</v>
      </c>
      <c r="Q802">
        <f t="shared" si="12"/>
        <v>228.04750000000001</v>
      </c>
      <c r="R802">
        <v>3406.4025000000001</v>
      </c>
      <c r="S802" s="2">
        <v>45664</v>
      </c>
      <c r="T802" s="2">
        <v>45671</v>
      </c>
      <c r="U802" t="s">
        <v>35</v>
      </c>
      <c r="V802">
        <v>7</v>
      </c>
      <c r="W802">
        <v>1</v>
      </c>
      <c r="X802" t="s">
        <v>42</v>
      </c>
      <c r="Y802">
        <v>2025</v>
      </c>
      <c r="Z802">
        <v>1</v>
      </c>
      <c r="AA802">
        <v>2</v>
      </c>
    </row>
    <row r="803" spans="1:27" x14ac:dyDescent="0.3">
      <c r="A803" s="2">
        <v>44981</v>
      </c>
      <c r="B803" t="s">
        <v>1</v>
      </c>
      <c r="C803" t="s">
        <v>10</v>
      </c>
      <c r="D803">
        <v>3</v>
      </c>
      <c r="E803">
        <v>37.630000000000003</v>
      </c>
      <c r="F803" t="s">
        <v>13</v>
      </c>
      <c r="G803" t="s">
        <v>16</v>
      </c>
      <c r="H803">
        <v>0.1</v>
      </c>
      <c r="I803" t="s">
        <v>21</v>
      </c>
      <c r="J803">
        <v>101.601</v>
      </c>
      <c r="K803" t="s">
        <v>27</v>
      </c>
      <c r="L803" t="s">
        <v>29</v>
      </c>
      <c r="M803">
        <v>0</v>
      </c>
      <c r="N803" t="s">
        <v>876</v>
      </c>
      <c r="O803" t="s">
        <v>2376</v>
      </c>
      <c r="P803">
        <v>43.7</v>
      </c>
      <c r="Q803">
        <f t="shared" si="12"/>
        <v>33.866999999999997</v>
      </c>
      <c r="R803">
        <v>57.900999999999996</v>
      </c>
      <c r="S803" s="2">
        <v>44981</v>
      </c>
      <c r="T803" s="2">
        <v>44988</v>
      </c>
      <c r="U803" t="s">
        <v>34</v>
      </c>
      <c r="V803">
        <v>24</v>
      </c>
      <c r="W803">
        <v>2</v>
      </c>
      <c r="X803" t="s">
        <v>38</v>
      </c>
      <c r="Y803">
        <v>2023</v>
      </c>
      <c r="Z803">
        <v>1</v>
      </c>
      <c r="AA803">
        <v>8</v>
      </c>
    </row>
    <row r="804" spans="1:27" x14ac:dyDescent="0.3">
      <c r="A804" s="2">
        <v>45218</v>
      </c>
      <c r="B804" t="s">
        <v>0</v>
      </c>
      <c r="C804" t="s">
        <v>8</v>
      </c>
      <c r="D804">
        <v>13</v>
      </c>
      <c r="E804">
        <v>393.1</v>
      </c>
      <c r="F804" t="s">
        <v>12</v>
      </c>
      <c r="G804" t="s">
        <v>16</v>
      </c>
      <c r="H804">
        <v>0.1</v>
      </c>
      <c r="I804" t="s">
        <v>19</v>
      </c>
      <c r="J804">
        <v>4599.2700000000004</v>
      </c>
      <c r="K804" t="s">
        <v>24</v>
      </c>
      <c r="L804" t="s">
        <v>32</v>
      </c>
      <c r="M804">
        <v>0</v>
      </c>
      <c r="N804" t="s">
        <v>877</v>
      </c>
      <c r="O804" t="s">
        <v>2377</v>
      </c>
      <c r="P804">
        <v>12.64</v>
      </c>
      <c r="Q804">
        <f t="shared" si="12"/>
        <v>353.79</v>
      </c>
      <c r="R804">
        <v>4586.63</v>
      </c>
      <c r="S804" s="2">
        <v>45218</v>
      </c>
      <c r="T804" s="2">
        <v>45225</v>
      </c>
      <c r="U804" t="s">
        <v>33</v>
      </c>
      <c r="V804">
        <v>19</v>
      </c>
      <c r="W804">
        <v>10</v>
      </c>
      <c r="X804" t="s">
        <v>43</v>
      </c>
      <c r="Y804">
        <v>2023</v>
      </c>
      <c r="Z804">
        <v>4</v>
      </c>
      <c r="AA804">
        <v>42</v>
      </c>
    </row>
    <row r="805" spans="1:27" x14ac:dyDescent="0.3">
      <c r="A805" s="2">
        <v>45460</v>
      </c>
      <c r="B805" t="s">
        <v>2</v>
      </c>
      <c r="C805" t="s">
        <v>8</v>
      </c>
      <c r="D805">
        <v>10</v>
      </c>
      <c r="E805">
        <v>83.86</v>
      </c>
      <c r="F805" t="s">
        <v>13</v>
      </c>
      <c r="G805" t="s">
        <v>16</v>
      </c>
      <c r="H805">
        <v>0.15</v>
      </c>
      <c r="I805" t="s">
        <v>19</v>
      </c>
      <c r="J805">
        <v>712.81</v>
      </c>
      <c r="K805" t="s">
        <v>26</v>
      </c>
      <c r="L805" t="s">
        <v>32</v>
      </c>
      <c r="M805">
        <v>0</v>
      </c>
      <c r="N805" t="s">
        <v>878</v>
      </c>
      <c r="O805" t="s">
        <v>2378</v>
      </c>
      <c r="P805">
        <v>41.11</v>
      </c>
      <c r="Q805">
        <f t="shared" si="12"/>
        <v>71.280999999999992</v>
      </c>
      <c r="R805">
        <v>671.69999999999993</v>
      </c>
      <c r="S805" s="2">
        <v>45460</v>
      </c>
      <c r="T805" s="2">
        <v>45464</v>
      </c>
      <c r="U805" t="s">
        <v>35</v>
      </c>
      <c r="V805">
        <v>17</v>
      </c>
      <c r="W805">
        <v>6</v>
      </c>
      <c r="X805" t="s">
        <v>41</v>
      </c>
      <c r="Y805">
        <v>2024</v>
      </c>
      <c r="Z805">
        <v>2</v>
      </c>
      <c r="AA805">
        <v>25</v>
      </c>
    </row>
    <row r="806" spans="1:27" x14ac:dyDescent="0.3">
      <c r="A806" s="2">
        <v>45098</v>
      </c>
      <c r="B806" t="s">
        <v>3</v>
      </c>
      <c r="C806" t="s">
        <v>7</v>
      </c>
      <c r="D806">
        <v>10</v>
      </c>
      <c r="E806">
        <v>110.07</v>
      </c>
      <c r="F806" t="s">
        <v>12</v>
      </c>
      <c r="G806" t="s">
        <v>16</v>
      </c>
      <c r="H806">
        <v>0</v>
      </c>
      <c r="I806" t="s">
        <v>20</v>
      </c>
      <c r="J806">
        <v>1100.7</v>
      </c>
      <c r="K806" t="s">
        <v>26</v>
      </c>
      <c r="L806" t="s">
        <v>32</v>
      </c>
      <c r="M806">
        <v>0</v>
      </c>
      <c r="N806" t="s">
        <v>879</v>
      </c>
      <c r="O806" t="s">
        <v>2379</v>
      </c>
      <c r="P806">
        <v>18.47</v>
      </c>
      <c r="Q806">
        <f t="shared" si="12"/>
        <v>110.07000000000001</v>
      </c>
      <c r="R806">
        <v>1082.23</v>
      </c>
      <c r="S806" s="2">
        <v>45098</v>
      </c>
      <c r="T806" s="2">
        <v>45106</v>
      </c>
      <c r="U806" t="s">
        <v>36</v>
      </c>
      <c r="V806">
        <v>21</v>
      </c>
      <c r="W806">
        <v>6</v>
      </c>
      <c r="X806" t="s">
        <v>41</v>
      </c>
      <c r="Y806">
        <v>2023</v>
      </c>
      <c r="Z806">
        <v>2</v>
      </c>
      <c r="AA806">
        <v>25</v>
      </c>
    </row>
    <row r="807" spans="1:27" x14ac:dyDescent="0.3">
      <c r="A807" s="2">
        <v>45534</v>
      </c>
      <c r="B807" t="s">
        <v>0</v>
      </c>
      <c r="C807" t="s">
        <v>6</v>
      </c>
      <c r="D807">
        <v>6</v>
      </c>
      <c r="E807">
        <v>288.98</v>
      </c>
      <c r="F807" t="s">
        <v>14</v>
      </c>
      <c r="G807" t="s">
        <v>16</v>
      </c>
      <c r="H807">
        <v>0.15</v>
      </c>
      <c r="I807" t="s">
        <v>22</v>
      </c>
      <c r="J807">
        <v>1473.798</v>
      </c>
      <c r="K807" t="s">
        <v>25</v>
      </c>
      <c r="L807" t="s">
        <v>32</v>
      </c>
      <c r="M807">
        <v>0</v>
      </c>
      <c r="N807" t="s">
        <v>880</v>
      </c>
      <c r="O807" t="s">
        <v>2380</v>
      </c>
      <c r="P807">
        <v>38.630000000000003</v>
      </c>
      <c r="Q807">
        <f t="shared" si="12"/>
        <v>245.63300000000001</v>
      </c>
      <c r="R807">
        <v>1435.1679999999999</v>
      </c>
      <c r="S807" s="2">
        <v>45534</v>
      </c>
      <c r="T807" s="2">
        <v>45537</v>
      </c>
      <c r="U807" t="s">
        <v>33</v>
      </c>
      <c r="V807">
        <v>30</v>
      </c>
      <c r="W807">
        <v>8</v>
      </c>
      <c r="X807" t="s">
        <v>48</v>
      </c>
      <c r="Y807">
        <v>2024</v>
      </c>
      <c r="Z807">
        <v>3</v>
      </c>
      <c r="AA807">
        <v>35</v>
      </c>
    </row>
    <row r="808" spans="1:27" x14ac:dyDescent="0.3">
      <c r="A808" s="2">
        <v>45660</v>
      </c>
      <c r="B808" t="s">
        <v>3</v>
      </c>
      <c r="C808" t="s">
        <v>7</v>
      </c>
      <c r="D808">
        <v>10</v>
      </c>
      <c r="E808">
        <v>451.14</v>
      </c>
      <c r="F808" t="s">
        <v>13</v>
      </c>
      <c r="G808" t="s">
        <v>17</v>
      </c>
      <c r="H808">
        <v>0</v>
      </c>
      <c r="I808" t="s">
        <v>23</v>
      </c>
      <c r="J808">
        <v>4511.3999999999996</v>
      </c>
      <c r="K808" t="s">
        <v>25</v>
      </c>
      <c r="L808" t="s">
        <v>29</v>
      </c>
      <c r="M808">
        <v>0</v>
      </c>
      <c r="N808" t="s">
        <v>881</v>
      </c>
      <c r="O808" t="s">
        <v>2381</v>
      </c>
      <c r="P808">
        <v>29.96</v>
      </c>
      <c r="Q808">
        <f t="shared" si="12"/>
        <v>451.14</v>
      </c>
      <c r="R808">
        <v>4481.4399999999996</v>
      </c>
      <c r="S808" s="2">
        <v>45660</v>
      </c>
      <c r="T808" s="2">
        <v>45670</v>
      </c>
      <c r="U808" t="s">
        <v>36</v>
      </c>
      <c r="V808">
        <v>3</v>
      </c>
      <c r="W808">
        <v>1</v>
      </c>
      <c r="X808" t="s">
        <v>42</v>
      </c>
      <c r="Y808">
        <v>2025</v>
      </c>
      <c r="Z808">
        <v>1</v>
      </c>
      <c r="AA808">
        <v>1</v>
      </c>
    </row>
    <row r="809" spans="1:27" x14ac:dyDescent="0.3">
      <c r="A809" s="2">
        <v>44980</v>
      </c>
      <c r="B809" t="s">
        <v>4</v>
      </c>
      <c r="C809" t="s">
        <v>11</v>
      </c>
      <c r="D809">
        <v>16</v>
      </c>
      <c r="E809">
        <v>509.08</v>
      </c>
      <c r="F809" t="s">
        <v>14</v>
      </c>
      <c r="G809" t="s">
        <v>16</v>
      </c>
      <c r="H809">
        <v>0</v>
      </c>
      <c r="I809" t="s">
        <v>21</v>
      </c>
      <c r="J809">
        <v>8145.28</v>
      </c>
      <c r="K809" t="s">
        <v>24</v>
      </c>
      <c r="L809" t="s">
        <v>29</v>
      </c>
      <c r="M809">
        <v>0</v>
      </c>
      <c r="N809" t="s">
        <v>882</v>
      </c>
      <c r="O809" t="s">
        <v>2382</v>
      </c>
      <c r="P809">
        <v>37.53</v>
      </c>
      <c r="Q809">
        <f t="shared" si="12"/>
        <v>509.08</v>
      </c>
      <c r="R809">
        <v>8107.75</v>
      </c>
      <c r="S809" s="2">
        <v>44980</v>
      </c>
      <c r="T809" s="2">
        <v>44987</v>
      </c>
      <c r="U809" t="s">
        <v>37</v>
      </c>
      <c r="V809">
        <v>23</v>
      </c>
      <c r="W809">
        <v>2</v>
      </c>
      <c r="X809" t="s">
        <v>38</v>
      </c>
      <c r="Y809">
        <v>2023</v>
      </c>
      <c r="Z809">
        <v>1</v>
      </c>
      <c r="AA809">
        <v>8</v>
      </c>
    </row>
    <row r="810" spans="1:27" x14ac:dyDescent="0.3">
      <c r="A810" s="2">
        <v>45773</v>
      </c>
      <c r="B810" t="s">
        <v>3</v>
      </c>
      <c r="C810" t="s">
        <v>11</v>
      </c>
      <c r="D810">
        <v>4</v>
      </c>
      <c r="E810">
        <v>582.73</v>
      </c>
      <c r="F810" t="s">
        <v>15</v>
      </c>
      <c r="G810" t="s">
        <v>16</v>
      </c>
      <c r="H810">
        <v>0.05</v>
      </c>
      <c r="I810" t="s">
        <v>21</v>
      </c>
      <c r="J810">
        <v>2214.3739999999998</v>
      </c>
      <c r="K810" t="s">
        <v>28</v>
      </c>
      <c r="L810" t="s">
        <v>31</v>
      </c>
      <c r="M810">
        <v>0</v>
      </c>
      <c r="N810" t="s">
        <v>883</v>
      </c>
      <c r="O810" t="s">
        <v>2383</v>
      </c>
      <c r="P810">
        <v>44.26</v>
      </c>
      <c r="Q810">
        <f t="shared" si="12"/>
        <v>553.59349999999995</v>
      </c>
      <c r="R810">
        <v>2170.1139999999996</v>
      </c>
      <c r="S810" s="2">
        <v>45773</v>
      </c>
      <c r="T810" s="2">
        <v>45776</v>
      </c>
      <c r="U810" t="s">
        <v>36</v>
      </c>
      <c r="V810">
        <v>26</v>
      </c>
      <c r="W810">
        <v>4</v>
      </c>
      <c r="X810" t="s">
        <v>45</v>
      </c>
      <c r="Y810">
        <v>2025</v>
      </c>
      <c r="Z810">
        <v>2</v>
      </c>
      <c r="AA810">
        <v>17</v>
      </c>
    </row>
    <row r="811" spans="1:27" x14ac:dyDescent="0.3">
      <c r="A811" s="2">
        <v>45085</v>
      </c>
      <c r="B811" t="s">
        <v>1</v>
      </c>
      <c r="C811" t="s">
        <v>6</v>
      </c>
      <c r="D811">
        <v>9</v>
      </c>
      <c r="E811">
        <v>115.24</v>
      </c>
      <c r="F811" t="s">
        <v>12</v>
      </c>
      <c r="G811" t="s">
        <v>16</v>
      </c>
      <c r="H811">
        <v>0</v>
      </c>
      <c r="I811" t="s">
        <v>19</v>
      </c>
      <c r="J811">
        <v>1037.1600000000001</v>
      </c>
      <c r="K811" t="s">
        <v>26</v>
      </c>
      <c r="L811" t="s">
        <v>29</v>
      </c>
      <c r="M811">
        <v>0</v>
      </c>
      <c r="N811" t="s">
        <v>884</v>
      </c>
      <c r="O811" t="s">
        <v>2384</v>
      </c>
      <c r="P811">
        <v>8.2799999999999994</v>
      </c>
      <c r="Q811">
        <f t="shared" si="12"/>
        <v>115.24000000000001</v>
      </c>
      <c r="R811">
        <v>1028.8800000000001</v>
      </c>
      <c r="S811" s="2">
        <v>45085</v>
      </c>
      <c r="T811" s="2">
        <v>45091</v>
      </c>
      <c r="U811" t="s">
        <v>34</v>
      </c>
      <c r="V811">
        <v>8</v>
      </c>
      <c r="W811">
        <v>6</v>
      </c>
      <c r="X811" t="s">
        <v>41</v>
      </c>
      <c r="Y811">
        <v>2023</v>
      </c>
      <c r="Z811">
        <v>2</v>
      </c>
      <c r="AA811">
        <v>23</v>
      </c>
    </row>
    <row r="812" spans="1:27" x14ac:dyDescent="0.3">
      <c r="A812" s="2">
        <v>45001</v>
      </c>
      <c r="B812" t="s">
        <v>2</v>
      </c>
      <c r="C812" t="s">
        <v>9</v>
      </c>
      <c r="D812">
        <v>14</v>
      </c>
      <c r="E812">
        <v>565.45000000000005</v>
      </c>
      <c r="F812" t="s">
        <v>15</v>
      </c>
      <c r="G812" t="s">
        <v>16</v>
      </c>
      <c r="H812">
        <v>0.1</v>
      </c>
      <c r="I812" t="s">
        <v>18</v>
      </c>
      <c r="J812">
        <v>7124.670000000001</v>
      </c>
      <c r="K812" t="s">
        <v>24</v>
      </c>
      <c r="L812" t="s">
        <v>31</v>
      </c>
      <c r="M812">
        <v>0</v>
      </c>
      <c r="N812" t="s">
        <v>885</v>
      </c>
      <c r="O812" t="s">
        <v>2385</v>
      </c>
      <c r="P812">
        <v>24.4</v>
      </c>
      <c r="Q812">
        <f t="shared" si="12"/>
        <v>508.90500000000009</v>
      </c>
      <c r="R812">
        <v>7100.2700000000013</v>
      </c>
      <c r="S812" s="2">
        <v>45001</v>
      </c>
      <c r="T812" s="2">
        <v>45010</v>
      </c>
      <c r="U812" t="s">
        <v>35</v>
      </c>
      <c r="V812">
        <v>16</v>
      </c>
      <c r="W812">
        <v>3</v>
      </c>
      <c r="X812" t="s">
        <v>44</v>
      </c>
      <c r="Y812">
        <v>2023</v>
      </c>
      <c r="Z812">
        <v>1</v>
      </c>
      <c r="AA812">
        <v>11</v>
      </c>
    </row>
    <row r="813" spans="1:27" x14ac:dyDescent="0.3">
      <c r="A813" s="2">
        <v>45588</v>
      </c>
      <c r="B813" t="s">
        <v>2</v>
      </c>
      <c r="C813" t="s">
        <v>6</v>
      </c>
      <c r="D813">
        <v>11</v>
      </c>
      <c r="E813">
        <v>121.54</v>
      </c>
      <c r="F813" t="s">
        <v>15</v>
      </c>
      <c r="G813" t="s">
        <v>16</v>
      </c>
      <c r="H813">
        <v>0</v>
      </c>
      <c r="I813" t="s">
        <v>21</v>
      </c>
      <c r="J813">
        <v>1336.94</v>
      </c>
      <c r="K813" t="s">
        <v>26</v>
      </c>
      <c r="L813" t="s">
        <v>30</v>
      </c>
      <c r="M813">
        <v>0</v>
      </c>
      <c r="N813" t="s">
        <v>886</v>
      </c>
      <c r="O813" t="s">
        <v>2386</v>
      </c>
      <c r="P813">
        <v>16.62</v>
      </c>
      <c r="Q813">
        <f t="shared" si="12"/>
        <v>121.54</v>
      </c>
      <c r="R813">
        <v>1320.3200000000002</v>
      </c>
      <c r="S813" s="2">
        <v>45588</v>
      </c>
      <c r="T813" s="2">
        <v>45593</v>
      </c>
      <c r="U813" t="s">
        <v>35</v>
      </c>
      <c r="V813">
        <v>23</v>
      </c>
      <c r="W813">
        <v>10</v>
      </c>
      <c r="X813" t="s">
        <v>43</v>
      </c>
      <c r="Y813">
        <v>2024</v>
      </c>
      <c r="Z813">
        <v>4</v>
      </c>
      <c r="AA813">
        <v>43</v>
      </c>
    </row>
    <row r="814" spans="1:27" x14ac:dyDescent="0.3">
      <c r="A814" s="2">
        <v>45800</v>
      </c>
      <c r="B814" t="s">
        <v>0</v>
      </c>
      <c r="C814" t="s">
        <v>11</v>
      </c>
      <c r="D814">
        <v>9</v>
      </c>
      <c r="E814">
        <v>160.15</v>
      </c>
      <c r="F814" t="s">
        <v>15</v>
      </c>
      <c r="G814" t="s">
        <v>17</v>
      </c>
      <c r="H814">
        <v>0.1</v>
      </c>
      <c r="I814" t="s">
        <v>19</v>
      </c>
      <c r="J814">
        <v>1297.2149999999999</v>
      </c>
      <c r="K814" t="s">
        <v>27</v>
      </c>
      <c r="L814" t="s">
        <v>32</v>
      </c>
      <c r="M814">
        <v>1</v>
      </c>
      <c r="N814" t="s">
        <v>887</v>
      </c>
      <c r="O814" t="s">
        <v>2387</v>
      </c>
      <c r="P814">
        <v>29.64</v>
      </c>
      <c r="Q814">
        <f t="shared" si="12"/>
        <v>144.13499999999999</v>
      </c>
      <c r="R814">
        <v>1267.5749999999998</v>
      </c>
      <c r="S814" s="2">
        <v>45800</v>
      </c>
      <c r="T814" s="2">
        <v>45805</v>
      </c>
      <c r="U814" t="s">
        <v>33</v>
      </c>
      <c r="V814">
        <v>23</v>
      </c>
      <c r="W814">
        <v>5</v>
      </c>
      <c r="X814" t="s">
        <v>40</v>
      </c>
      <c r="Y814">
        <v>2025</v>
      </c>
      <c r="Z814">
        <v>2</v>
      </c>
      <c r="AA814">
        <v>21</v>
      </c>
    </row>
    <row r="815" spans="1:27" x14ac:dyDescent="0.3">
      <c r="A815" s="2">
        <v>45052</v>
      </c>
      <c r="B815" t="s">
        <v>0</v>
      </c>
      <c r="C815" t="s">
        <v>7</v>
      </c>
      <c r="D815">
        <v>14</v>
      </c>
      <c r="E815">
        <v>175.66</v>
      </c>
      <c r="F815" t="s">
        <v>12</v>
      </c>
      <c r="G815" t="s">
        <v>16</v>
      </c>
      <c r="H815">
        <v>0.05</v>
      </c>
      <c r="I815" t="s">
        <v>23</v>
      </c>
      <c r="J815">
        <v>2336.2779999999998</v>
      </c>
      <c r="K815" t="s">
        <v>28</v>
      </c>
      <c r="L815" t="s">
        <v>30</v>
      </c>
      <c r="M815">
        <v>0</v>
      </c>
      <c r="N815" t="s">
        <v>888</v>
      </c>
      <c r="O815" t="s">
        <v>2388</v>
      </c>
      <c r="P815">
        <v>26.12</v>
      </c>
      <c r="Q815">
        <f t="shared" si="12"/>
        <v>166.87699999999998</v>
      </c>
      <c r="R815">
        <v>2310.1579999999999</v>
      </c>
      <c r="S815" s="2">
        <v>45052</v>
      </c>
      <c r="T815" s="2">
        <v>45060</v>
      </c>
      <c r="U815" t="s">
        <v>33</v>
      </c>
      <c r="V815">
        <v>6</v>
      </c>
      <c r="W815">
        <v>5</v>
      </c>
      <c r="X815" t="s">
        <v>40</v>
      </c>
      <c r="Y815">
        <v>2023</v>
      </c>
      <c r="Z815">
        <v>2</v>
      </c>
      <c r="AA815">
        <v>18</v>
      </c>
    </row>
    <row r="816" spans="1:27" x14ac:dyDescent="0.3">
      <c r="A816" s="2">
        <v>45519</v>
      </c>
      <c r="B816" t="s">
        <v>1</v>
      </c>
      <c r="C816" t="s">
        <v>10</v>
      </c>
      <c r="D816">
        <v>3</v>
      </c>
      <c r="E816">
        <v>437.97</v>
      </c>
      <c r="F816" t="s">
        <v>14</v>
      </c>
      <c r="G816" t="s">
        <v>16</v>
      </c>
      <c r="H816">
        <v>0.05</v>
      </c>
      <c r="I816" t="s">
        <v>18</v>
      </c>
      <c r="J816">
        <v>1248.2145</v>
      </c>
      <c r="K816" t="s">
        <v>28</v>
      </c>
      <c r="L816" t="s">
        <v>30</v>
      </c>
      <c r="M816">
        <v>1</v>
      </c>
      <c r="N816" t="s">
        <v>889</v>
      </c>
      <c r="O816" t="s">
        <v>2389</v>
      </c>
      <c r="P816">
        <v>23.29</v>
      </c>
      <c r="Q816">
        <f t="shared" si="12"/>
        <v>416.07150000000001</v>
      </c>
      <c r="R816">
        <v>1224.9245000000001</v>
      </c>
      <c r="S816" s="2">
        <v>45519</v>
      </c>
      <c r="T816" s="2">
        <v>45526</v>
      </c>
      <c r="U816" t="s">
        <v>34</v>
      </c>
      <c r="V816">
        <v>15</v>
      </c>
      <c r="W816">
        <v>8</v>
      </c>
      <c r="X816" t="s">
        <v>48</v>
      </c>
      <c r="Y816">
        <v>2024</v>
      </c>
      <c r="Z816">
        <v>3</v>
      </c>
      <c r="AA816">
        <v>33</v>
      </c>
    </row>
    <row r="817" spans="1:27" x14ac:dyDescent="0.3">
      <c r="A817" s="2">
        <v>45161</v>
      </c>
      <c r="B817" t="s">
        <v>1</v>
      </c>
      <c r="C817" t="s">
        <v>11</v>
      </c>
      <c r="D817">
        <v>12</v>
      </c>
      <c r="E817">
        <v>411.59</v>
      </c>
      <c r="F817" t="s">
        <v>12</v>
      </c>
      <c r="G817" t="s">
        <v>16</v>
      </c>
      <c r="H817">
        <v>0.15</v>
      </c>
      <c r="I817" t="s">
        <v>22</v>
      </c>
      <c r="J817">
        <v>4198.2179999999998</v>
      </c>
      <c r="K817" t="s">
        <v>28</v>
      </c>
      <c r="L817" t="s">
        <v>29</v>
      </c>
      <c r="M817">
        <v>0</v>
      </c>
      <c r="N817" t="s">
        <v>890</v>
      </c>
      <c r="O817" t="s">
        <v>2390</v>
      </c>
      <c r="P817">
        <v>19.170000000000002</v>
      </c>
      <c r="Q817">
        <f t="shared" si="12"/>
        <v>349.85149999999999</v>
      </c>
      <c r="R817">
        <v>4179.0479999999998</v>
      </c>
      <c r="S817" s="2">
        <v>45161</v>
      </c>
      <c r="T817" s="2">
        <v>45169</v>
      </c>
      <c r="U817" t="s">
        <v>34</v>
      </c>
      <c r="V817">
        <v>23</v>
      </c>
      <c r="W817">
        <v>8</v>
      </c>
      <c r="X817" t="s">
        <v>48</v>
      </c>
      <c r="Y817">
        <v>2023</v>
      </c>
      <c r="Z817">
        <v>3</v>
      </c>
      <c r="AA817">
        <v>34</v>
      </c>
    </row>
    <row r="818" spans="1:27" x14ac:dyDescent="0.3">
      <c r="A818" s="2">
        <v>45760</v>
      </c>
      <c r="B818" t="s">
        <v>1</v>
      </c>
      <c r="C818" t="s">
        <v>5</v>
      </c>
      <c r="D818">
        <v>1</v>
      </c>
      <c r="E818">
        <v>163.29</v>
      </c>
      <c r="F818" t="s">
        <v>12</v>
      </c>
      <c r="G818" t="s">
        <v>17</v>
      </c>
      <c r="H818">
        <v>0</v>
      </c>
      <c r="I818" t="s">
        <v>22</v>
      </c>
      <c r="J818">
        <v>163.29</v>
      </c>
      <c r="K818" t="s">
        <v>26</v>
      </c>
      <c r="L818" t="s">
        <v>31</v>
      </c>
      <c r="M818">
        <v>0</v>
      </c>
      <c r="N818" t="s">
        <v>891</v>
      </c>
      <c r="O818" t="s">
        <v>2391</v>
      </c>
      <c r="P818">
        <v>21.15</v>
      </c>
      <c r="Q818">
        <f t="shared" si="12"/>
        <v>163.29</v>
      </c>
      <c r="R818">
        <v>142.13999999999999</v>
      </c>
      <c r="S818" s="2">
        <v>45760</v>
      </c>
      <c r="T818" s="2">
        <v>45769</v>
      </c>
      <c r="U818" t="s">
        <v>34</v>
      </c>
      <c r="V818">
        <v>13</v>
      </c>
      <c r="W818">
        <v>4</v>
      </c>
      <c r="X818" t="s">
        <v>45</v>
      </c>
      <c r="Y818">
        <v>2025</v>
      </c>
      <c r="Z818">
        <v>2</v>
      </c>
      <c r="AA818">
        <v>15</v>
      </c>
    </row>
    <row r="819" spans="1:27" x14ac:dyDescent="0.3">
      <c r="A819" s="2">
        <v>45454</v>
      </c>
      <c r="B819" t="s">
        <v>3</v>
      </c>
      <c r="C819" t="s">
        <v>7</v>
      </c>
      <c r="D819">
        <v>5</v>
      </c>
      <c r="E819">
        <v>538.52</v>
      </c>
      <c r="F819" t="s">
        <v>12</v>
      </c>
      <c r="G819" t="s">
        <v>16</v>
      </c>
      <c r="H819">
        <v>0.05</v>
      </c>
      <c r="I819" t="s">
        <v>19</v>
      </c>
      <c r="J819">
        <v>2557.9699999999998</v>
      </c>
      <c r="K819" t="s">
        <v>25</v>
      </c>
      <c r="L819" t="s">
        <v>32</v>
      </c>
      <c r="M819">
        <v>0</v>
      </c>
      <c r="N819" t="s">
        <v>892</v>
      </c>
      <c r="O819" t="s">
        <v>2392</v>
      </c>
      <c r="P819">
        <v>45.81</v>
      </c>
      <c r="Q819">
        <f t="shared" si="12"/>
        <v>511.59399999999994</v>
      </c>
      <c r="R819">
        <v>2512.16</v>
      </c>
      <c r="S819" s="2">
        <v>45454</v>
      </c>
      <c r="T819" s="2">
        <v>45460</v>
      </c>
      <c r="U819" t="s">
        <v>36</v>
      </c>
      <c r="V819">
        <v>11</v>
      </c>
      <c r="W819">
        <v>6</v>
      </c>
      <c r="X819" t="s">
        <v>41</v>
      </c>
      <c r="Y819">
        <v>2024</v>
      </c>
      <c r="Z819">
        <v>2</v>
      </c>
      <c r="AA819">
        <v>24</v>
      </c>
    </row>
    <row r="820" spans="1:27" x14ac:dyDescent="0.3">
      <c r="A820" s="2">
        <v>45411</v>
      </c>
      <c r="B820" t="s">
        <v>1</v>
      </c>
      <c r="C820" t="s">
        <v>6</v>
      </c>
      <c r="D820">
        <v>11</v>
      </c>
      <c r="E820">
        <v>255.95</v>
      </c>
      <c r="F820" t="s">
        <v>14</v>
      </c>
      <c r="G820" t="s">
        <v>16</v>
      </c>
      <c r="H820">
        <v>0.1</v>
      </c>
      <c r="I820" t="s">
        <v>19</v>
      </c>
      <c r="J820">
        <v>2533.9050000000002</v>
      </c>
      <c r="K820" t="s">
        <v>24</v>
      </c>
      <c r="L820" t="s">
        <v>32</v>
      </c>
      <c r="M820">
        <v>0</v>
      </c>
      <c r="N820" t="s">
        <v>893</v>
      </c>
      <c r="O820" t="s">
        <v>2393</v>
      </c>
      <c r="P820">
        <v>21.99</v>
      </c>
      <c r="Q820">
        <f t="shared" si="12"/>
        <v>230.35500000000002</v>
      </c>
      <c r="R820">
        <v>2511.9150000000004</v>
      </c>
      <c r="S820" s="2">
        <v>45411</v>
      </c>
      <c r="T820" s="2">
        <v>45416</v>
      </c>
      <c r="U820" t="s">
        <v>34</v>
      </c>
      <c r="V820">
        <v>29</v>
      </c>
      <c r="W820">
        <v>4</v>
      </c>
      <c r="X820" t="s">
        <v>45</v>
      </c>
      <c r="Y820">
        <v>2024</v>
      </c>
      <c r="Z820">
        <v>2</v>
      </c>
      <c r="AA820">
        <v>18</v>
      </c>
    </row>
    <row r="821" spans="1:27" x14ac:dyDescent="0.3">
      <c r="A821" s="2">
        <v>45012</v>
      </c>
      <c r="B821" t="s">
        <v>1</v>
      </c>
      <c r="C821" t="s">
        <v>7</v>
      </c>
      <c r="D821">
        <v>7</v>
      </c>
      <c r="E821">
        <v>290.22000000000003</v>
      </c>
      <c r="F821" t="s">
        <v>13</v>
      </c>
      <c r="G821" t="s">
        <v>17</v>
      </c>
      <c r="H821">
        <v>0.1</v>
      </c>
      <c r="I821" t="s">
        <v>19</v>
      </c>
      <c r="J821">
        <v>1828.386</v>
      </c>
      <c r="K821" t="s">
        <v>28</v>
      </c>
      <c r="L821" t="s">
        <v>31</v>
      </c>
      <c r="M821">
        <v>0</v>
      </c>
      <c r="N821" t="s">
        <v>894</v>
      </c>
      <c r="O821" t="s">
        <v>2394</v>
      </c>
      <c r="P821">
        <v>33.15</v>
      </c>
      <c r="Q821">
        <f t="shared" si="12"/>
        <v>261.19799999999998</v>
      </c>
      <c r="R821">
        <v>1795.2359999999999</v>
      </c>
      <c r="S821" s="2">
        <v>45012</v>
      </c>
      <c r="T821" s="2">
        <v>45020</v>
      </c>
      <c r="U821" t="s">
        <v>34</v>
      </c>
      <c r="V821">
        <v>27</v>
      </c>
      <c r="W821">
        <v>3</v>
      </c>
      <c r="X821" t="s">
        <v>44</v>
      </c>
      <c r="Y821">
        <v>2023</v>
      </c>
      <c r="Z821">
        <v>1</v>
      </c>
      <c r="AA821">
        <v>13</v>
      </c>
    </row>
    <row r="822" spans="1:27" x14ac:dyDescent="0.3">
      <c r="A822" s="2">
        <v>45588</v>
      </c>
      <c r="B822" t="s">
        <v>2</v>
      </c>
      <c r="C822" t="s">
        <v>8</v>
      </c>
      <c r="D822">
        <v>20</v>
      </c>
      <c r="E822">
        <v>198.95</v>
      </c>
      <c r="F822" t="s">
        <v>12</v>
      </c>
      <c r="G822" t="s">
        <v>17</v>
      </c>
      <c r="H822">
        <v>0.1</v>
      </c>
      <c r="I822" t="s">
        <v>22</v>
      </c>
      <c r="J822">
        <v>3581.1</v>
      </c>
      <c r="K822" t="s">
        <v>26</v>
      </c>
      <c r="L822" t="s">
        <v>32</v>
      </c>
      <c r="M822">
        <v>1</v>
      </c>
      <c r="N822" t="s">
        <v>895</v>
      </c>
      <c r="O822" t="s">
        <v>2395</v>
      </c>
      <c r="P822">
        <v>5.16</v>
      </c>
      <c r="Q822">
        <f t="shared" si="12"/>
        <v>179.05500000000001</v>
      </c>
      <c r="R822">
        <v>3575.94</v>
      </c>
      <c r="S822" s="2">
        <v>45588</v>
      </c>
      <c r="T822" s="2">
        <v>45590</v>
      </c>
      <c r="U822" t="s">
        <v>35</v>
      </c>
      <c r="V822">
        <v>23</v>
      </c>
      <c r="W822">
        <v>10</v>
      </c>
      <c r="X822" t="s">
        <v>43</v>
      </c>
      <c r="Y822">
        <v>2024</v>
      </c>
      <c r="Z822">
        <v>4</v>
      </c>
      <c r="AA822">
        <v>43</v>
      </c>
    </row>
    <row r="823" spans="1:27" x14ac:dyDescent="0.3">
      <c r="A823" s="2">
        <v>45098</v>
      </c>
      <c r="B823" t="s">
        <v>2</v>
      </c>
      <c r="C823" t="s">
        <v>11</v>
      </c>
      <c r="D823">
        <v>11</v>
      </c>
      <c r="E823">
        <v>577.1</v>
      </c>
      <c r="F823" t="s">
        <v>14</v>
      </c>
      <c r="G823" t="s">
        <v>17</v>
      </c>
      <c r="H823">
        <v>0.15</v>
      </c>
      <c r="I823" t="s">
        <v>20</v>
      </c>
      <c r="J823">
        <v>5395.8850000000002</v>
      </c>
      <c r="K823" t="s">
        <v>28</v>
      </c>
      <c r="L823" t="s">
        <v>30</v>
      </c>
      <c r="M823">
        <v>0</v>
      </c>
      <c r="N823" t="s">
        <v>896</v>
      </c>
      <c r="O823" t="s">
        <v>2396</v>
      </c>
      <c r="P823">
        <v>13.16</v>
      </c>
      <c r="Q823">
        <f t="shared" si="12"/>
        <v>490.53500000000003</v>
      </c>
      <c r="R823">
        <v>5382.7250000000004</v>
      </c>
      <c r="S823" s="2">
        <v>45098</v>
      </c>
      <c r="T823" s="2">
        <v>45105</v>
      </c>
      <c r="U823" t="s">
        <v>35</v>
      </c>
      <c r="V823">
        <v>21</v>
      </c>
      <c r="W823">
        <v>6</v>
      </c>
      <c r="X823" t="s">
        <v>41</v>
      </c>
      <c r="Y823">
        <v>2023</v>
      </c>
      <c r="Z823">
        <v>2</v>
      </c>
      <c r="AA823">
        <v>25</v>
      </c>
    </row>
    <row r="824" spans="1:27" x14ac:dyDescent="0.3">
      <c r="A824" s="2">
        <v>45058</v>
      </c>
      <c r="B824" t="s">
        <v>3</v>
      </c>
      <c r="C824" t="s">
        <v>11</v>
      </c>
      <c r="D824">
        <v>10</v>
      </c>
      <c r="E824">
        <v>50.1</v>
      </c>
      <c r="F824" t="s">
        <v>13</v>
      </c>
      <c r="G824" t="s">
        <v>16</v>
      </c>
      <c r="H824">
        <v>0.1</v>
      </c>
      <c r="I824" t="s">
        <v>23</v>
      </c>
      <c r="J824">
        <v>450.9</v>
      </c>
      <c r="K824" t="s">
        <v>28</v>
      </c>
      <c r="L824" t="s">
        <v>29</v>
      </c>
      <c r="M824">
        <v>1</v>
      </c>
      <c r="N824" t="s">
        <v>897</v>
      </c>
      <c r="O824" t="s">
        <v>2397</v>
      </c>
      <c r="P824">
        <v>23.43</v>
      </c>
      <c r="Q824">
        <f t="shared" si="12"/>
        <v>45.089999999999996</v>
      </c>
      <c r="R824">
        <v>427.46999999999997</v>
      </c>
      <c r="S824" s="2">
        <v>45058</v>
      </c>
      <c r="T824" s="2">
        <v>45065</v>
      </c>
      <c r="U824" t="s">
        <v>36</v>
      </c>
      <c r="V824">
        <v>12</v>
      </c>
      <c r="W824">
        <v>5</v>
      </c>
      <c r="X824" t="s">
        <v>40</v>
      </c>
      <c r="Y824">
        <v>2023</v>
      </c>
      <c r="Z824">
        <v>2</v>
      </c>
      <c r="AA824">
        <v>19</v>
      </c>
    </row>
    <row r="825" spans="1:27" x14ac:dyDescent="0.3">
      <c r="A825" s="2">
        <v>45585</v>
      </c>
      <c r="B825" t="s">
        <v>3</v>
      </c>
      <c r="C825" t="s">
        <v>11</v>
      </c>
      <c r="D825">
        <v>19</v>
      </c>
      <c r="E825">
        <v>554.5</v>
      </c>
      <c r="F825" t="s">
        <v>12</v>
      </c>
      <c r="G825" t="s">
        <v>17</v>
      </c>
      <c r="H825">
        <v>0.15</v>
      </c>
      <c r="I825" t="s">
        <v>21</v>
      </c>
      <c r="J825">
        <v>8955.1749999999993</v>
      </c>
      <c r="K825" t="s">
        <v>24</v>
      </c>
      <c r="L825" t="s">
        <v>32</v>
      </c>
      <c r="M825">
        <v>1</v>
      </c>
      <c r="N825" t="s">
        <v>898</v>
      </c>
      <c r="O825" t="s">
        <v>2398</v>
      </c>
      <c r="P825">
        <v>47.16</v>
      </c>
      <c r="Q825">
        <f t="shared" si="12"/>
        <v>471.32499999999999</v>
      </c>
      <c r="R825">
        <v>8908.0149999999994</v>
      </c>
      <c r="S825" s="2">
        <v>45585</v>
      </c>
      <c r="T825" s="2">
        <v>45589</v>
      </c>
      <c r="U825" t="s">
        <v>36</v>
      </c>
      <c r="V825">
        <v>20</v>
      </c>
      <c r="W825">
        <v>10</v>
      </c>
      <c r="X825" t="s">
        <v>43</v>
      </c>
      <c r="Y825">
        <v>2024</v>
      </c>
      <c r="Z825">
        <v>4</v>
      </c>
      <c r="AA825">
        <v>42</v>
      </c>
    </row>
    <row r="826" spans="1:27" x14ac:dyDescent="0.3">
      <c r="A826" s="2">
        <v>45386</v>
      </c>
      <c r="B826" t="s">
        <v>2</v>
      </c>
      <c r="C826" t="s">
        <v>5</v>
      </c>
      <c r="D826">
        <v>14</v>
      </c>
      <c r="E826">
        <v>117.31</v>
      </c>
      <c r="F826" t="s">
        <v>13</v>
      </c>
      <c r="G826" t="s">
        <v>16</v>
      </c>
      <c r="H826">
        <v>0</v>
      </c>
      <c r="I826" t="s">
        <v>22</v>
      </c>
      <c r="J826">
        <v>1642.34</v>
      </c>
      <c r="K826" t="s">
        <v>24</v>
      </c>
      <c r="L826" t="s">
        <v>31</v>
      </c>
      <c r="M826">
        <v>0</v>
      </c>
      <c r="N826" t="s">
        <v>899</v>
      </c>
      <c r="O826" t="s">
        <v>2399</v>
      </c>
      <c r="P826">
        <v>41.24</v>
      </c>
      <c r="Q826">
        <f t="shared" si="12"/>
        <v>117.30999999999999</v>
      </c>
      <c r="R826">
        <v>1601.1</v>
      </c>
      <c r="S826" s="2">
        <v>45386</v>
      </c>
      <c r="T826" s="2">
        <v>45389</v>
      </c>
      <c r="U826" t="s">
        <v>35</v>
      </c>
      <c r="V826">
        <v>4</v>
      </c>
      <c r="W826">
        <v>4</v>
      </c>
      <c r="X826" t="s">
        <v>45</v>
      </c>
      <c r="Y826">
        <v>2024</v>
      </c>
      <c r="Z826">
        <v>2</v>
      </c>
      <c r="AA826">
        <v>14</v>
      </c>
    </row>
    <row r="827" spans="1:27" x14ac:dyDescent="0.3">
      <c r="A827" s="2">
        <v>45669</v>
      </c>
      <c r="B827" t="s">
        <v>3</v>
      </c>
      <c r="C827" t="s">
        <v>10</v>
      </c>
      <c r="D827">
        <v>3</v>
      </c>
      <c r="E827">
        <v>193.98</v>
      </c>
      <c r="F827" t="s">
        <v>13</v>
      </c>
      <c r="G827" t="s">
        <v>17</v>
      </c>
      <c r="H827">
        <v>0</v>
      </c>
      <c r="I827" t="s">
        <v>23</v>
      </c>
      <c r="J827">
        <v>581.93999999999994</v>
      </c>
      <c r="K827" t="s">
        <v>26</v>
      </c>
      <c r="L827" t="s">
        <v>31</v>
      </c>
      <c r="M827">
        <v>0</v>
      </c>
      <c r="N827" t="s">
        <v>900</v>
      </c>
      <c r="O827" t="s">
        <v>2400</v>
      </c>
      <c r="P827">
        <v>27.53</v>
      </c>
      <c r="Q827">
        <f t="shared" si="12"/>
        <v>193.98</v>
      </c>
      <c r="R827">
        <v>554.41</v>
      </c>
      <c r="S827" s="2">
        <v>45669</v>
      </c>
      <c r="T827" s="2">
        <v>45673</v>
      </c>
      <c r="U827" t="s">
        <v>36</v>
      </c>
      <c r="V827">
        <v>12</v>
      </c>
      <c r="W827">
        <v>1</v>
      </c>
      <c r="X827" t="s">
        <v>42</v>
      </c>
      <c r="Y827">
        <v>2025</v>
      </c>
      <c r="Z827">
        <v>1</v>
      </c>
      <c r="AA827">
        <v>2</v>
      </c>
    </row>
    <row r="828" spans="1:27" x14ac:dyDescent="0.3">
      <c r="A828" s="2">
        <v>45131</v>
      </c>
      <c r="B828" t="s">
        <v>1</v>
      </c>
      <c r="C828" t="s">
        <v>6</v>
      </c>
      <c r="D828">
        <v>20</v>
      </c>
      <c r="E828">
        <v>386.86</v>
      </c>
      <c r="F828" t="s">
        <v>13</v>
      </c>
      <c r="G828" t="s">
        <v>16</v>
      </c>
      <c r="H828">
        <v>0.05</v>
      </c>
      <c r="I828" t="s">
        <v>21</v>
      </c>
      <c r="J828">
        <v>7350.34</v>
      </c>
      <c r="K828" t="s">
        <v>24</v>
      </c>
      <c r="L828" t="s">
        <v>31</v>
      </c>
      <c r="M828">
        <v>0</v>
      </c>
      <c r="N828" t="s">
        <v>901</v>
      </c>
      <c r="O828" t="s">
        <v>2401</v>
      </c>
      <c r="P828">
        <v>41.56</v>
      </c>
      <c r="Q828">
        <f t="shared" si="12"/>
        <v>367.517</v>
      </c>
      <c r="R828">
        <v>7308.78</v>
      </c>
      <c r="S828" s="2">
        <v>45131</v>
      </c>
      <c r="T828" s="2">
        <v>45136</v>
      </c>
      <c r="U828" t="s">
        <v>34</v>
      </c>
      <c r="V828">
        <v>24</v>
      </c>
      <c r="W828">
        <v>7</v>
      </c>
      <c r="X828" t="s">
        <v>46</v>
      </c>
      <c r="Y828">
        <v>2023</v>
      </c>
      <c r="Z828">
        <v>3</v>
      </c>
      <c r="AA828">
        <v>30</v>
      </c>
    </row>
    <row r="829" spans="1:27" x14ac:dyDescent="0.3">
      <c r="A829" s="2">
        <v>45178</v>
      </c>
      <c r="B829" t="s">
        <v>2</v>
      </c>
      <c r="C829" t="s">
        <v>8</v>
      </c>
      <c r="D829">
        <v>12</v>
      </c>
      <c r="E829">
        <v>81.33</v>
      </c>
      <c r="F829" t="s">
        <v>15</v>
      </c>
      <c r="G829" t="s">
        <v>16</v>
      </c>
      <c r="H829">
        <v>0</v>
      </c>
      <c r="I829" t="s">
        <v>21</v>
      </c>
      <c r="J829">
        <v>975.96</v>
      </c>
      <c r="K829" t="s">
        <v>28</v>
      </c>
      <c r="L829" t="s">
        <v>30</v>
      </c>
      <c r="M829">
        <v>1</v>
      </c>
      <c r="N829" t="s">
        <v>902</v>
      </c>
      <c r="O829" t="s">
        <v>2402</v>
      </c>
      <c r="P829">
        <v>30.73</v>
      </c>
      <c r="Q829">
        <f t="shared" si="12"/>
        <v>81.33</v>
      </c>
      <c r="R829">
        <v>945.23</v>
      </c>
      <c r="S829" s="2">
        <v>45178</v>
      </c>
      <c r="T829" s="2">
        <v>45182</v>
      </c>
      <c r="U829" t="s">
        <v>35</v>
      </c>
      <c r="V829">
        <v>9</v>
      </c>
      <c r="W829">
        <v>9</v>
      </c>
      <c r="X829" t="s">
        <v>49</v>
      </c>
      <c r="Y829">
        <v>2023</v>
      </c>
      <c r="Z829">
        <v>3</v>
      </c>
      <c r="AA829">
        <v>36</v>
      </c>
    </row>
    <row r="830" spans="1:27" x14ac:dyDescent="0.3">
      <c r="A830" s="2">
        <v>45402</v>
      </c>
      <c r="B830" t="s">
        <v>0</v>
      </c>
      <c r="C830" t="s">
        <v>11</v>
      </c>
      <c r="D830">
        <v>5</v>
      </c>
      <c r="E830">
        <v>550.65</v>
      </c>
      <c r="F830" t="s">
        <v>13</v>
      </c>
      <c r="G830" t="s">
        <v>17</v>
      </c>
      <c r="H830">
        <v>0.15</v>
      </c>
      <c r="I830" t="s">
        <v>23</v>
      </c>
      <c r="J830">
        <v>2340.2624999999998</v>
      </c>
      <c r="K830" t="s">
        <v>25</v>
      </c>
      <c r="L830" t="s">
        <v>32</v>
      </c>
      <c r="M830">
        <v>0</v>
      </c>
      <c r="N830" t="s">
        <v>903</v>
      </c>
      <c r="O830" t="s">
        <v>2403</v>
      </c>
      <c r="P830">
        <v>16.82</v>
      </c>
      <c r="Q830">
        <f t="shared" si="12"/>
        <v>468.05249999999995</v>
      </c>
      <c r="R830">
        <v>2323.4424999999997</v>
      </c>
      <c r="S830" s="2">
        <v>45402</v>
      </c>
      <c r="T830" s="2">
        <v>45409</v>
      </c>
      <c r="U830" t="s">
        <v>33</v>
      </c>
      <c r="V830">
        <v>20</v>
      </c>
      <c r="W830">
        <v>4</v>
      </c>
      <c r="X830" t="s">
        <v>45</v>
      </c>
      <c r="Y830">
        <v>2024</v>
      </c>
      <c r="Z830">
        <v>2</v>
      </c>
      <c r="AA830">
        <v>16</v>
      </c>
    </row>
    <row r="831" spans="1:27" x14ac:dyDescent="0.3">
      <c r="A831" s="2">
        <v>45694</v>
      </c>
      <c r="B831" t="s">
        <v>4</v>
      </c>
      <c r="C831" t="s">
        <v>11</v>
      </c>
      <c r="D831">
        <v>4</v>
      </c>
      <c r="E831">
        <v>473.91</v>
      </c>
      <c r="F831" t="s">
        <v>13</v>
      </c>
      <c r="G831" t="s">
        <v>17</v>
      </c>
      <c r="H831">
        <v>0.05</v>
      </c>
      <c r="I831" t="s">
        <v>18</v>
      </c>
      <c r="J831">
        <v>1800.8579999999999</v>
      </c>
      <c r="K831" t="s">
        <v>26</v>
      </c>
      <c r="L831" t="s">
        <v>30</v>
      </c>
      <c r="M831">
        <v>0</v>
      </c>
      <c r="N831" t="s">
        <v>904</v>
      </c>
      <c r="O831" t="s">
        <v>2404</v>
      </c>
      <c r="P831">
        <v>29.22</v>
      </c>
      <c r="Q831">
        <f t="shared" si="12"/>
        <v>450.21449999999999</v>
      </c>
      <c r="R831">
        <v>1771.6379999999999</v>
      </c>
      <c r="S831" s="2">
        <v>45694</v>
      </c>
      <c r="T831" s="2">
        <v>45702</v>
      </c>
      <c r="U831" t="s">
        <v>37</v>
      </c>
      <c r="V831">
        <v>6</v>
      </c>
      <c r="W831">
        <v>2</v>
      </c>
      <c r="X831" t="s">
        <v>38</v>
      </c>
      <c r="Y831">
        <v>2025</v>
      </c>
      <c r="Z831">
        <v>1</v>
      </c>
      <c r="AA831">
        <v>6</v>
      </c>
    </row>
    <row r="832" spans="1:27" x14ac:dyDescent="0.3">
      <c r="A832" s="2">
        <v>45095</v>
      </c>
      <c r="B832" t="s">
        <v>4</v>
      </c>
      <c r="C832" t="s">
        <v>10</v>
      </c>
      <c r="D832">
        <v>19</v>
      </c>
      <c r="E832">
        <v>25.22</v>
      </c>
      <c r="F832" t="s">
        <v>14</v>
      </c>
      <c r="G832" t="s">
        <v>16</v>
      </c>
      <c r="H832">
        <v>0</v>
      </c>
      <c r="I832" t="s">
        <v>23</v>
      </c>
      <c r="J832">
        <v>479.17999999999989</v>
      </c>
      <c r="K832" t="s">
        <v>26</v>
      </c>
      <c r="L832" t="s">
        <v>32</v>
      </c>
      <c r="M832">
        <v>0</v>
      </c>
      <c r="N832" t="s">
        <v>905</v>
      </c>
      <c r="O832" t="s">
        <v>2405</v>
      </c>
      <c r="P832">
        <v>31.31</v>
      </c>
      <c r="Q832">
        <f t="shared" si="12"/>
        <v>25.219999999999995</v>
      </c>
      <c r="R832">
        <v>447.86999999999989</v>
      </c>
      <c r="S832" s="2">
        <v>45095</v>
      </c>
      <c r="T832" s="2">
        <v>45099</v>
      </c>
      <c r="U832" t="s">
        <v>37</v>
      </c>
      <c r="V832">
        <v>18</v>
      </c>
      <c r="W832">
        <v>6</v>
      </c>
      <c r="X832" t="s">
        <v>41</v>
      </c>
      <c r="Y832">
        <v>2023</v>
      </c>
      <c r="Z832">
        <v>2</v>
      </c>
      <c r="AA832">
        <v>24</v>
      </c>
    </row>
    <row r="833" spans="1:27" x14ac:dyDescent="0.3">
      <c r="A833" s="2">
        <v>45597</v>
      </c>
      <c r="B833" t="s">
        <v>2</v>
      </c>
      <c r="C833" t="s">
        <v>6</v>
      </c>
      <c r="D833">
        <v>2</v>
      </c>
      <c r="E833">
        <v>437.04</v>
      </c>
      <c r="F833" t="s">
        <v>14</v>
      </c>
      <c r="G833" t="s">
        <v>16</v>
      </c>
      <c r="H833">
        <v>0</v>
      </c>
      <c r="I833" t="s">
        <v>20</v>
      </c>
      <c r="J833">
        <v>874.08</v>
      </c>
      <c r="K833" t="s">
        <v>26</v>
      </c>
      <c r="L833" t="s">
        <v>30</v>
      </c>
      <c r="M833">
        <v>1</v>
      </c>
      <c r="N833" t="s">
        <v>906</v>
      </c>
      <c r="O833" t="s">
        <v>2406</v>
      </c>
      <c r="P833">
        <v>37.369999999999997</v>
      </c>
      <c r="Q833">
        <f t="shared" si="12"/>
        <v>437.04</v>
      </c>
      <c r="R833">
        <v>836.71</v>
      </c>
      <c r="S833" s="2">
        <v>45597</v>
      </c>
      <c r="T833" s="2">
        <v>45604</v>
      </c>
      <c r="U833" t="s">
        <v>35</v>
      </c>
      <c r="V833">
        <v>1</v>
      </c>
      <c r="W833">
        <v>11</v>
      </c>
      <c r="X833" t="s">
        <v>47</v>
      </c>
      <c r="Y833">
        <v>2024</v>
      </c>
      <c r="Z833">
        <v>4</v>
      </c>
      <c r="AA833">
        <v>44</v>
      </c>
    </row>
    <row r="834" spans="1:27" x14ac:dyDescent="0.3">
      <c r="A834" s="2">
        <v>45516</v>
      </c>
      <c r="B834" t="s">
        <v>4</v>
      </c>
      <c r="C834" t="s">
        <v>7</v>
      </c>
      <c r="D834">
        <v>5</v>
      </c>
      <c r="E834">
        <v>448.86</v>
      </c>
      <c r="F834" t="s">
        <v>14</v>
      </c>
      <c r="G834" t="s">
        <v>16</v>
      </c>
      <c r="H834">
        <v>0.15</v>
      </c>
      <c r="I834" t="s">
        <v>20</v>
      </c>
      <c r="J834">
        <v>1907.655</v>
      </c>
      <c r="K834" t="s">
        <v>26</v>
      </c>
      <c r="L834" t="s">
        <v>30</v>
      </c>
      <c r="M834">
        <v>1</v>
      </c>
      <c r="N834" t="s">
        <v>907</v>
      </c>
      <c r="O834" t="s">
        <v>2407</v>
      </c>
      <c r="P834">
        <v>21.22</v>
      </c>
      <c r="Q834">
        <f t="shared" si="12"/>
        <v>381.53100000000001</v>
      </c>
      <c r="R834">
        <v>1886.4349999999999</v>
      </c>
      <c r="S834" s="2">
        <v>45516</v>
      </c>
      <c r="T834" s="2">
        <v>45525</v>
      </c>
      <c r="U834" t="s">
        <v>37</v>
      </c>
      <c r="V834">
        <v>12</v>
      </c>
      <c r="W834">
        <v>8</v>
      </c>
      <c r="X834" t="s">
        <v>48</v>
      </c>
      <c r="Y834">
        <v>2024</v>
      </c>
      <c r="Z834">
        <v>3</v>
      </c>
      <c r="AA834">
        <v>33</v>
      </c>
    </row>
    <row r="835" spans="1:27" x14ac:dyDescent="0.3">
      <c r="A835" s="2">
        <v>45755</v>
      </c>
      <c r="B835" t="s">
        <v>3</v>
      </c>
      <c r="C835" t="s">
        <v>6</v>
      </c>
      <c r="D835">
        <v>14</v>
      </c>
      <c r="E835">
        <v>299.94</v>
      </c>
      <c r="F835" t="s">
        <v>15</v>
      </c>
      <c r="G835" t="s">
        <v>17</v>
      </c>
      <c r="H835">
        <v>0</v>
      </c>
      <c r="I835" t="s">
        <v>21</v>
      </c>
      <c r="J835">
        <v>4199.16</v>
      </c>
      <c r="K835" t="s">
        <v>25</v>
      </c>
      <c r="L835" t="s">
        <v>29</v>
      </c>
      <c r="M835">
        <v>0</v>
      </c>
      <c r="N835" t="s">
        <v>908</v>
      </c>
      <c r="O835" t="s">
        <v>2408</v>
      </c>
      <c r="P835">
        <v>21.04</v>
      </c>
      <c r="Q835">
        <f t="shared" ref="Q835:Q898" si="13">J835/D835</f>
        <v>299.94</v>
      </c>
      <c r="R835">
        <v>4178.12</v>
      </c>
      <c r="S835" s="2">
        <v>45755</v>
      </c>
      <c r="T835" s="2">
        <v>45764</v>
      </c>
      <c r="U835" t="s">
        <v>36</v>
      </c>
      <c r="V835">
        <v>8</v>
      </c>
      <c r="W835">
        <v>4</v>
      </c>
      <c r="X835" t="s">
        <v>45</v>
      </c>
      <c r="Y835">
        <v>2025</v>
      </c>
      <c r="Z835">
        <v>2</v>
      </c>
      <c r="AA835">
        <v>15</v>
      </c>
    </row>
    <row r="836" spans="1:27" x14ac:dyDescent="0.3">
      <c r="A836" s="2">
        <v>45493</v>
      </c>
      <c r="B836" t="s">
        <v>3</v>
      </c>
      <c r="C836" t="s">
        <v>5</v>
      </c>
      <c r="D836">
        <v>8</v>
      </c>
      <c r="E836">
        <v>224.18</v>
      </c>
      <c r="F836" t="s">
        <v>12</v>
      </c>
      <c r="G836" t="s">
        <v>17</v>
      </c>
      <c r="H836">
        <v>0.15</v>
      </c>
      <c r="I836" t="s">
        <v>23</v>
      </c>
      <c r="J836">
        <v>1524.424</v>
      </c>
      <c r="K836" t="s">
        <v>27</v>
      </c>
      <c r="L836" t="s">
        <v>32</v>
      </c>
      <c r="M836">
        <v>0</v>
      </c>
      <c r="N836" t="s">
        <v>909</v>
      </c>
      <c r="O836" t="s">
        <v>2409</v>
      </c>
      <c r="P836">
        <v>36.9</v>
      </c>
      <c r="Q836">
        <f t="shared" si="13"/>
        <v>190.553</v>
      </c>
      <c r="R836">
        <v>1487.5239999999999</v>
      </c>
      <c r="S836" s="2">
        <v>45493</v>
      </c>
      <c r="T836" s="2">
        <v>45499</v>
      </c>
      <c r="U836" t="s">
        <v>36</v>
      </c>
      <c r="V836">
        <v>20</v>
      </c>
      <c r="W836">
        <v>7</v>
      </c>
      <c r="X836" t="s">
        <v>46</v>
      </c>
      <c r="Y836">
        <v>2024</v>
      </c>
      <c r="Z836">
        <v>3</v>
      </c>
      <c r="AA836">
        <v>29</v>
      </c>
    </row>
    <row r="837" spans="1:27" x14ac:dyDescent="0.3">
      <c r="A837" s="2">
        <v>44974</v>
      </c>
      <c r="B837" t="s">
        <v>4</v>
      </c>
      <c r="C837" t="s">
        <v>7</v>
      </c>
      <c r="D837">
        <v>6</v>
      </c>
      <c r="E837">
        <v>327.69</v>
      </c>
      <c r="F837" t="s">
        <v>15</v>
      </c>
      <c r="G837" t="s">
        <v>16</v>
      </c>
      <c r="H837">
        <v>0.05</v>
      </c>
      <c r="I837" t="s">
        <v>22</v>
      </c>
      <c r="J837">
        <v>1867.8330000000001</v>
      </c>
      <c r="K837" t="s">
        <v>28</v>
      </c>
      <c r="L837" t="s">
        <v>32</v>
      </c>
      <c r="M837">
        <v>0</v>
      </c>
      <c r="N837" t="s">
        <v>910</v>
      </c>
      <c r="O837" t="s">
        <v>2410</v>
      </c>
      <c r="P837">
        <v>22.34</v>
      </c>
      <c r="Q837">
        <f t="shared" si="13"/>
        <v>311.30549999999999</v>
      </c>
      <c r="R837">
        <v>1845.4930000000002</v>
      </c>
      <c r="S837" s="2">
        <v>44974</v>
      </c>
      <c r="T837" s="2">
        <v>44978</v>
      </c>
      <c r="U837" t="s">
        <v>37</v>
      </c>
      <c r="V837">
        <v>17</v>
      </c>
      <c r="W837">
        <v>2</v>
      </c>
      <c r="X837" t="s">
        <v>38</v>
      </c>
      <c r="Y837">
        <v>2023</v>
      </c>
      <c r="Z837">
        <v>1</v>
      </c>
      <c r="AA837">
        <v>7</v>
      </c>
    </row>
    <row r="838" spans="1:27" x14ac:dyDescent="0.3">
      <c r="A838" s="2">
        <v>45475</v>
      </c>
      <c r="B838" t="s">
        <v>0</v>
      </c>
      <c r="C838" t="s">
        <v>6</v>
      </c>
      <c r="D838">
        <v>8</v>
      </c>
      <c r="E838">
        <v>432.27</v>
      </c>
      <c r="F838" t="s">
        <v>15</v>
      </c>
      <c r="G838" t="s">
        <v>17</v>
      </c>
      <c r="H838">
        <v>0.05</v>
      </c>
      <c r="I838" t="s">
        <v>18</v>
      </c>
      <c r="J838">
        <v>3285.251999999999</v>
      </c>
      <c r="K838" t="s">
        <v>28</v>
      </c>
      <c r="L838" t="s">
        <v>29</v>
      </c>
      <c r="M838">
        <v>1</v>
      </c>
      <c r="N838" t="s">
        <v>911</v>
      </c>
      <c r="O838" t="s">
        <v>2411</v>
      </c>
      <c r="P838">
        <v>20.64</v>
      </c>
      <c r="Q838">
        <f t="shared" si="13"/>
        <v>410.65649999999988</v>
      </c>
      <c r="R838">
        <v>3264.6119999999992</v>
      </c>
      <c r="S838" s="2">
        <v>45475</v>
      </c>
      <c r="T838" s="2">
        <v>45477</v>
      </c>
      <c r="U838" t="s">
        <v>33</v>
      </c>
      <c r="V838">
        <v>2</v>
      </c>
      <c r="W838">
        <v>7</v>
      </c>
      <c r="X838" t="s">
        <v>46</v>
      </c>
      <c r="Y838">
        <v>2024</v>
      </c>
      <c r="Z838">
        <v>3</v>
      </c>
      <c r="AA838">
        <v>27</v>
      </c>
    </row>
    <row r="839" spans="1:27" x14ac:dyDescent="0.3">
      <c r="A839" s="2">
        <v>45748</v>
      </c>
      <c r="B839" t="s">
        <v>2</v>
      </c>
      <c r="C839" t="s">
        <v>9</v>
      </c>
      <c r="D839">
        <v>4</v>
      </c>
      <c r="E839">
        <v>249.98</v>
      </c>
      <c r="F839" t="s">
        <v>14</v>
      </c>
      <c r="G839" t="s">
        <v>17</v>
      </c>
      <c r="H839">
        <v>0.15</v>
      </c>
      <c r="I839" t="s">
        <v>18</v>
      </c>
      <c r="J839">
        <v>849.9319999999999</v>
      </c>
      <c r="K839" t="s">
        <v>27</v>
      </c>
      <c r="L839" t="s">
        <v>30</v>
      </c>
      <c r="M839">
        <v>0</v>
      </c>
      <c r="N839" t="s">
        <v>912</v>
      </c>
      <c r="O839" t="s">
        <v>2412</v>
      </c>
      <c r="P839">
        <v>49.08</v>
      </c>
      <c r="Q839">
        <f t="shared" si="13"/>
        <v>212.48299999999998</v>
      </c>
      <c r="R839">
        <v>800.85199999999986</v>
      </c>
      <c r="S839" s="2">
        <v>45748</v>
      </c>
      <c r="T839" s="2">
        <v>45751</v>
      </c>
      <c r="U839" t="s">
        <v>35</v>
      </c>
      <c r="V839">
        <v>1</v>
      </c>
      <c r="W839">
        <v>4</v>
      </c>
      <c r="X839" t="s">
        <v>45</v>
      </c>
      <c r="Y839">
        <v>2025</v>
      </c>
      <c r="Z839">
        <v>2</v>
      </c>
      <c r="AA839">
        <v>14</v>
      </c>
    </row>
    <row r="840" spans="1:27" x14ac:dyDescent="0.3">
      <c r="A840" s="2">
        <v>45810</v>
      </c>
      <c r="B840" t="s">
        <v>1</v>
      </c>
      <c r="C840" t="s">
        <v>11</v>
      </c>
      <c r="D840">
        <v>14</v>
      </c>
      <c r="E840">
        <v>194.31</v>
      </c>
      <c r="F840" t="s">
        <v>14</v>
      </c>
      <c r="G840" t="s">
        <v>16</v>
      </c>
      <c r="H840">
        <v>0.15</v>
      </c>
      <c r="I840" t="s">
        <v>20</v>
      </c>
      <c r="J840">
        <v>2312.2890000000002</v>
      </c>
      <c r="K840" t="s">
        <v>27</v>
      </c>
      <c r="L840" t="s">
        <v>29</v>
      </c>
      <c r="M840">
        <v>0</v>
      </c>
      <c r="N840" t="s">
        <v>913</v>
      </c>
      <c r="O840" t="s">
        <v>2413</v>
      </c>
      <c r="P840">
        <v>15.3</v>
      </c>
      <c r="Q840">
        <f t="shared" si="13"/>
        <v>165.16350000000003</v>
      </c>
      <c r="R840">
        <v>2296.989</v>
      </c>
      <c r="S840" s="2">
        <v>45810</v>
      </c>
      <c r="T840" s="2">
        <v>45817</v>
      </c>
      <c r="U840" t="s">
        <v>34</v>
      </c>
      <c r="V840">
        <v>2</v>
      </c>
      <c r="W840">
        <v>6</v>
      </c>
      <c r="X840" t="s">
        <v>41</v>
      </c>
      <c r="Y840">
        <v>2025</v>
      </c>
      <c r="Z840">
        <v>2</v>
      </c>
      <c r="AA840">
        <v>23</v>
      </c>
    </row>
    <row r="841" spans="1:27" x14ac:dyDescent="0.3">
      <c r="A841" s="2">
        <v>45617</v>
      </c>
      <c r="B841" t="s">
        <v>4</v>
      </c>
      <c r="C841" t="s">
        <v>6</v>
      </c>
      <c r="D841">
        <v>5</v>
      </c>
      <c r="E841">
        <v>69.290000000000006</v>
      </c>
      <c r="F841" t="s">
        <v>14</v>
      </c>
      <c r="G841" t="s">
        <v>16</v>
      </c>
      <c r="H841">
        <v>0</v>
      </c>
      <c r="I841" t="s">
        <v>21</v>
      </c>
      <c r="J841">
        <v>346.45</v>
      </c>
      <c r="K841" t="s">
        <v>26</v>
      </c>
      <c r="L841" t="s">
        <v>32</v>
      </c>
      <c r="M841">
        <v>0</v>
      </c>
      <c r="N841" t="s">
        <v>914</v>
      </c>
      <c r="O841" t="s">
        <v>2414</v>
      </c>
      <c r="P841">
        <v>20.83</v>
      </c>
      <c r="Q841">
        <f t="shared" si="13"/>
        <v>69.289999999999992</v>
      </c>
      <c r="R841">
        <v>325.62</v>
      </c>
      <c r="S841" s="2">
        <v>45617</v>
      </c>
      <c r="T841" s="2">
        <v>45625</v>
      </c>
      <c r="U841" t="s">
        <v>37</v>
      </c>
      <c r="V841">
        <v>21</v>
      </c>
      <c r="W841">
        <v>11</v>
      </c>
      <c r="X841" t="s">
        <v>47</v>
      </c>
      <c r="Y841">
        <v>2024</v>
      </c>
      <c r="Z841">
        <v>4</v>
      </c>
      <c r="AA841">
        <v>47</v>
      </c>
    </row>
    <row r="842" spans="1:27" x14ac:dyDescent="0.3">
      <c r="A842" s="2">
        <v>45301</v>
      </c>
      <c r="B842" t="s">
        <v>1</v>
      </c>
      <c r="C842" t="s">
        <v>11</v>
      </c>
      <c r="D842">
        <v>15</v>
      </c>
      <c r="E842">
        <v>306.91000000000003</v>
      </c>
      <c r="F842" t="s">
        <v>13</v>
      </c>
      <c r="G842" t="s">
        <v>17</v>
      </c>
      <c r="H842">
        <v>0</v>
      </c>
      <c r="I842" t="s">
        <v>21</v>
      </c>
      <c r="J842">
        <v>4603.6500000000005</v>
      </c>
      <c r="K842" t="s">
        <v>28</v>
      </c>
      <c r="L842" t="s">
        <v>29</v>
      </c>
      <c r="M842">
        <v>1</v>
      </c>
      <c r="N842" t="s">
        <v>915</v>
      </c>
      <c r="O842" t="s">
        <v>2415</v>
      </c>
      <c r="P842">
        <v>19.38</v>
      </c>
      <c r="Q842">
        <f t="shared" si="13"/>
        <v>306.91000000000003</v>
      </c>
      <c r="R842">
        <v>4584.2700000000004</v>
      </c>
      <c r="S842" s="2">
        <v>45301</v>
      </c>
      <c r="T842" s="2">
        <v>45305</v>
      </c>
      <c r="U842" t="s">
        <v>34</v>
      </c>
      <c r="V842">
        <v>10</v>
      </c>
      <c r="W842">
        <v>1</v>
      </c>
      <c r="X842" t="s">
        <v>42</v>
      </c>
      <c r="Y842">
        <v>2024</v>
      </c>
      <c r="Z842">
        <v>1</v>
      </c>
      <c r="AA842">
        <v>2</v>
      </c>
    </row>
    <row r="843" spans="1:27" x14ac:dyDescent="0.3">
      <c r="A843" s="2">
        <v>45220</v>
      </c>
      <c r="B843" t="s">
        <v>2</v>
      </c>
      <c r="C843" t="s">
        <v>7</v>
      </c>
      <c r="D843">
        <v>4</v>
      </c>
      <c r="E843">
        <v>390.3</v>
      </c>
      <c r="F843" t="s">
        <v>13</v>
      </c>
      <c r="G843" t="s">
        <v>17</v>
      </c>
      <c r="H843">
        <v>0.15</v>
      </c>
      <c r="I843" t="s">
        <v>22</v>
      </c>
      <c r="J843">
        <v>1327.02</v>
      </c>
      <c r="K843" t="s">
        <v>27</v>
      </c>
      <c r="L843" t="s">
        <v>32</v>
      </c>
      <c r="M843">
        <v>0</v>
      </c>
      <c r="N843" t="s">
        <v>916</v>
      </c>
      <c r="O843" t="s">
        <v>2416</v>
      </c>
      <c r="P843">
        <v>43.56</v>
      </c>
      <c r="Q843">
        <f t="shared" si="13"/>
        <v>331.755</v>
      </c>
      <c r="R843">
        <v>1283.46</v>
      </c>
      <c r="S843" s="2">
        <v>45220</v>
      </c>
      <c r="T843" s="2">
        <v>45225</v>
      </c>
      <c r="U843" t="s">
        <v>35</v>
      </c>
      <c r="V843">
        <v>21</v>
      </c>
      <c r="W843">
        <v>10</v>
      </c>
      <c r="X843" t="s">
        <v>43</v>
      </c>
      <c r="Y843">
        <v>2023</v>
      </c>
      <c r="Z843">
        <v>4</v>
      </c>
      <c r="AA843">
        <v>42</v>
      </c>
    </row>
    <row r="844" spans="1:27" x14ac:dyDescent="0.3">
      <c r="A844" s="2">
        <v>45677</v>
      </c>
      <c r="B844" t="s">
        <v>2</v>
      </c>
      <c r="C844" t="s">
        <v>6</v>
      </c>
      <c r="D844">
        <v>7</v>
      </c>
      <c r="E844">
        <v>61.83</v>
      </c>
      <c r="F844" t="s">
        <v>12</v>
      </c>
      <c r="G844" t="s">
        <v>17</v>
      </c>
      <c r="H844">
        <v>0</v>
      </c>
      <c r="I844" t="s">
        <v>22</v>
      </c>
      <c r="J844">
        <v>432.81</v>
      </c>
      <c r="K844" t="s">
        <v>24</v>
      </c>
      <c r="L844" t="s">
        <v>31</v>
      </c>
      <c r="M844">
        <v>0</v>
      </c>
      <c r="N844" t="s">
        <v>917</v>
      </c>
      <c r="O844" t="s">
        <v>2417</v>
      </c>
      <c r="P844">
        <v>25.49</v>
      </c>
      <c r="Q844">
        <f t="shared" si="13"/>
        <v>61.83</v>
      </c>
      <c r="R844">
        <v>407.32</v>
      </c>
      <c r="S844" s="2">
        <v>45677</v>
      </c>
      <c r="T844" s="2">
        <v>45679</v>
      </c>
      <c r="U844" t="s">
        <v>35</v>
      </c>
      <c r="V844">
        <v>20</v>
      </c>
      <c r="W844">
        <v>1</v>
      </c>
      <c r="X844" t="s">
        <v>42</v>
      </c>
      <c r="Y844">
        <v>2025</v>
      </c>
      <c r="Z844">
        <v>1</v>
      </c>
      <c r="AA844">
        <v>4</v>
      </c>
    </row>
    <row r="845" spans="1:27" x14ac:dyDescent="0.3">
      <c r="A845" s="2">
        <v>45605</v>
      </c>
      <c r="B845" t="s">
        <v>4</v>
      </c>
      <c r="C845" t="s">
        <v>9</v>
      </c>
      <c r="D845">
        <v>7</v>
      </c>
      <c r="E845">
        <v>83.32</v>
      </c>
      <c r="F845" t="s">
        <v>15</v>
      </c>
      <c r="G845" t="s">
        <v>16</v>
      </c>
      <c r="H845">
        <v>0.05</v>
      </c>
      <c r="I845" t="s">
        <v>21</v>
      </c>
      <c r="J845">
        <v>554.07799999999997</v>
      </c>
      <c r="K845" t="s">
        <v>28</v>
      </c>
      <c r="L845" t="s">
        <v>29</v>
      </c>
      <c r="M845">
        <v>0</v>
      </c>
      <c r="N845" t="s">
        <v>918</v>
      </c>
      <c r="O845" t="s">
        <v>2418</v>
      </c>
      <c r="P845">
        <v>23.4</v>
      </c>
      <c r="Q845">
        <f t="shared" si="13"/>
        <v>79.153999999999996</v>
      </c>
      <c r="R845">
        <v>530.678</v>
      </c>
      <c r="S845" s="2">
        <v>45605</v>
      </c>
      <c r="T845" s="2">
        <v>45613</v>
      </c>
      <c r="U845" t="s">
        <v>37</v>
      </c>
      <c r="V845">
        <v>9</v>
      </c>
      <c r="W845">
        <v>11</v>
      </c>
      <c r="X845" t="s">
        <v>47</v>
      </c>
      <c r="Y845">
        <v>2024</v>
      </c>
      <c r="Z845">
        <v>4</v>
      </c>
      <c r="AA845">
        <v>45</v>
      </c>
    </row>
    <row r="846" spans="1:27" x14ac:dyDescent="0.3">
      <c r="A846" s="2">
        <v>45385</v>
      </c>
      <c r="B846" t="s">
        <v>4</v>
      </c>
      <c r="C846" t="s">
        <v>9</v>
      </c>
      <c r="D846">
        <v>4</v>
      </c>
      <c r="E846">
        <v>563.05999999999995</v>
      </c>
      <c r="F846" t="s">
        <v>15</v>
      </c>
      <c r="G846" t="s">
        <v>17</v>
      </c>
      <c r="H846">
        <v>0.05</v>
      </c>
      <c r="I846" t="s">
        <v>23</v>
      </c>
      <c r="J846">
        <v>2139.6280000000002</v>
      </c>
      <c r="K846" t="s">
        <v>28</v>
      </c>
      <c r="L846" t="s">
        <v>31</v>
      </c>
      <c r="M846">
        <v>0</v>
      </c>
      <c r="N846" t="s">
        <v>919</v>
      </c>
      <c r="O846" t="s">
        <v>2419</v>
      </c>
      <c r="P846">
        <v>19.5</v>
      </c>
      <c r="Q846">
        <f t="shared" si="13"/>
        <v>534.90700000000004</v>
      </c>
      <c r="R846">
        <v>2120.1280000000002</v>
      </c>
      <c r="S846" s="2">
        <v>45385</v>
      </c>
      <c r="T846" s="2">
        <v>45389</v>
      </c>
      <c r="U846" t="s">
        <v>37</v>
      </c>
      <c r="V846">
        <v>3</v>
      </c>
      <c r="W846">
        <v>4</v>
      </c>
      <c r="X846" t="s">
        <v>45</v>
      </c>
      <c r="Y846">
        <v>2024</v>
      </c>
      <c r="Z846">
        <v>2</v>
      </c>
      <c r="AA846">
        <v>14</v>
      </c>
    </row>
    <row r="847" spans="1:27" x14ac:dyDescent="0.3">
      <c r="A847" s="2">
        <v>45297</v>
      </c>
      <c r="B847" t="s">
        <v>2</v>
      </c>
      <c r="C847" t="s">
        <v>6</v>
      </c>
      <c r="D847">
        <v>13</v>
      </c>
      <c r="E847">
        <v>256.35000000000002</v>
      </c>
      <c r="F847" t="s">
        <v>15</v>
      </c>
      <c r="G847" t="s">
        <v>16</v>
      </c>
      <c r="H847">
        <v>0.15</v>
      </c>
      <c r="I847" t="s">
        <v>19</v>
      </c>
      <c r="J847">
        <v>2832.6675</v>
      </c>
      <c r="K847" t="s">
        <v>28</v>
      </c>
      <c r="L847" t="s">
        <v>30</v>
      </c>
      <c r="M847">
        <v>0</v>
      </c>
      <c r="N847" t="s">
        <v>920</v>
      </c>
      <c r="O847" t="s">
        <v>2420</v>
      </c>
      <c r="P847">
        <v>26.04</v>
      </c>
      <c r="Q847">
        <f t="shared" si="13"/>
        <v>217.89750000000001</v>
      </c>
      <c r="R847">
        <v>2806.6275000000001</v>
      </c>
      <c r="S847" s="2">
        <v>45297</v>
      </c>
      <c r="T847" s="2">
        <v>45299</v>
      </c>
      <c r="U847" t="s">
        <v>35</v>
      </c>
      <c r="V847">
        <v>6</v>
      </c>
      <c r="W847">
        <v>1</v>
      </c>
      <c r="X847" t="s">
        <v>42</v>
      </c>
      <c r="Y847">
        <v>2024</v>
      </c>
      <c r="Z847">
        <v>1</v>
      </c>
      <c r="AA847">
        <v>1</v>
      </c>
    </row>
    <row r="848" spans="1:27" x14ac:dyDescent="0.3">
      <c r="A848" s="2">
        <v>45140</v>
      </c>
      <c r="B848" t="s">
        <v>3</v>
      </c>
      <c r="C848" t="s">
        <v>11</v>
      </c>
      <c r="D848">
        <v>9</v>
      </c>
      <c r="E848">
        <v>303.26</v>
      </c>
      <c r="F848" t="s">
        <v>13</v>
      </c>
      <c r="G848" t="s">
        <v>16</v>
      </c>
      <c r="H848">
        <v>0.05</v>
      </c>
      <c r="I848" t="s">
        <v>22</v>
      </c>
      <c r="J848">
        <v>2592.873</v>
      </c>
      <c r="K848" t="s">
        <v>27</v>
      </c>
      <c r="L848" t="s">
        <v>29</v>
      </c>
      <c r="M848">
        <v>0</v>
      </c>
      <c r="N848" t="s">
        <v>921</v>
      </c>
      <c r="O848" t="s">
        <v>2421</v>
      </c>
      <c r="P848">
        <v>17.010000000000002</v>
      </c>
      <c r="Q848">
        <f t="shared" si="13"/>
        <v>288.09699999999998</v>
      </c>
      <c r="R848">
        <v>2575.8629999999998</v>
      </c>
      <c r="S848" s="2">
        <v>45140</v>
      </c>
      <c r="T848" s="2">
        <v>45143</v>
      </c>
      <c r="U848" t="s">
        <v>36</v>
      </c>
      <c r="V848">
        <v>2</v>
      </c>
      <c r="W848">
        <v>8</v>
      </c>
      <c r="X848" t="s">
        <v>48</v>
      </c>
      <c r="Y848">
        <v>2023</v>
      </c>
      <c r="Z848">
        <v>3</v>
      </c>
      <c r="AA848">
        <v>31</v>
      </c>
    </row>
    <row r="849" spans="1:27" x14ac:dyDescent="0.3">
      <c r="A849" s="2">
        <v>45256</v>
      </c>
      <c r="B849" t="s">
        <v>2</v>
      </c>
      <c r="C849" t="s">
        <v>8</v>
      </c>
      <c r="D849">
        <v>9</v>
      </c>
      <c r="E849">
        <v>440.48</v>
      </c>
      <c r="F849" t="s">
        <v>13</v>
      </c>
      <c r="G849" t="s">
        <v>17</v>
      </c>
      <c r="H849">
        <v>0.15</v>
      </c>
      <c r="I849" t="s">
        <v>22</v>
      </c>
      <c r="J849">
        <v>3369.672</v>
      </c>
      <c r="K849" t="s">
        <v>25</v>
      </c>
      <c r="L849" t="s">
        <v>31</v>
      </c>
      <c r="M849">
        <v>0</v>
      </c>
      <c r="N849" t="s">
        <v>922</v>
      </c>
      <c r="O849" t="s">
        <v>2422</v>
      </c>
      <c r="P849">
        <v>32.94</v>
      </c>
      <c r="Q849">
        <f t="shared" si="13"/>
        <v>374.40800000000002</v>
      </c>
      <c r="R849">
        <v>3336.732</v>
      </c>
      <c r="S849" s="2">
        <v>45256</v>
      </c>
      <c r="T849" s="2">
        <v>45261</v>
      </c>
      <c r="U849" t="s">
        <v>35</v>
      </c>
      <c r="V849">
        <v>26</v>
      </c>
      <c r="W849">
        <v>11</v>
      </c>
      <c r="X849" t="s">
        <v>47</v>
      </c>
      <c r="Y849">
        <v>2023</v>
      </c>
      <c r="Z849">
        <v>4</v>
      </c>
      <c r="AA849">
        <v>47</v>
      </c>
    </row>
    <row r="850" spans="1:27" x14ac:dyDescent="0.3">
      <c r="A850" s="2">
        <v>45767</v>
      </c>
      <c r="B850" t="s">
        <v>0</v>
      </c>
      <c r="C850" t="s">
        <v>7</v>
      </c>
      <c r="D850">
        <v>17</v>
      </c>
      <c r="E850">
        <v>469.25</v>
      </c>
      <c r="F850" t="s">
        <v>12</v>
      </c>
      <c r="G850" t="s">
        <v>16</v>
      </c>
      <c r="H850">
        <v>0.05</v>
      </c>
      <c r="I850" t="s">
        <v>23</v>
      </c>
      <c r="J850">
        <v>7578.3874999999998</v>
      </c>
      <c r="K850" t="s">
        <v>26</v>
      </c>
      <c r="L850" t="s">
        <v>32</v>
      </c>
      <c r="M850">
        <v>0</v>
      </c>
      <c r="N850" t="s">
        <v>923</v>
      </c>
      <c r="O850" t="s">
        <v>2423</v>
      </c>
      <c r="P850">
        <v>45.76</v>
      </c>
      <c r="Q850">
        <f t="shared" si="13"/>
        <v>445.78749999999997</v>
      </c>
      <c r="R850">
        <v>7532.6274999999996</v>
      </c>
      <c r="S850" s="2">
        <v>45767</v>
      </c>
      <c r="T850" s="2">
        <v>45773</v>
      </c>
      <c r="U850" t="s">
        <v>33</v>
      </c>
      <c r="V850">
        <v>20</v>
      </c>
      <c r="W850">
        <v>4</v>
      </c>
      <c r="X850" t="s">
        <v>45</v>
      </c>
      <c r="Y850">
        <v>2025</v>
      </c>
      <c r="Z850">
        <v>2</v>
      </c>
      <c r="AA850">
        <v>16</v>
      </c>
    </row>
    <row r="851" spans="1:27" x14ac:dyDescent="0.3">
      <c r="A851" s="2">
        <v>45289</v>
      </c>
      <c r="B851" t="s">
        <v>1</v>
      </c>
      <c r="C851" t="s">
        <v>8</v>
      </c>
      <c r="D851">
        <v>18</v>
      </c>
      <c r="E851">
        <v>491.76</v>
      </c>
      <c r="F851" t="s">
        <v>13</v>
      </c>
      <c r="G851" t="s">
        <v>16</v>
      </c>
      <c r="H851">
        <v>0.15</v>
      </c>
      <c r="I851" t="s">
        <v>18</v>
      </c>
      <c r="J851">
        <v>7523.9279999999999</v>
      </c>
      <c r="K851" t="s">
        <v>26</v>
      </c>
      <c r="L851" t="s">
        <v>30</v>
      </c>
      <c r="M851">
        <v>0</v>
      </c>
      <c r="N851" t="s">
        <v>924</v>
      </c>
      <c r="O851" t="s">
        <v>2424</v>
      </c>
      <c r="P851">
        <v>37.49</v>
      </c>
      <c r="Q851">
        <f t="shared" si="13"/>
        <v>417.99599999999998</v>
      </c>
      <c r="R851">
        <v>7486.4380000000001</v>
      </c>
      <c r="S851" s="2">
        <v>45289</v>
      </c>
      <c r="T851" s="2">
        <v>45296</v>
      </c>
      <c r="U851" t="s">
        <v>34</v>
      </c>
      <c r="V851">
        <v>29</v>
      </c>
      <c r="W851">
        <v>12</v>
      </c>
      <c r="X851" t="s">
        <v>39</v>
      </c>
      <c r="Y851">
        <v>2023</v>
      </c>
      <c r="Z851">
        <v>4</v>
      </c>
      <c r="AA851">
        <v>52</v>
      </c>
    </row>
    <row r="852" spans="1:27" x14ac:dyDescent="0.3">
      <c r="A852" s="2">
        <v>45665</v>
      </c>
      <c r="B852" t="s">
        <v>3</v>
      </c>
      <c r="C852" t="s">
        <v>8</v>
      </c>
      <c r="D852">
        <v>19</v>
      </c>
      <c r="E852">
        <v>465.27</v>
      </c>
      <c r="F852" t="s">
        <v>14</v>
      </c>
      <c r="G852" t="s">
        <v>17</v>
      </c>
      <c r="H852">
        <v>0.05</v>
      </c>
      <c r="I852" t="s">
        <v>22</v>
      </c>
      <c r="J852">
        <v>8398.1234999999997</v>
      </c>
      <c r="K852" t="s">
        <v>26</v>
      </c>
      <c r="L852" t="s">
        <v>32</v>
      </c>
      <c r="M852">
        <v>0</v>
      </c>
      <c r="N852" t="s">
        <v>925</v>
      </c>
      <c r="O852" t="s">
        <v>2425</v>
      </c>
      <c r="P852">
        <v>44.95</v>
      </c>
      <c r="Q852">
        <f t="shared" si="13"/>
        <v>442.00649999999996</v>
      </c>
      <c r="R852">
        <v>8353.173499999999</v>
      </c>
      <c r="S852" s="2">
        <v>45665</v>
      </c>
      <c r="T852" s="2">
        <v>45667</v>
      </c>
      <c r="U852" t="s">
        <v>36</v>
      </c>
      <c r="V852">
        <v>8</v>
      </c>
      <c r="W852">
        <v>1</v>
      </c>
      <c r="X852" t="s">
        <v>42</v>
      </c>
      <c r="Y852">
        <v>2025</v>
      </c>
      <c r="Z852">
        <v>1</v>
      </c>
      <c r="AA852">
        <v>2</v>
      </c>
    </row>
    <row r="853" spans="1:27" x14ac:dyDescent="0.3">
      <c r="A853" s="2">
        <v>45418</v>
      </c>
      <c r="B853" t="s">
        <v>0</v>
      </c>
      <c r="C853" t="s">
        <v>8</v>
      </c>
      <c r="D853">
        <v>18</v>
      </c>
      <c r="E853">
        <v>343.68</v>
      </c>
      <c r="F853" t="s">
        <v>12</v>
      </c>
      <c r="G853" t="s">
        <v>17</v>
      </c>
      <c r="H853">
        <v>0</v>
      </c>
      <c r="I853" t="s">
        <v>18</v>
      </c>
      <c r="J853">
        <v>6186.24</v>
      </c>
      <c r="K853" t="s">
        <v>25</v>
      </c>
      <c r="L853" t="s">
        <v>30</v>
      </c>
      <c r="M853">
        <v>0</v>
      </c>
      <c r="N853" t="s">
        <v>926</v>
      </c>
      <c r="O853" t="s">
        <v>2426</v>
      </c>
      <c r="P853">
        <v>20.37</v>
      </c>
      <c r="Q853">
        <f t="shared" si="13"/>
        <v>343.68</v>
      </c>
      <c r="R853">
        <v>6165.87</v>
      </c>
      <c r="S853" s="2">
        <v>45418</v>
      </c>
      <c r="T853" s="2">
        <v>45426</v>
      </c>
      <c r="U853" t="s">
        <v>33</v>
      </c>
      <c r="V853">
        <v>6</v>
      </c>
      <c r="W853">
        <v>5</v>
      </c>
      <c r="X853" t="s">
        <v>40</v>
      </c>
      <c r="Y853">
        <v>2024</v>
      </c>
      <c r="Z853">
        <v>2</v>
      </c>
      <c r="AA853">
        <v>19</v>
      </c>
    </row>
    <row r="854" spans="1:27" x14ac:dyDescent="0.3">
      <c r="A854" s="2">
        <v>45550</v>
      </c>
      <c r="B854" t="s">
        <v>2</v>
      </c>
      <c r="C854" t="s">
        <v>7</v>
      </c>
      <c r="D854">
        <v>14</v>
      </c>
      <c r="E854">
        <v>472.51</v>
      </c>
      <c r="F854" t="s">
        <v>15</v>
      </c>
      <c r="G854" t="s">
        <v>16</v>
      </c>
      <c r="H854">
        <v>0.05</v>
      </c>
      <c r="I854" t="s">
        <v>23</v>
      </c>
      <c r="J854">
        <v>6284.3829999999989</v>
      </c>
      <c r="K854" t="s">
        <v>25</v>
      </c>
      <c r="L854" t="s">
        <v>32</v>
      </c>
      <c r="M854">
        <v>0</v>
      </c>
      <c r="N854" t="s">
        <v>927</v>
      </c>
      <c r="O854" t="s">
        <v>2427</v>
      </c>
      <c r="P854">
        <v>13.54</v>
      </c>
      <c r="Q854">
        <f t="shared" si="13"/>
        <v>448.88449999999995</v>
      </c>
      <c r="R854">
        <v>6270.8429999999989</v>
      </c>
      <c r="S854" s="2">
        <v>45550</v>
      </c>
      <c r="T854" s="2">
        <v>45555</v>
      </c>
      <c r="U854" t="s">
        <v>35</v>
      </c>
      <c r="V854">
        <v>15</v>
      </c>
      <c r="W854">
        <v>9</v>
      </c>
      <c r="X854" t="s">
        <v>49</v>
      </c>
      <c r="Y854">
        <v>2024</v>
      </c>
      <c r="Z854">
        <v>3</v>
      </c>
      <c r="AA854">
        <v>37</v>
      </c>
    </row>
    <row r="855" spans="1:27" x14ac:dyDescent="0.3">
      <c r="A855" s="2">
        <v>44964</v>
      </c>
      <c r="B855" t="s">
        <v>4</v>
      </c>
      <c r="C855" t="s">
        <v>5</v>
      </c>
      <c r="D855">
        <v>20</v>
      </c>
      <c r="E855">
        <v>142.52000000000001</v>
      </c>
      <c r="F855" t="s">
        <v>13</v>
      </c>
      <c r="G855" t="s">
        <v>17</v>
      </c>
      <c r="H855">
        <v>0.1</v>
      </c>
      <c r="I855" t="s">
        <v>18</v>
      </c>
      <c r="J855">
        <v>2565.36</v>
      </c>
      <c r="K855" t="s">
        <v>28</v>
      </c>
      <c r="L855" t="s">
        <v>29</v>
      </c>
      <c r="M855">
        <v>0</v>
      </c>
      <c r="N855" t="s">
        <v>928</v>
      </c>
      <c r="O855" t="s">
        <v>2428</v>
      </c>
      <c r="P855">
        <v>30.67</v>
      </c>
      <c r="Q855">
        <f t="shared" si="13"/>
        <v>128.268</v>
      </c>
      <c r="R855">
        <v>2534.69</v>
      </c>
      <c r="S855" s="2">
        <v>44964</v>
      </c>
      <c r="T855" s="2">
        <v>44969</v>
      </c>
      <c r="U855" t="s">
        <v>37</v>
      </c>
      <c r="V855">
        <v>7</v>
      </c>
      <c r="W855">
        <v>2</v>
      </c>
      <c r="X855" t="s">
        <v>38</v>
      </c>
      <c r="Y855">
        <v>2023</v>
      </c>
      <c r="Z855">
        <v>1</v>
      </c>
      <c r="AA855">
        <v>6</v>
      </c>
    </row>
    <row r="856" spans="1:27" x14ac:dyDescent="0.3">
      <c r="A856" s="2">
        <v>44986</v>
      </c>
      <c r="B856" t="s">
        <v>0</v>
      </c>
      <c r="C856" t="s">
        <v>6</v>
      </c>
      <c r="D856">
        <v>1</v>
      </c>
      <c r="E856">
        <v>31.42</v>
      </c>
      <c r="F856" t="s">
        <v>12</v>
      </c>
      <c r="G856" t="s">
        <v>17</v>
      </c>
      <c r="H856">
        <v>0.05</v>
      </c>
      <c r="I856" t="s">
        <v>23</v>
      </c>
      <c r="J856">
        <v>29.849</v>
      </c>
      <c r="K856" t="s">
        <v>26</v>
      </c>
      <c r="L856" t="s">
        <v>30</v>
      </c>
      <c r="M856">
        <v>0</v>
      </c>
      <c r="N856" t="s">
        <v>929</v>
      </c>
      <c r="O856" t="s">
        <v>2429</v>
      </c>
      <c r="P856">
        <v>11.35</v>
      </c>
      <c r="Q856">
        <f t="shared" si="13"/>
        <v>29.849</v>
      </c>
      <c r="R856">
        <v>18.499000000000002</v>
      </c>
      <c r="S856" s="2">
        <v>44986</v>
      </c>
      <c r="T856" s="2">
        <v>44994</v>
      </c>
      <c r="U856" t="s">
        <v>33</v>
      </c>
      <c r="V856">
        <v>1</v>
      </c>
      <c r="W856">
        <v>3</v>
      </c>
      <c r="X856" t="s">
        <v>44</v>
      </c>
      <c r="Y856">
        <v>2023</v>
      </c>
      <c r="Z856">
        <v>1</v>
      </c>
      <c r="AA856">
        <v>9</v>
      </c>
    </row>
    <row r="857" spans="1:27" x14ac:dyDescent="0.3">
      <c r="A857" s="2">
        <v>45420</v>
      </c>
      <c r="B857" t="s">
        <v>2</v>
      </c>
      <c r="C857" t="s">
        <v>10</v>
      </c>
      <c r="D857">
        <v>17</v>
      </c>
      <c r="E857">
        <v>572.29</v>
      </c>
      <c r="F857" t="s">
        <v>15</v>
      </c>
      <c r="G857" t="s">
        <v>17</v>
      </c>
      <c r="H857">
        <v>0.15</v>
      </c>
      <c r="I857" t="s">
        <v>18</v>
      </c>
      <c r="J857">
        <v>8269.5905000000002</v>
      </c>
      <c r="K857" t="s">
        <v>24</v>
      </c>
      <c r="L857" t="s">
        <v>30</v>
      </c>
      <c r="M857">
        <v>1</v>
      </c>
      <c r="N857" t="s">
        <v>930</v>
      </c>
      <c r="O857" t="s">
        <v>2430</v>
      </c>
      <c r="P857">
        <v>44.99</v>
      </c>
      <c r="Q857">
        <f t="shared" si="13"/>
        <v>486.44650000000001</v>
      </c>
      <c r="R857">
        <v>8224.6005000000005</v>
      </c>
      <c r="S857" s="2">
        <v>45420</v>
      </c>
      <c r="T857" s="2">
        <v>45424</v>
      </c>
      <c r="U857" t="s">
        <v>35</v>
      </c>
      <c r="V857">
        <v>8</v>
      </c>
      <c r="W857">
        <v>5</v>
      </c>
      <c r="X857" t="s">
        <v>40</v>
      </c>
      <c r="Y857">
        <v>2024</v>
      </c>
      <c r="Z857">
        <v>2</v>
      </c>
      <c r="AA857">
        <v>19</v>
      </c>
    </row>
    <row r="858" spans="1:27" x14ac:dyDescent="0.3">
      <c r="A858" s="2">
        <v>45449</v>
      </c>
      <c r="B858" t="s">
        <v>0</v>
      </c>
      <c r="C858" t="s">
        <v>7</v>
      </c>
      <c r="D858">
        <v>18</v>
      </c>
      <c r="E858">
        <v>333.6</v>
      </c>
      <c r="F858" t="s">
        <v>13</v>
      </c>
      <c r="G858" t="s">
        <v>17</v>
      </c>
      <c r="H858">
        <v>0.1</v>
      </c>
      <c r="I858" t="s">
        <v>21</v>
      </c>
      <c r="J858">
        <v>5404.3200000000006</v>
      </c>
      <c r="K858" t="s">
        <v>27</v>
      </c>
      <c r="L858" t="s">
        <v>29</v>
      </c>
      <c r="M858">
        <v>1</v>
      </c>
      <c r="N858" t="s">
        <v>931</v>
      </c>
      <c r="O858" t="s">
        <v>2431</v>
      </c>
      <c r="P858">
        <v>33.79</v>
      </c>
      <c r="Q858">
        <f t="shared" si="13"/>
        <v>300.24</v>
      </c>
      <c r="R858">
        <v>5370.5300000000007</v>
      </c>
      <c r="S858" s="2">
        <v>45449</v>
      </c>
      <c r="T858" s="2">
        <v>45451</v>
      </c>
      <c r="U858" t="s">
        <v>33</v>
      </c>
      <c r="V858">
        <v>6</v>
      </c>
      <c r="W858">
        <v>6</v>
      </c>
      <c r="X858" t="s">
        <v>41</v>
      </c>
      <c r="Y858">
        <v>2024</v>
      </c>
      <c r="Z858">
        <v>2</v>
      </c>
      <c r="AA858">
        <v>23</v>
      </c>
    </row>
    <row r="859" spans="1:27" x14ac:dyDescent="0.3">
      <c r="A859" s="2">
        <v>45045</v>
      </c>
      <c r="B859" t="s">
        <v>2</v>
      </c>
      <c r="C859" t="s">
        <v>8</v>
      </c>
      <c r="D859">
        <v>9</v>
      </c>
      <c r="E859">
        <v>90.87</v>
      </c>
      <c r="F859" t="s">
        <v>15</v>
      </c>
      <c r="G859" t="s">
        <v>17</v>
      </c>
      <c r="H859">
        <v>0.15</v>
      </c>
      <c r="I859" t="s">
        <v>21</v>
      </c>
      <c r="J859">
        <v>695.15549999999996</v>
      </c>
      <c r="K859" t="s">
        <v>27</v>
      </c>
      <c r="L859" t="s">
        <v>31</v>
      </c>
      <c r="M859">
        <v>0</v>
      </c>
      <c r="N859" t="s">
        <v>932</v>
      </c>
      <c r="O859" t="s">
        <v>2432</v>
      </c>
      <c r="P859">
        <v>26.56</v>
      </c>
      <c r="Q859">
        <f t="shared" si="13"/>
        <v>77.239499999999992</v>
      </c>
      <c r="R859">
        <v>668.59550000000002</v>
      </c>
      <c r="S859" s="2">
        <v>45045</v>
      </c>
      <c r="T859" s="2">
        <v>45054</v>
      </c>
      <c r="U859" t="s">
        <v>35</v>
      </c>
      <c r="V859">
        <v>29</v>
      </c>
      <c r="W859">
        <v>4</v>
      </c>
      <c r="X859" t="s">
        <v>45</v>
      </c>
      <c r="Y859">
        <v>2023</v>
      </c>
      <c r="Z859">
        <v>2</v>
      </c>
      <c r="AA859">
        <v>17</v>
      </c>
    </row>
    <row r="860" spans="1:27" x14ac:dyDescent="0.3">
      <c r="A860" s="2">
        <v>45189</v>
      </c>
      <c r="B860" t="s">
        <v>3</v>
      </c>
      <c r="C860" t="s">
        <v>10</v>
      </c>
      <c r="D860">
        <v>9</v>
      </c>
      <c r="E860">
        <v>588.59</v>
      </c>
      <c r="F860" t="s">
        <v>15</v>
      </c>
      <c r="G860" t="s">
        <v>16</v>
      </c>
      <c r="H860">
        <v>0.05</v>
      </c>
      <c r="I860" t="s">
        <v>22</v>
      </c>
      <c r="J860">
        <v>5032.4445000000014</v>
      </c>
      <c r="K860" t="s">
        <v>24</v>
      </c>
      <c r="L860" t="s">
        <v>32</v>
      </c>
      <c r="M860">
        <v>0</v>
      </c>
      <c r="N860" t="s">
        <v>933</v>
      </c>
      <c r="O860" t="s">
        <v>2433</v>
      </c>
      <c r="P860">
        <v>42.3</v>
      </c>
      <c r="Q860">
        <f t="shared" si="13"/>
        <v>559.16050000000018</v>
      </c>
      <c r="R860">
        <v>4990.1445000000012</v>
      </c>
      <c r="S860" s="2">
        <v>45189</v>
      </c>
      <c r="T860" s="2">
        <v>45191</v>
      </c>
      <c r="U860" t="s">
        <v>36</v>
      </c>
      <c r="V860">
        <v>20</v>
      </c>
      <c r="W860">
        <v>9</v>
      </c>
      <c r="X860" t="s">
        <v>49</v>
      </c>
      <c r="Y860">
        <v>2023</v>
      </c>
      <c r="Z860">
        <v>3</v>
      </c>
      <c r="AA860">
        <v>38</v>
      </c>
    </row>
    <row r="861" spans="1:27" x14ac:dyDescent="0.3">
      <c r="A861" s="2">
        <v>45604</v>
      </c>
      <c r="B861" t="s">
        <v>1</v>
      </c>
      <c r="C861" t="s">
        <v>8</v>
      </c>
      <c r="D861">
        <v>18</v>
      </c>
      <c r="E861">
        <v>153.28</v>
      </c>
      <c r="F861" t="s">
        <v>12</v>
      </c>
      <c r="G861" t="s">
        <v>17</v>
      </c>
      <c r="H861">
        <v>0.05</v>
      </c>
      <c r="I861" t="s">
        <v>20</v>
      </c>
      <c r="J861">
        <v>2621.0880000000002</v>
      </c>
      <c r="K861" t="s">
        <v>24</v>
      </c>
      <c r="L861" t="s">
        <v>31</v>
      </c>
      <c r="M861">
        <v>1</v>
      </c>
      <c r="N861" t="s">
        <v>934</v>
      </c>
      <c r="O861" t="s">
        <v>2434</v>
      </c>
      <c r="P861">
        <v>33.71</v>
      </c>
      <c r="Q861">
        <f t="shared" si="13"/>
        <v>145.61600000000001</v>
      </c>
      <c r="R861">
        <v>2587.3780000000002</v>
      </c>
      <c r="S861" s="2">
        <v>45604</v>
      </c>
      <c r="T861" s="2">
        <v>45609</v>
      </c>
      <c r="U861" t="s">
        <v>34</v>
      </c>
      <c r="V861">
        <v>8</v>
      </c>
      <c r="W861">
        <v>11</v>
      </c>
      <c r="X861" t="s">
        <v>47</v>
      </c>
      <c r="Y861">
        <v>2024</v>
      </c>
      <c r="Z861">
        <v>4</v>
      </c>
      <c r="AA861">
        <v>45</v>
      </c>
    </row>
    <row r="862" spans="1:27" x14ac:dyDescent="0.3">
      <c r="A862" s="2">
        <v>45007</v>
      </c>
      <c r="B862" t="s">
        <v>2</v>
      </c>
      <c r="C862" t="s">
        <v>11</v>
      </c>
      <c r="D862">
        <v>17</v>
      </c>
      <c r="E862">
        <v>194.97</v>
      </c>
      <c r="F862" t="s">
        <v>13</v>
      </c>
      <c r="G862" t="s">
        <v>17</v>
      </c>
      <c r="H862">
        <v>0.15</v>
      </c>
      <c r="I862" t="s">
        <v>21</v>
      </c>
      <c r="J862">
        <v>2817.3164999999999</v>
      </c>
      <c r="K862" t="s">
        <v>25</v>
      </c>
      <c r="L862" t="s">
        <v>30</v>
      </c>
      <c r="M862">
        <v>1</v>
      </c>
      <c r="N862" t="s">
        <v>935</v>
      </c>
      <c r="O862" t="s">
        <v>2435</v>
      </c>
      <c r="P862">
        <v>5.59</v>
      </c>
      <c r="Q862">
        <f t="shared" si="13"/>
        <v>165.72450000000001</v>
      </c>
      <c r="R862">
        <v>2811.7264999999998</v>
      </c>
      <c r="S862" s="2">
        <v>45007</v>
      </c>
      <c r="T862" s="2">
        <v>45015</v>
      </c>
      <c r="U862" t="s">
        <v>35</v>
      </c>
      <c r="V862">
        <v>22</v>
      </c>
      <c r="W862">
        <v>3</v>
      </c>
      <c r="X862" t="s">
        <v>44</v>
      </c>
      <c r="Y862">
        <v>2023</v>
      </c>
      <c r="Z862">
        <v>1</v>
      </c>
      <c r="AA862">
        <v>12</v>
      </c>
    </row>
    <row r="863" spans="1:27" x14ac:dyDescent="0.3">
      <c r="A863" s="2">
        <v>45174</v>
      </c>
      <c r="B863" t="s">
        <v>0</v>
      </c>
      <c r="C863" t="s">
        <v>9</v>
      </c>
      <c r="D863">
        <v>5</v>
      </c>
      <c r="E863">
        <v>367.61</v>
      </c>
      <c r="F863" t="s">
        <v>14</v>
      </c>
      <c r="G863" t="s">
        <v>17</v>
      </c>
      <c r="H863">
        <v>0</v>
      </c>
      <c r="I863" t="s">
        <v>19</v>
      </c>
      <c r="J863">
        <v>1838.05</v>
      </c>
      <c r="K863" t="s">
        <v>26</v>
      </c>
      <c r="L863" t="s">
        <v>30</v>
      </c>
      <c r="M863">
        <v>0</v>
      </c>
      <c r="N863" t="s">
        <v>936</v>
      </c>
      <c r="O863" t="s">
        <v>2436</v>
      </c>
      <c r="P863">
        <v>19.55</v>
      </c>
      <c r="Q863">
        <f t="shared" si="13"/>
        <v>367.61</v>
      </c>
      <c r="R863">
        <v>1818.5</v>
      </c>
      <c r="S863" s="2">
        <v>45174</v>
      </c>
      <c r="T863" s="2">
        <v>45182</v>
      </c>
      <c r="U863" t="s">
        <v>33</v>
      </c>
      <c r="V863">
        <v>5</v>
      </c>
      <c r="W863">
        <v>9</v>
      </c>
      <c r="X863" t="s">
        <v>49</v>
      </c>
      <c r="Y863">
        <v>2023</v>
      </c>
      <c r="Z863">
        <v>3</v>
      </c>
      <c r="AA863">
        <v>36</v>
      </c>
    </row>
    <row r="864" spans="1:27" x14ac:dyDescent="0.3">
      <c r="A864" s="2">
        <v>44983</v>
      </c>
      <c r="B864" t="s">
        <v>0</v>
      </c>
      <c r="C864" t="s">
        <v>5</v>
      </c>
      <c r="D864">
        <v>17</v>
      </c>
      <c r="E864">
        <v>575.5</v>
      </c>
      <c r="F864" t="s">
        <v>15</v>
      </c>
      <c r="G864" t="s">
        <v>17</v>
      </c>
      <c r="H864">
        <v>0.05</v>
      </c>
      <c r="I864" t="s">
        <v>19</v>
      </c>
      <c r="J864">
        <v>9294.3249999999989</v>
      </c>
      <c r="K864" t="s">
        <v>27</v>
      </c>
      <c r="L864" t="s">
        <v>29</v>
      </c>
      <c r="M864">
        <v>0</v>
      </c>
      <c r="N864" t="s">
        <v>937</v>
      </c>
      <c r="O864" t="s">
        <v>2437</v>
      </c>
      <c r="P864">
        <v>13.42</v>
      </c>
      <c r="Q864">
        <f t="shared" si="13"/>
        <v>546.72499999999991</v>
      </c>
      <c r="R864">
        <v>9280.9049999999988</v>
      </c>
      <c r="S864" s="2">
        <v>44983</v>
      </c>
      <c r="T864" s="2">
        <v>44990</v>
      </c>
      <c r="U864" t="s">
        <v>33</v>
      </c>
      <c r="V864">
        <v>26</v>
      </c>
      <c r="W864">
        <v>2</v>
      </c>
      <c r="X864" t="s">
        <v>38</v>
      </c>
      <c r="Y864">
        <v>2023</v>
      </c>
      <c r="Z864">
        <v>1</v>
      </c>
      <c r="AA864">
        <v>8</v>
      </c>
    </row>
    <row r="865" spans="1:27" x14ac:dyDescent="0.3">
      <c r="A865" s="2">
        <v>45622</v>
      </c>
      <c r="B865" t="s">
        <v>4</v>
      </c>
      <c r="C865" t="s">
        <v>8</v>
      </c>
      <c r="D865">
        <v>3</v>
      </c>
      <c r="E865">
        <v>229.45</v>
      </c>
      <c r="F865" t="s">
        <v>15</v>
      </c>
      <c r="G865" t="s">
        <v>17</v>
      </c>
      <c r="H865">
        <v>0.15</v>
      </c>
      <c r="I865" t="s">
        <v>23</v>
      </c>
      <c r="J865">
        <v>585.09749999999985</v>
      </c>
      <c r="K865" t="s">
        <v>27</v>
      </c>
      <c r="L865" t="s">
        <v>31</v>
      </c>
      <c r="M865">
        <v>1</v>
      </c>
      <c r="N865" t="s">
        <v>938</v>
      </c>
      <c r="O865" t="s">
        <v>2438</v>
      </c>
      <c r="P865">
        <v>19.809999999999999</v>
      </c>
      <c r="Q865">
        <f t="shared" si="13"/>
        <v>195.03249999999994</v>
      </c>
      <c r="R865">
        <v>565.28749999999991</v>
      </c>
      <c r="S865" s="2">
        <v>45622</v>
      </c>
      <c r="T865" s="2">
        <v>45625</v>
      </c>
      <c r="U865" t="s">
        <v>37</v>
      </c>
      <c r="V865">
        <v>26</v>
      </c>
      <c r="W865">
        <v>11</v>
      </c>
      <c r="X865" t="s">
        <v>47</v>
      </c>
      <c r="Y865">
        <v>2024</v>
      </c>
      <c r="Z865">
        <v>4</v>
      </c>
      <c r="AA865">
        <v>48</v>
      </c>
    </row>
    <row r="866" spans="1:27" x14ac:dyDescent="0.3">
      <c r="A866" s="2">
        <v>45579</v>
      </c>
      <c r="B866" t="s">
        <v>3</v>
      </c>
      <c r="C866" t="s">
        <v>8</v>
      </c>
      <c r="D866">
        <v>3</v>
      </c>
      <c r="E866">
        <v>391.63</v>
      </c>
      <c r="F866" t="s">
        <v>14</v>
      </c>
      <c r="G866" t="s">
        <v>17</v>
      </c>
      <c r="H866">
        <v>0</v>
      </c>
      <c r="I866" t="s">
        <v>20</v>
      </c>
      <c r="J866">
        <v>1174.8900000000001</v>
      </c>
      <c r="K866" t="s">
        <v>27</v>
      </c>
      <c r="L866" t="s">
        <v>32</v>
      </c>
      <c r="M866">
        <v>1</v>
      </c>
      <c r="N866" t="s">
        <v>939</v>
      </c>
      <c r="O866" t="s">
        <v>2439</v>
      </c>
      <c r="P866">
        <v>25.36</v>
      </c>
      <c r="Q866">
        <f t="shared" si="13"/>
        <v>391.63000000000005</v>
      </c>
      <c r="R866">
        <v>1149.5300000000002</v>
      </c>
      <c r="S866" s="2">
        <v>45579</v>
      </c>
      <c r="T866" s="2">
        <v>45582</v>
      </c>
      <c r="U866" t="s">
        <v>36</v>
      </c>
      <c r="V866">
        <v>14</v>
      </c>
      <c r="W866">
        <v>10</v>
      </c>
      <c r="X866" t="s">
        <v>43</v>
      </c>
      <c r="Y866">
        <v>2024</v>
      </c>
      <c r="Z866">
        <v>4</v>
      </c>
      <c r="AA866">
        <v>42</v>
      </c>
    </row>
    <row r="867" spans="1:27" x14ac:dyDescent="0.3">
      <c r="A867" s="2">
        <v>45075</v>
      </c>
      <c r="B867" t="s">
        <v>3</v>
      </c>
      <c r="C867" t="s">
        <v>5</v>
      </c>
      <c r="D867">
        <v>15</v>
      </c>
      <c r="E867">
        <v>67.349999999999994</v>
      </c>
      <c r="F867" t="s">
        <v>15</v>
      </c>
      <c r="G867" t="s">
        <v>16</v>
      </c>
      <c r="H867">
        <v>0.1</v>
      </c>
      <c r="I867" t="s">
        <v>22</v>
      </c>
      <c r="J867">
        <v>909.22499999999991</v>
      </c>
      <c r="K867" t="s">
        <v>24</v>
      </c>
      <c r="L867" t="s">
        <v>29</v>
      </c>
      <c r="M867">
        <v>0</v>
      </c>
      <c r="N867" t="s">
        <v>940</v>
      </c>
      <c r="O867" t="s">
        <v>2440</v>
      </c>
      <c r="P867">
        <v>24.85</v>
      </c>
      <c r="Q867">
        <f t="shared" si="13"/>
        <v>60.614999999999995</v>
      </c>
      <c r="R867">
        <v>884.37499999999989</v>
      </c>
      <c r="S867" s="2">
        <v>45075</v>
      </c>
      <c r="T867" s="2">
        <v>45080</v>
      </c>
      <c r="U867" t="s">
        <v>36</v>
      </c>
      <c r="V867">
        <v>29</v>
      </c>
      <c r="W867">
        <v>5</v>
      </c>
      <c r="X867" t="s">
        <v>40</v>
      </c>
      <c r="Y867">
        <v>2023</v>
      </c>
      <c r="Z867">
        <v>2</v>
      </c>
      <c r="AA867">
        <v>22</v>
      </c>
    </row>
    <row r="868" spans="1:27" x14ac:dyDescent="0.3">
      <c r="A868" s="2">
        <v>45373</v>
      </c>
      <c r="B868" t="s">
        <v>3</v>
      </c>
      <c r="C868" t="s">
        <v>5</v>
      </c>
      <c r="D868">
        <v>6</v>
      </c>
      <c r="E868">
        <v>453.86</v>
      </c>
      <c r="F868" t="s">
        <v>12</v>
      </c>
      <c r="G868" t="s">
        <v>17</v>
      </c>
      <c r="H868">
        <v>0.15</v>
      </c>
      <c r="I868" t="s">
        <v>19</v>
      </c>
      <c r="J868">
        <v>2314.6860000000001</v>
      </c>
      <c r="K868" t="s">
        <v>26</v>
      </c>
      <c r="L868" t="s">
        <v>32</v>
      </c>
      <c r="M868">
        <v>0</v>
      </c>
      <c r="N868" t="s">
        <v>941</v>
      </c>
      <c r="O868" t="s">
        <v>2441</v>
      </c>
      <c r="P868">
        <v>45.32</v>
      </c>
      <c r="Q868">
        <f t="shared" si="13"/>
        <v>385.78100000000001</v>
      </c>
      <c r="R868">
        <v>2269.366</v>
      </c>
      <c r="S868" s="2">
        <v>45373</v>
      </c>
      <c r="T868" s="2">
        <v>45382</v>
      </c>
      <c r="U868" t="s">
        <v>36</v>
      </c>
      <c r="V868">
        <v>22</v>
      </c>
      <c r="W868">
        <v>3</v>
      </c>
      <c r="X868" t="s">
        <v>44</v>
      </c>
      <c r="Y868">
        <v>2024</v>
      </c>
      <c r="Z868">
        <v>1</v>
      </c>
      <c r="AA868">
        <v>12</v>
      </c>
    </row>
    <row r="869" spans="1:27" x14ac:dyDescent="0.3">
      <c r="A869" s="2">
        <v>45038</v>
      </c>
      <c r="B869" t="s">
        <v>1</v>
      </c>
      <c r="C869" t="s">
        <v>10</v>
      </c>
      <c r="D869">
        <v>19</v>
      </c>
      <c r="E869">
        <v>537.70000000000005</v>
      </c>
      <c r="F869" t="s">
        <v>15</v>
      </c>
      <c r="G869" t="s">
        <v>16</v>
      </c>
      <c r="H869">
        <v>0</v>
      </c>
      <c r="I869" t="s">
        <v>23</v>
      </c>
      <c r="J869">
        <v>10216.299999999999</v>
      </c>
      <c r="K869" t="s">
        <v>24</v>
      </c>
      <c r="L869" t="s">
        <v>30</v>
      </c>
      <c r="M869">
        <v>0</v>
      </c>
      <c r="N869" t="s">
        <v>942</v>
      </c>
      <c r="O869" t="s">
        <v>2442</v>
      </c>
      <c r="P869">
        <v>45.83</v>
      </c>
      <c r="Q869">
        <f t="shared" si="13"/>
        <v>537.69999999999993</v>
      </c>
      <c r="R869">
        <v>10170.469999999999</v>
      </c>
      <c r="S869" s="2">
        <v>45038</v>
      </c>
      <c r="T869" s="2">
        <v>45048</v>
      </c>
      <c r="U869" t="s">
        <v>34</v>
      </c>
      <c r="V869">
        <v>22</v>
      </c>
      <c r="W869">
        <v>4</v>
      </c>
      <c r="X869" t="s">
        <v>45</v>
      </c>
      <c r="Y869">
        <v>2023</v>
      </c>
      <c r="Z869">
        <v>2</v>
      </c>
      <c r="AA869">
        <v>16</v>
      </c>
    </row>
    <row r="870" spans="1:27" x14ac:dyDescent="0.3">
      <c r="A870" s="2">
        <v>45814</v>
      </c>
      <c r="B870" t="s">
        <v>2</v>
      </c>
      <c r="C870" t="s">
        <v>6</v>
      </c>
      <c r="D870">
        <v>5</v>
      </c>
      <c r="E870">
        <v>32.56</v>
      </c>
      <c r="F870" t="s">
        <v>14</v>
      </c>
      <c r="G870" t="s">
        <v>17</v>
      </c>
      <c r="H870">
        <v>0.05</v>
      </c>
      <c r="I870" t="s">
        <v>22</v>
      </c>
      <c r="J870">
        <v>154.66</v>
      </c>
      <c r="K870" t="s">
        <v>28</v>
      </c>
      <c r="L870" t="s">
        <v>29</v>
      </c>
      <c r="M870">
        <v>0</v>
      </c>
      <c r="N870" t="s">
        <v>943</v>
      </c>
      <c r="O870" t="s">
        <v>2443</v>
      </c>
      <c r="P870">
        <v>46.73</v>
      </c>
      <c r="Q870">
        <f t="shared" si="13"/>
        <v>30.931999999999999</v>
      </c>
      <c r="R870">
        <v>107.93</v>
      </c>
      <c r="S870" s="2">
        <v>45814</v>
      </c>
      <c r="T870" s="2">
        <v>45820</v>
      </c>
      <c r="U870" t="s">
        <v>35</v>
      </c>
      <c r="V870">
        <v>6</v>
      </c>
      <c r="W870">
        <v>6</v>
      </c>
      <c r="X870" t="s">
        <v>41</v>
      </c>
      <c r="Y870">
        <v>2025</v>
      </c>
      <c r="Z870">
        <v>2</v>
      </c>
      <c r="AA870">
        <v>23</v>
      </c>
    </row>
    <row r="871" spans="1:27" x14ac:dyDescent="0.3">
      <c r="A871" s="2">
        <v>44951</v>
      </c>
      <c r="B871" t="s">
        <v>3</v>
      </c>
      <c r="C871" t="s">
        <v>5</v>
      </c>
      <c r="D871">
        <v>2</v>
      </c>
      <c r="E871">
        <v>196.7</v>
      </c>
      <c r="F871" t="s">
        <v>13</v>
      </c>
      <c r="G871" t="s">
        <v>17</v>
      </c>
      <c r="H871">
        <v>0</v>
      </c>
      <c r="I871" t="s">
        <v>20</v>
      </c>
      <c r="J871">
        <v>393.4</v>
      </c>
      <c r="K871" t="s">
        <v>24</v>
      </c>
      <c r="L871" t="s">
        <v>29</v>
      </c>
      <c r="M871">
        <v>0</v>
      </c>
      <c r="N871" t="s">
        <v>944</v>
      </c>
      <c r="O871" t="s">
        <v>2444</v>
      </c>
      <c r="P871">
        <v>35.840000000000003</v>
      </c>
      <c r="Q871">
        <f t="shared" si="13"/>
        <v>196.7</v>
      </c>
      <c r="R871">
        <v>357.55999999999995</v>
      </c>
      <c r="S871" s="2">
        <v>44951</v>
      </c>
      <c r="T871" s="2">
        <v>44955</v>
      </c>
      <c r="U871" t="s">
        <v>36</v>
      </c>
      <c r="V871">
        <v>25</v>
      </c>
      <c r="W871">
        <v>1</v>
      </c>
      <c r="X871" t="s">
        <v>42</v>
      </c>
      <c r="Y871">
        <v>2023</v>
      </c>
      <c r="Z871">
        <v>1</v>
      </c>
      <c r="AA871">
        <v>4</v>
      </c>
    </row>
    <row r="872" spans="1:27" x14ac:dyDescent="0.3">
      <c r="A872" s="2">
        <v>45177</v>
      </c>
      <c r="B872" t="s">
        <v>1</v>
      </c>
      <c r="C872" t="s">
        <v>6</v>
      </c>
      <c r="D872">
        <v>12</v>
      </c>
      <c r="E872">
        <v>369.45</v>
      </c>
      <c r="F872" t="s">
        <v>15</v>
      </c>
      <c r="G872" t="s">
        <v>16</v>
      </c>
      <c r="H872">
        <v>0.1</v>
      </c>
      <c r="I872" t="s">
        <v>20</v>
      </c>
      <c r="J872">
        <v>3990.06</v>
      </c>
      <c r="K872" t="s">
        <v>26</v>
      </c>
      <c r="L872" t="s">
        <v>31</v>
      </c>
      <c r="M872">
        <v>1</v>
      </c>
      <c r="N872" t="s">
        <v>945</v>
      </c>
      <c r="O872" t="s">
        <v>2445</v>
      </c>
      <c r="P872">
        <v>44.76</v>
      </c>
      <c r="Q872">
        <f t="shared" si="13"/>
        <v>332.505</v>
      </c>
      <c r="R872">
        <v>3945.2999999999997</v>
      </c>
      <c r="S872" s="2">
        <v>45177</v>
      </c>
      <c r="T872" s="2">
        <v>45179</v>
      </c>
      <c r="U872" t="s">
        <v>34</v>
      </c>
      <c r="V872">
        <v>8</v>
      </c>
      <c r="W872">
        <v>9</v>
      </c>
      <c r="X872" t="s">
        <v>49</v>
      </c>
      <c r="Y872">
        <v>2023</v>
      </c>
      <c r="Z872">
        <v>3</v>
      </c>
      <c r="AA872">
        <v>36</v>
      </c>
    </row>
    <row r="873" spans="1:27" x14ac:dyDescent="0.3">
      <c r="A873" s="2">
        <v>45569</v>
      </c>
      <c r="B873" t="s">
        <v>0</v>
      </c>
      <c r="C873" t="s">
        <v>10</v>
      </c>
      <c r="D873">
        <v>12</v>
      </c>
      <c r="E873">
        <v>181.96</v>
      </c>
      <c r="F873" t="s">
        <v>15</v>
      </c>
      <c r="G873" t="s">
        <v>17</v>
      </c>
      <c r="H873">
        <v>0.15</v>
      </c>
      <c r="I873" t="s">
        <v>18</v>
      </c>
      <c r="J873">
        <v>1855.992</v>
      </c>
      <c r="K873" t="s">
        <v>25</v>
      </c>
      <c r="L873" t="s">
        <v>31</v>
      </c>
      <c r="M873">
        <v>0</v>
      </c>
      <c r="N873" t="s">
        <v>946</v>
      </c>
      <c r="O873" t="s">
        <v>2446</v>
      </c>
      <c r="P873">
        <v>25.06</v>
      </c>
      <c r="Q873">
        <f t="shared" si="13"/>
        <v>154.666</v>
      </c>
      <c r="R873">
        <v>1830.932</v>
      </c>
      <c r="S873" s="2">
        <v>45569</v>
      </c>
      <c r="T873" s="2">
        <v>45576</v>
      </c>
      <c r="U873" t="s">
        <v>33</v>
      </c>
      <c r="V873">
        <v>4</v>
      </c>
      <c r="W873">
        <v>10</v>
      </c>
      <c r="X873" t="s">
        <v>43</v>
      </c>
      <c r="Y873">
        <v>2024</v>
      </c>
      <c r="Z873">
        <v>4</v>
      </c>
      <c r="AA873">
        <v>40</v>
      </c>
    </row>
    <row r="874" spans="1:27" x14ac:dyDescent="0.3">
      <c r="A874" s="2">
        <v>45753</v>
      </c>
      <c r="B874" t="s">
        <v>0</v>
      </c>
      <c r="C874" t="s">
        <v>7</v>
      </c>
      <c r="D874">
        <v>3</v>
      </c>
      <c r="E874">
        <v>32.07</v>
      </c>
      <c r="F874" t="s">
        <v>15</v>
      </c>
      <c r="G874" t="s">
        <v>17</v>
      </c>
      <c r="H874">
        <v>0.15</v>
      </c>
      <c r="I874" t="s">
        <v>19</v>
      </c>
      <c r="J874">
        <v>81.778500000000008</v>
      </c>
      <c r="K874" t="s">
        <v>24</v>
      </c>
      <c r="L874" t="s">
        <v>31</v>
      </c>
      <c r="M874">
        <v>1</v>
      </c>
      <c r="N874" t="s">
        <v>947</v>
      </c>
      <c r="O874" t="s">
        <v>2447</v>
      </c>
      <c r="P874">
        <v>43.18</v>
      </c>
      <c r="Q874">
        <f t="shared" si="13"/>
        <v>27.259500000000003</v>
      </c>
      <c r="R874">
        <v>38.598500000000008</v>
      </c>
      <c r="S874" s="2">
        <v>45753</v>
      </c>
      <c r="T874" s="2">
        <v>45755</v>
      </c>
      <c r="U874" t="s">
        <v>33</v>
      </c>
      <c r="V874">
        <v>6</v>
      </c>
      <c r="W874">
        <v>4</v>
      </c>
      <c r="X874" t="s">
        <v>45</v>
      </c>
      <c r="Y874">
        <v>2025</v>
      </c>
      <c r="Z874">
        <v>2</v>
      </c>
      <c r="AA874">
        <v>14</v>
      </c>
    </row>
    <row r="875" spans="1:27" x14ac:dyDescent="0.3">
      <c r="A875" s="2">
        <v>45529</v>
      </c>
      <c r="B875" t="s">
        <v>0</v>
      </c>
      <c r="C875" t="s">
        <v>5</v>
      </c>
      <c r="D875">
        <v>15</v>
      </c>
      <c r="E875">
        <v>39.93</v>
      </c>
      <c r="F875" t="s">
        <v>13</v>
      </c>
      <c r="G875" t="s">
        <v>17</v>
      </c>
      <c r="H875">
        <v>0.15</v>
      </c>
      <c r="I875" t="s">
        <v>22</v>
      </c>
      <c r="J875">
        <v>509.10750000000002</v>
      </c>
      <c r="K875" t="s">
        <v>27</v>
      </c>
      <c r="L875" t="s">
        <v>31</v>
      </c>
      <c r="M875">
        <v>0</v>
      </c>
      <c r="N875" t="s">
        <v>948</v>
      </c>
      <c r="O875" t="s">
        <v>2448</v>
      </c>
      <c r="P875">
        <v>33.44</v>
      </c>
      <c r="Q875">
        <f t="shared" si="13"/>
        <v>33.9405</v>
      </c>
      <c r="R875">
        <v>475.66750000000002</v>
      </c>
      <c r="S875" s="2">
        <v>45529</v>
      </c>
      <c r="T875" s="2">
        <v>45533</v>
      </c>
      <c r="U875" t="s">
        <v>33</v>
      </c>
      <c r="V875">
        <v>25</v>
      </c>
      <c r="W875">
        <v>8</v>
      </c>
      <c r="X875" t="s">
        <v>48</v>
      </c>
      <c r="Y875">
        <v>2024</v>
      </c>
      <c r="Z875">
        <v>3</v>
      </c>
      <c r="AA875">
        <v>34</v>
      </c>
    </row>
    <row r="876" spans="1:27" x14ac:dyDescent="0.3">
      <c r="A876" s="2">
        <v>45357</v>
      </c>
      <c r="B876" t="s">
        <v>2</v>
      </c>
      <c r="C876" t="s">
        <v>6</v>
      </c>
      <c r="D876">
        <v>7</v>
      </c>
      <c r="E876">
        <v>374.43</v>
      </c>
      <c r="F876" t="s">
        <v>13</v>
      </c>
      <c r="G876" t="s">
        <v>17</v>
      </c>
      <c r="H876">
        <v>0.15</v>
      </c>
      <c r="I876" t="s">
        <v>21</v>
      </c>
      <c r="J876">
        <v>2227.8584999999998</v>
      </c>
      <c r="K876" t="s">
        <v>28</v>
      </c>
      <c r="L876" t="s">
        <v>30</v>
      </c>
      <c r="M876">
        <v>0</v>
      </c>
      <c r="N876" t="s">
        <v>949</v>
      </c>
      <c r="O876" t="s">
        <v>2449</v>
      </c>
      <c r="P876">
        <v>28.97</v>
      </c>
      <c r="Q876">
        <f t="shared" si="13"/>
        <v>318.26549999999997</v>
      </c>
      <c r="R876">
        <v>2198.8885</v>
      </c>
      <c r="S876" s="2">
        <v>45357</v>
      </c>
      <c r="T876" s="2">
        <v>45363</v>
      </c>
      <c r="U876" t="s">
        <v>35</v>
      </c>
      <c r="V876">
        <v>6</v>
      </c>
      <c r="W876">
        <v>3</v>
      </c>
      <c r="X876" t="s">
        <v>44</v>
      </c>
      <c r="Y876">
        <v>2024</v>
      </c>
      <c r="Z876">
        <v>1</v>
      </c>
      <c r="AA876">
        <v>10</v>
      </c>
    </row>
    <row r="877" spans="1:27" x14ac:dyDescent="0.3">
      <c r="A877" s="2">
        <v>45008</v>
      </c>
      <c r="B877" t="s">
        <v>0</v>
      </c>
      <c r="C877" t="s">
        <v>11</v>
      </c>
      <c r="D877">
        <v>2</v>
      </c>
      <c r="E877">
        <v>101.87</v>
      </c>
      <c r="F877" t="s">
        <v>14</v>
      </c>
      <c r="G877" t="s">
        <v>16</v>
      </c>
      <c r="H877">
        <v>0</v>
      </c>
      <c r="I877" t="s">
        <v>22</v>
      </c>
      <c r="J877">
        <v>203.74</v>
      </c>
      <c r="K877" t="s">
        <v>28</v>
      </c>
      <c r="L877" t="s">
        <v>29</v>
      </c>
      <c r="M877">
        <v>0</v>
      </c>
      <c r="N877" t="s">
        <v>950</v>
      </c>
      <c r="O877" t="s">
        <v>2450</v>
      </c>
      <c r="P877">
        <v>28.63</v>
      </c>
      <c r="Q877">
        <f t="shared" si="13"/>
        <v>101.87</v>
      </c>
      <c r="R877">
        <v>175.11</v>
      </c>
      <c r="S877" s="2">
        <v>45008</v>
      </c>
      <c r="T877" s="2">
        <v>45011</v>
      </c>
      <c r="U877" t="s">
        <v>33</v>
      </c>
      <c r="V877">
        <v>23</v>
      </c>
      <c r="W877">
        <v>3</v>
      </c>
      <c r="X877" t="s">
        <v>44</v>
      </c>
      <c r="Y877">
        <v>2023</v>
      </c>
      <c r="Z877">
        <v>1</v>
      </c>
      <c r="AA877">
        <v>12</v>
      </c>
    </row>
    <row r="878" spans="1:27" x14ac:dyDescent="0.3">
      <c r="A878" s="2">
        <v>45304</v>
      </c>
      <c r="B878" t="s">
        <v>3</v>
      </c>
      <c r="C878" t="s">
        <v>10</v>
      </c>
      <c r="D878">
        <v>13</v>
      </c>
      <c r="E878">
        <v>343.45</v>
      </c>
      <c r="F878" t="s">
        <v>15</v>
      </c>
      <c r="G878" t="s">
        <v>16</v>
      </c>
      <c r="H878">
        <v>0.05</v>
      </c>
      <c r="I878" t="s">
        <v>19</v>
      </c>
      <c r="J878">
        <v>4241.6074999999992</v>
      </c>
      <c r="K878" t="s">
        <v>25</v>
      </c>
      <c r="L878" t="s">
        <v>30</v>
      </c>
      <c r="M878">
        <v>0</v>
      </c>
      <c r="N878" t="s">
        <v>951</v>
      </c>
      <c r="O878" t="s">
        <v>2451</v>
      </c>
      <c r="P878">
        <v>27.26</v>
      </c>
      <c r="Q878">
        <f t="shared" si="13"/>
        <v>326.27749999999992</v>
      </c>
      <c r="R878">
        <v>4214.3474999999989</v>
      </c>
      <c r="S878" s="2">
        <v>45304</v>
      </c>
      <c r="T878" s="2">
        <v>45308</v>
      </c>
      <c r="U878" t="s">
        <v>36</v>
      </c>
      <c r="V878">
        <v>13</v>
      </c>
      <c r="W878">
        <v>1</v>
      </c>
      <c r="X878" t="s">
        <v>42</v>
      </c>
      <c r="Y878">
        <v>2024</v>
      </c>
      <c r="Z878">
        <v>1</v>
      </c>
      <c r="AA878">
        <v>2</v>
      </c>
    </row>
    <row r="879" spans="1:27" x14ac:dyDescent="0.3">
      <c r="A879" s="2">
        <v>45125</v>
      </c>
      <c r="B879" t="s">
        <v>3</v>
      </c>
      <c r="C879" t="s">
        <v>11</v>
      </c>
      <c r="D879">
        <v>15</v>
      </c>
      <c r="E879">
        <v>144.11000000000001</v>
      </c>
      <c r="F879" t="s">
        <v>14</v>
      </c>
      <c r="G879" t="s">
        <v>17</v>
      </c>
      <c r="H879">
        <v>0</v>
      </c>
      <c r="I879" t="s">
        <v>20</v>
      </c>
      <c r="J879">
        <v>2161.65</v>
      </c>
      <c r="K879" t="s">
        <v>25</v>
      </c>
      <c r="L879" t="s">
        <v>32</v>
      </c>
      <c r="M879">
        <v>0</v>
      </c>
      <c r="N879" t="s">
        <v>952</v>
      </c>
      <c r="O879" t="s">
        <v>2452</v>
      </c>
      <c r="P879">
        <v>28.51</v>
      </c>
      <c r="Q879">
        <f t="shared" si="13"/>
        <v>144.11000000000001</v>
      </c>
      <c r="R879">
        <v>2133.14</v>
      </c>
      <c r="S879" s="2">
        <v>45125</v>
      </c>
      <c r="T879" s="2">
        <v>45131</v>
      </c>
      <c r="U879" t="s">
        <v>36</v>
      </c>
      <c r="V879">
        <v>18</v>
      </c>
      <c r="W879">
        <v>7</v>
      </c>
      <c r="X879" t="s">
        <v>46</v>
      </c>
      <c r="Y879">
        <v>2023</v>
      </c>
      <c r="Z879">
        <v>3</v>
      </c>
      <c r="AA879">
        <v>29</v>
      </c>
    </row>
    <row r="880" spans="1:27" x14ac:dyDescent="0.3">
      <c r="A880" s="2">
        <v>45711</v>
      </c>
      <c r="B880" t="s">
        <v>4</v>
      </c>
      <c r="C880" t="s">
        <v>8</v>
      </c>
      <c r="D880">
        <v>18</v>
      </c>
      <c r="E880">
        <v>403.68</v>
      </c>
      <c r="F880" t="s">
        <v>13</v>
      </c>
      <c r="G880" t="s">
        <v>17</v>
      </c>
      <c r="H880">
        <v>0.15</v>
      </c>
      <c r="I880" t="s">
        <v>21</v>
      </c>
      <c r="J880">
        <v>6176.3040000000001</v>
      </c>
      <c r="K880" t="s">
        <v>28</v>
      </c>
      <c r="L880" t="s">
        <v>29</v>
      </c>
      <c r="M880">
        <v>0</v>
      </c>
      <c r="N880" t="s">
        <v>953</v>
      </c>
      <c r="O880" t="s">
        <v>2453</v>
      </c>
      <c r="P880">
        <v>13.09</v>
      </c>
      <c r="Q880">
        <f t="shared" si="13"/>
        <v>343.12799999999999</v>
      </c>
      <c r="R880">
        <v>6163.2139999999999</v>
      </c>
      <c r="S880" s="2">
        <v>45711</v>
      </c>
      <c r="T880" s="2">
        <v>45720</v>
      </c>
      <c r="U880" t="s">
        <v>37</v>
      </c>
      <c r="V880">
        <v>23</v>
      </c>
      <c r="W880">
        <v>2</v>
      </c>
      <c r="X880" t="s">
        <v>38</v>
      </c>
      <c r="Y880">
        <v>2025</v>
      </c>
      <c r="Z880">
        <v>1</v>
      </c>
      <c r="AA880">
        <v>8</v>
      </c>
    </row>
    <row r="881" spans="1:27" x14ac:dyDescent="0.3">
      <c r="A881" s="2">
        <v>44979</v>
      </c>
      <c r="B881" t="s">
        <v>0</v>
      </c>
      <c r="C881" t="s">
        <v>11</v>
      </c>
      <c r="D881">
        <v>14</v>
      </c>
      <c r="E881">
        <v>346.57</v>
      </c>
      <c r="F881" t="s">
        <v>12</v>
      </c>
      <c r="G881" t="s">
        <v>17</v>
      </c>
      <c r="H881">
        <v>0.1</v>
      </c>
      <c r="I881" t="s">
        <v>21</v>
      </c>
      <c r="J881">
        <v>4366.7820000000002</v>
      </c>
      <c r="K881" t="s">
        <v>27</v>
      </c>
      <c r="L881" t="s">
        <v>29</v>
      </c>
      <c r="M881">
        <v>0</v>
      </c>
      <c r="N881" t="s">
        <v>954</v>
      </c>
      <c r="O881" t="s">
        <v>2454</v>
      </c>
      <c r="P881">
        <v>36.83</v>
      </c>
      <c r="Q881">
        <f t="shared" si="13"/>
        <v>311.91300000000001</v>
      </c>
      <c r="R881">
        <v>4329.9520000000002</v>
      </c>
      <c r="S881" s="2">
        <v>44979</v>
      </c>
      <c r="T881" s="2">
        <v>44987</v>
      </c>
      <c r="U881" t="s">
        <v>33</v>
      </c>
      <c r="V881">
        <v>22</v>
      </c>
      <c r="W881">
        <v>2</v>
      </c>
      <c r="X881" t="s">
        <v>38</v>
      </c>
      <c r="Y881">
        <v>2023</v>
      </c>
      <c r="Z881">
        <v>1</v>
      </c>
      <c r="AA881">
        <v>8</v>
      </c>
    </row>
    <row r="882" spans="1:27" x14ac:dyDescent="0.3">
      <c r="A882" s="2">
        <v>45583</v>
      </c>
      <c r="B882" t="s">
        <v>2</v>
      </c>
      <c r="C882" t="s">
        <v>11</v>
      </c>
      <c r="D882">
        <v>7</v>
      </c>
      <c r="E882">
        <v>392.79</v>
      </c>
      <c r="F882" t="s">
        <v>14</v>
      </c>
      <c r="G882" t="s">
        <v>16</v>
      </c>
      <c r="H882">
        <v>0</v>
      </c>
      <c r="I882" t="s">
        <v>18</v>
      </c>
      <c r="J882">
        <v>2749.53</v>
      </c>
      <c r="K882" t="s">
        <v>25</v>
      </c>
      <c r="L882" t="s">
        <v>31</v>
      </c>
      <c r="M882">
        <v>0</v>
      </c>
      <c r="N882" t="s">
        <v>955</v>
      </c>
      <c r="O882" t="s">
        <v>2455</v>
      </c>
      <c r="P882">
        <v>45.85</v>
      </c>
      <c r="Q882">
        <f t="shared" si="13"/>
        <v>392.79</v>
      </c>
      <c r="R882">
        <v>2703.6800000000003</v>
      </c>
      <c r="S882" s="2">
        <v>45583</v>
      </c>
      <c r="T882" s="2">
        <v>45593</v>
      </c>
      <c r="U882" t="s">
        <v>35</v>
      </c>
      <c r="V882">
        <v>18</v>
      </c>
      <c r="W882">
        <v>10</v>
      </c>
      <c r="X882" t="s">
        <v>43</v>
      </c>
      <c r="Y882">
        <v>2024</v>
      </c>
      <c r="Z882">
        <v>4</v>
      </c>
      <c r="AA882">
        <v>42</v>
      </c>
    </row>
    <row r="883" spans="1:27" x14ac:dyDescent="0.3">
      <c r="A883" s="2">
        <v>45225</v>
      </c>
      <c r="B883" t="s">
        <v>4</v>
      </c>
      <c r="C883" t="s">
        <v>11</v>
      </c>
      <c r="D883">
        <v>16</v>
      </c>
      <c r="E883">
        <v>70.83</v>
      </c>
      <c r="F883" t="s">
        <v>12</v>
      </c>
      <c r="G883" t="s">
        <v>16</v>
      </c>
      <c r="H883">
        <v>0.05</v>
      </c>
      <c r="I883" t="s">
        <v>21</v>
      </c>
      <c r="J883">
        <v>1076.616</v>
      </c>
      <c r="K883" t="s">
        <v>25</v>
      </c>
      <c r="L883" t="s">
        <v>32</v>
      </c>
      <c r="M883">
        <v>0</v>
      </c>
      <c r="N883" t="s">
        <v>956</v>
      </c>
      <c r="O883" t="s">
        <v>2456</v>
      </c>
      <c r="P883">
        <v>5.05</v>
      </c>
      <c r="Q883">
        <f t="shared" si="13"/>
        <v>67.288499999999999</v>
      </c>
      <c r="R883">
        <v>1071.566</v>
      </c>
      <c r="S883" s="2">
        <v>45225</v>
      </c>
      <c r="T883" s="2">
        <v>45230</v>
      </c>
      <c r="U883" t="s">
        <v>37</v>
      </c>
      <c r="V883">
        <v>26</v>
      </c>
      <c r="W883">
        <v>10</v>
      </c>
      <c r="X883" t="s">
        <v>43</v>
      </c>
      <c r="Y883">
        <v>2023</v>
      </c>
      <c r="Z883">
        <v>4</v>
      </c>
      <c r="AA883">
        <v>43</v>
      </c>
    </row>
    <row r="884" spans="1:27" x14ac:dyDescent="0.3">
      <c r="A884" s="2">
        <v>44936</v>
      </c>
      <c r="B884" t="s">
        <v>3</v>
      </c>
      <c r="C884" t="s">
        <v>9</v>
      </c>
      <c r="D884">
        <v>20</v>
      </c>
      <c r="E884">
        <v>274.37</v>
      </c>
      <c r="F884" t="s">
        <v>12</v>
      </c>
      <c r="G884" t="s">
        <v>17</v>
      </c>
      <c r="H884">
        <v>0.1</v>
      </c>
      <c r="I884" t="s">
        <v>18</v>
      </c>
      <c r="J884">
        <v>4938.66</v>
      </c>
      <c r="K884" t="s">
        <v>25</v>
      </c>
      <c r="L884" t="s">
        <v>31</v>
      </c>
      <c r="M884">
        <v>0</v>
      </c>
      <c r="N884" t="s">
        <v>957</v>
      </c>
      <c r="O884" t="s">
        <v>2457</v>
      </c>
      <c r="P884">
        <v>12.28</v>
      </c>
      <c r="Q884">
        <f t="shared" si="13"/>
        <v>246.93299999999999</v>
      </c>
      <c r="R884">
        <v>4926.38</v>
      </c>
      <c r="S884" s="2">
        <v>44936</v>
      </c>
      <c r="T884" s="2">
        <v>44940</v>
      </c>
      <c r="U884" t="s">
        <v>36</v>
      </c>
      <c r="V884">
        <v>10</v>
      </c>
      <c r="W884">
        <v>1</v>
      </c>
      <c r="X884" t="s">
        <v>42</v>
      </c>
      <c r="Y884">
        <v>2023</v>
      </c>
      <c r="Z884">
        <v>1</v>
      </c>
      <c r="AA884">
        <v>2</v>
      </c>
    </row>
    <row r="885" spans="1:27" x14ac:dyDescent="0.3">
      <c r="A885" s="2">
        <v>45370</v>
      </c>
      <c r="B885" t="s">
        <v>3</v>
      </c>
      <c r="C885" t="s">
        <v>7</v>
      </c>
      <c r="D885">
        <v>10</v>
      </c>
      <c r="E885">
        <v>19.73</v>
      </c>
      <c r="F885" t="s">
        <v>15</v>
      </c>
      <c r="G885" t="s">
        <v>17</v>
      </c>
      <c r="H885">
        <v>0.1</v>
      </c>
      <c r="I885" t="s">
        <v>21</v>
      </c>
      <c r="J885">
        <v>177.57</v>
      </c>
      <c r="K885" t="s">
        <v>27</v>
      </c>
      <c r="L885" t="s">
        <v>32</v>
      </c>
      <c r="M885">
        <v>0</v>
      </c>
      <c r="N885" t="s">
        <v>958</v>
      </c>
      <c r="O885" t="s">
        <v>2458</v>
      </c>
      <c r="P885">
        <v>16.059999999999999</v>
      </c>
      <c r="Q885">
        <f t="shared" si="13"/>
        <v>17.756999999999998</v>
      </c>
      <c r="R885">
        <v>161.51</v>
      </c>
      <c r="S885" s="2">
        <v>45370</v>
      </c>
      <c r="T885" s="2">
        <v>45373</v>
      </c>
      <c r="U885" t="s">
        <v>36</v>
      </c>
      <c r="V885">
        <v>19</v>
      </c>
      <c r="W885">
        <v>3</v>
      </c>
      <c r="X885" t="s">
        <v>44</v>
      </c>
      <c r="Y885">
        <v>2024</v>
      </c>
      <c r="Z885">
        <v>1</v>
      </c>
      <c r="AA885">
        <v>12</v>
      </c>
    </row>
    <row r="886" spans="1:27" x14ac:dyDescent="0.3">
      <c r="A886" s="2">
        <v>45280</v>
      </c>
      <c r="B886" t="s">
        <v>3</v>
      </c>
      <c r="C886" t="s">
        <v>11</v>
      </c>
      <c r="D886">
        <v>10</v>
      </c>
      <c r="E886">
        <v>465.72</v>
      </c>
      <c r="F886" t="s">
        <v>12</v>
      </c>
      <c r="G886" t="s">
        <v>16</v>
      </c>
      <c r="H886">
        <v>0.05</v>
      </c>
      <c r="I886" t="s">
        <v>19</v>
      </c>
      <c r="J886">
        <v>4424.34</v>
      </c>
      <c r="K886" t="s">
        <v>24</v>
      </c>
      <c r="L886" t="s">
        <v>29</v>
      </c>
      <c r="M886">
        <v>0</v>
      </c>
      <c r="N886" t="s">
        <v>959</v>
      </c>
      <c r="O886" t="s">
        <v>2459</v>
      </c>
      <c r="P886">
        <v>28.14</v>
      </c>
      <c r="Q886">
        <f t="shared" si="13"/>
        <v>442.43400000000003</v>
      </c>
      <c r="R886">
        <v>4396.2</v>
      </c>
      <c r="S886" s="2">
        <v>45280</v>
      </c>
      <c r="T886" s="2">
        <v>45286</v>
      </c>
      <c r="U886" t="s">
        <v>36</v>
      </c>
      <c r="V886">
        <v>20</v>
      </c>
      <c r="W886">
        <v>12</v>
      </c>
      <c r="X886" t="s">
        <v>39</v>
      </c>
      <c r="Y886">
        <v>2023</v>
      </c>
      <c r="Z886">
        <v>4</v>
      </c>
      <c r="AA886">
        <v>51</v>
      </c>
    </row>
    <row r="887" spans="1:27" x14ac:dyDescent="0.3">
      <c r="A887" s="2">
        <v>45635</v>
      </c>
      <c r="B887" t="s">
        <v>3</v>
      </c>
      <c r="C887" t="s">
        <v>9</v>
      </c>
      <c r="D887">
        <v>19</v>
      </c>
      <c r="E887">
        <v>62.07</v>
      </c>
      <c r="F887" t="s">
        <v>15</v>
      </c>
      <c r="G887" t="s">
        <v>17</v>
      </c>
      <c r="H887">
        <v>0.1</v>
      </c>
      <c r="I887" t="s">
        <v>22</v>
      </c>
      <c r="J887">
        <v>1061.3969999999999</v>
      </c>
      <c r="K887" t="s">
        <v>27</v>
      </c>
      <c r="L887" t="s">
        <v>29</v>
      </c>
      <c r="M887">
        <v>0</v>
      </c>
      <c r="N887" t="s">
        <v>960</v>
      </c>
      <c r="O887" t="s">
        <v>2460</v>
      </c>
      <c r="P887">
        <v>14.85</v>
      </c>
      <c r="Q887">
        <f t="shared" si="13"/>
        <v>55.863</v>
      </c>
      <c r="R887">
        <v>1046.547</v>
      </c>
      <c r="S887" s="2">
        <v>45635</v>
      </c>
      <c r="T887" s="2">
        <v>45645</v>
      </c>
      <c r="U887" t="s">
        <v>36</v>
      </c>
      <c r="V887">
        <v>9</v>
      </c>
      <c r="W887">
        <v>12</v>
      </c>
      <c r="X887" t="s">
        <v>39</v>
      </c>
      <c r="Y887">
        <v>2024</v>
      </c>
      <c r="Z887">
        <v>4</v>
      </c>
      <c r="AA887">
        <v>50</v>
      </c>
    </row>
    <row r="888" spans="1:27" x14ac:dyDescent="0.3">
      <c r="A888" s="2">
        <v>45056</v>
      </c>
      <c r="B888" t="s">
        <v>3</v>
      </c>
      <c r="C888" t="s">
        <v>10</v>
      </c>
      <c r="D888">
        <v>11</v>
      </c>
      <c r="E888">
        <v>529.20000000000005</v>
      </c>
      <c r="F888" t="s">
        <v>13</v>
      </c>
      <c r="G888" t="s">
        <v>16</v>
      </c>
      <c r="H888">
        <v>0.05</v>
      </c>
      <c r="I888" t="s">
        <v>23</v>
      </c>
      <c r="J888">
        <v>5530.14</v>
      </c>
      <c r="K888" t="s">
        <v>26</v>
      </c>
      <c r="L888" t="s">
        <v>32</v>
      </c>
      <c r="M888">
        <v>1</v>
      </c>
      <c r="N888" t="s">
        <v>961</v>
      </c>
      <c r="O888" t="s">
        <v>2461</v>
      </c>
      <c r="P888">
        <v>16.78</v>
      </c>
      <c r="Q888">
        <f t="shared" si="13"/>
        <v>502.74</v>
      </c>
      <c r="R888">
        <v>5513.3600000000006</v>
      </c>
      <c r="S888" s="2">
        <v>45056</v>
      </c>
      <c r="T888" s="2">
        <v>45066</v>
      </c>
      <c r="U888" t="s">
        <v>36</v>
      </c>
      <c r="V888">
        <v>10</v>
      </c>
      <c r="W888">
        <v>5</v>
      </c>
      <c r="X888" t="s">
        <v>40</v>
      </c>
      <c r="Y888">
        <v>2023</v>
      </c>
      <c r="Z888">
        <v>2</v>
      </c>
      <c r="AA888">
        <v>19</v>
      </c>
    </row>
    <row r="889" spans="1:27" x14ac:dyDescent="0.3">
      <c r="A889" s="2">
        <v>45217</v>
      </c>
      <c r="B889" t="s">
        <v>1</v>
      </c>
      <c r="C889" t="s">
        <v>9</v>
      </c>
      <c r="D889">
        <v>7</v>
      </c>
      <c r="E889">
        <v>387.31</v>
      </c>
      <c r="F889" t="s">
        <v>13</v>
      </c>
      <c r="G889" t="s">
        <v>17</v>
      </c>
      <c r="H889">
        <v>0.1</v>
      </c>
      <c r="I889" t="s">
        <v>23</v>
      </c>
      <c r="J889">
        <v>2440.0529999999999</v>
      </c>
      <c r="K889" t="s">
        <v>28</v>
      </c>
      <c r="L889" t="s">
        <v>31</v>
      </c>
      <c r="M889">
        <v>0</v>
      </c>
      <c r="N889" t="s">
        <v>962</v>
      </c>
      <c r="O889" t="s">
        <v>2462</v>
      </c>
      <c r="P889">
        <v>14.76</v>
      </c>
      <c r="Q889">
        <f t="shared" si="13"/>
        <v>348.57900000000001</v>
      </c>
      <c r="R889">
        <v>2425.2929999999997</v>
      </c>
      <c r="S889" s="2">
        <v>45217</v>
      </c>
      <c r="T889" s="2">
        <v>45220</v>
      </c>
      <c r="U889" t="s">
        <v>34</v>
      </c>
      <c r="V889">
        <v>18</v>
      </c>
      <c r="W889">
        <v>10</v>
      </c>
      <c r="X889" t="s">
        <v>43</v>
      </c>
      <c r="Y889">
        <v>2023</v>
      </c>
      <c r="Z889">
        <v>4</v>
      </c>
      <c r="AA889">
        <v>42</v>
      </c>
    </row>
    <row r="890" spans="1:27" x14ac:dyDescent="0.3">
      <c r="A890" s="2">
        <v>45629</v>
      </c>
      <c r="B890" t="s">
        <v>1</v>
      </c>
      <c r="C890" t="s">
        <v>6</v>
      </c>
      <c r="D890">
        <v>1</v>
      </c>
      <c r="E890">
        <v>152.75</v>
      </c>
      <c r="F890" t="s">
        <v>13</v>
      </c>
      <c r="G890" t="s">
        <v>16</v>
      </c>
      <c r="H890">
        <v>0</v>
      </c>
      <c r="I890" t="s">
        <v>23</v>
      </c>
      <c r="J890">
        <v>152.75</v>
      </c>
      <c r="K890" t="s">
        <v>26</v>
      </c>
      <c r="L890" t="s">
        <v>29</v>
      </c>
      <c r="M890">
        <v>1</v>
      </c>
      <c r="N890" t="s">
        <v>963</v>
      </c>
      <c r="O890" t="s">
        <v>2463</v>
      </c>
      <c r="P890">
        <v>9.61</v>
      </c>
      <c r="Q890">
        <f t="shared" si="13"/>
        <v>152.75</v>
      </c>
      <c r="R890">
        <v>143.13999999999999</v>
      </c>
      <c r="S890" s="2">
        <v>45629</v>
      </c>
      <c r="T890" s="2">
        <v>45632</v>
      </c>
      <c r="U890" t="s">
        <v>34</v>
      </c>
      <c r="V890">
        <v>3</v>
      </c>
      <c r="W890">
        <v>12</v>
      </c>
      <c r="X890" t="s">
        <v>39</v>
      </c>
      <c r="Y890">
        <v>2024</v>
      </c>
      <c r="Z890">
        <v>4</v>
      </c>
      <c r="AA890">
        <v>49</v>
      </c>
    </row>
    <row r="891" spans="1:27" x14ac:dyDescent="0.3">
      <c r="A891" s="2">
        <v>45575</v>
      </c>
      <c r="B891" t="s">
        <v>1</v>
      </c>
      <c r="C891" t="s">
        <v>8</v>
      </c>
      <c r="D891">
        <v>8</v>
      </c>
      <c r="E891">
        <v>72.48</v>
      </c>
      <c r="F891" t="s">
        <v>13</v>
      </c>
      <c r="G891" t="s">
        <v>16</v>
      </c>
      <c r="H891">
        <v>0.1</v>
      </c>
      <c r="I891" t="s">
        <v>21</v>
      </c>
      <c r="J891">
        <v>521.85599999999999</v>
      </c>
      <c r="K891" t="s">
        <v>27</v>
      </c>
      <c r="L891" t="s">
        <v>32</v>
      </c>
      <c r="M891">
        <v>1</v>
      </c>
      <c r="N891" t="s">
        <v>964</v>
      </c>
      <c r="O891" t="s">
        <v>2464</v>
      </c>
      <c r="P891">
        <v>26.92</v>
      </c>
      <c r="Q891">
        <f t="shared" si="13"/>
        <v>65.231999999999999</v>
      </c>
      <c r="R891">
        <v>494.93599999999998</v>
      </c>
      <c r="S891" s="2">
        <v>45575</v>
      </c>
      <c r="T891" s="2">
        <v>45582</v>
      </c>
      <c r="U891" t="s">
        <v>34</v>
      </c>
      <c r="V891">
        <v>10</v>
      </c>
      <c r="W891">
        <v>10</v>
      </c>
      <c r="X891" t="s">
        <v>43</v>
      </c>
      <c r="Y891">
        <v>2024</v>
      </c>
      <c r="Z891">
        <v>4</v>
      </c>
      <c r="AA891">
        <v>41</v>
      </c>
    </row>
    <row r="892" spans="1:27" x14ac:dyDescent="0.3">
      <c r="A892" s="2">
        <v>45446</v>
      </c>
      <c r="B892" t="s">
        <v>0</v>
      </c>
      <c r="C892" t="s">
        <v>6</v>
      </c>
      <c r="D892">
        <v>4</v>
      </c>
      <c r="E892">
        <v>194.09</v>
      </c>
      <c r="F892" t="s">
        <v>15</v>
      </c>
      <c r="G892" t="s">
        <v>16</v>
      </c>
      <c r="H892">
        <v>0.1</v>
      </c>
      <c r="I892" t="s">
        <v>18</v>
      </c>
      <c r="J892">
        <v>698.72400000000005</v>
      </c>
      <c r="K892" t="s">
        <v>26</v>
      </c>
      <c r="L892" t="s">
        <v>31</v>
      </c>
      <c r="M892">
        <v>0</v>
      </c>
      <c r="N892" t="s">
        <v>965</v>
      </c>
      <c r="O892" t="s">
        <v>2465</v>
      </c>
      <c r="P892">
        <v>26.35</v>
      </c>
      <c r="Q892">
        <f t="shared" si="13"/>
        <v>174.68100000000001</v>
      </c>
      <c r="R892">
        <v>672.37400000000002</v>
      </c>
      <c r="S892" s="2">
        <v>45446</v>
      </c>
      <c r="T892" s="2">
        <v>45450</v>
      </c>
      <c r="U892" t="s">
        <v>33</v>
      </c>
      <c r="V892">
        <v>3</v>
      </c>
      <c r="W892">
        <v>6</v>
      </c>
      <c r="X892" t="s">
        <v>41</v>
      </c>
      <c r="Y892">
        <v>2024</v>
      </c>
      <c r="Z892">
        <v>2</v>
      </c>
      <c r="AA892">
        <v>23</v>
      </c>
    </row>
    <row r="893" spans="1:27" x14ac:dyDescent="0.3">
      <c r="A893" s="2">
        <v>45742</v>
      </c>
      <c r="B893" t="s">
        <v>1</v>
      </c>
      <c r="C893" t="s">
        <v>6</v>
      </c>
      <c r="D893">
        <v>3</v>
      </c>
      <c r="E893">
        <v>159.30000000000001</v>
      </c>
      <c r="F893" t="s">
        <v>12</v>
      </c>
      <c r="G893" t="s">
        <v>16</v>
      </c>
      <c r="H893">
        <v>0.05</v>
      </c>
      <c r="I893" t="s">
        <v>18</v>
      </c>
      <c r="J893">
        <v>454.005</v>
      </c>
      <c r="K893" t="s">
        <v>26</v>
      </c>
      <c r="L893" t="s">
        <v>30</v>
      </c>
      <c r="M893">
        <v>1</v>
      </c>
      <c r="N893" t="s">
        <v>966</v>
      </c>
      <c r="O893" t="s">
        <v>2466</v>
      </c>
      <c r="P893">
        <v>45.34</v>
      </c>
      <c r="Q893">
        <f t="shared" si="13"/>
        <v>151.33500000000001</v>
      </c>
      <c r="R893">
        <v>408.66499999999996</v>
      </c>
      <c r="S893" s="2">
        <v>45742</v>
      </c>
      <c r="T893" s="2">
        <v>45745</v>
      </c>
      <c r="U893" t="s">
        <v>34</v>
      </c>
      <c r="V893">
        <v>26</v>
      </c>
      <c r="W893">
        <v>3</v>
      </c>
      <c r="X893" t="s">
        <v>44</v>
      </c>
      <c r="Y893">
        <v>2025</v>
      </c>
      <c r="Z893">
        <v>1</v>
      </c>
      <c r="AA893">
        <v>13</v>
      </c>
    </row>
    <row r="894" spans="1:27" x14ac:dyDescent="0.3">
      <c r="A894" s="2">
        <v>45408</v>
      </c>
      <c r="B894" t="s">
        <v>2</v>
      </c>
      <c r="C894" t="s">
        <v>9</v>
      </c>
      <c r="D894">
        <v>4</v>
      </c>
      <c r="E894">
        <v>303.37</v>
      </c>
      <c r="F894" t="s">
        <v>13</v>
      </c>
      <c r="G894" t="s">
        <v>17</v>
      </c>
      <c r="H894">
        <v>0.1</v>
      </c>
      <c r="I894" t="s">
        <v>21</v>
      </c>
      <c r="J894">
        <v>1092.1320000000001</v>
      </c>
      <c r="K894" t="s">
        <v>25</v>
      </c>
      <c r="L894" t="s">
        <v>31</v>
      </c>
      <c r="M894">
        <v>0</v>
      </c>
      <c r="N894" t="s">
        <v>967</v>
      </c>
      <c r="O894" t="s">
        <v>2467</v>
      </c>
      <c r="P894">
        <v>30.19</v>
      </c>
      <c r="Q894">
        <f t="shared" si="13"/>
        <v>273.03300000000002</v>
      </c>
      <c r="R894">
        <v>1061.942</v>
      </c>
      <c r="S894" s="2">
        <v>45408</v>
      </c>
      <c r="T894" s="2">
        <v>45413</v>
      </c>
      <c r="U894" t="s">
        <v>35</v>
      </c>
      <c r="V894">
        <v>26</v>
      </c>
      <c r="W894">
        <v>4</v>
      </c>
      <c r="X894" t="s">
        <v>45</v>
      </c>
      <c r="Y894">
        <v>2024</v>
      </c>
      <c r="Z894">
        <v>2</v>
      </c>
      <c r="AA894">
        <v>17</v>
      </c>
    </row>
    <row r="895" spans="1:27" x14ac:dyDescent="0.3">
      <c r="A895" s="2">
        <v>45051</v>
      </c>
      <c r="B895" t="s">
        <v>4</v>
      </c>
      <c r="C895" t="s">
        <v>8</v>
      </c>
      <c r="D895">
        <v>16</v>
      </c>
      <c r="E895">
        <v>541.96</v>
      </c>
      <c r="F895" t="s">
        <v>14</v>
      </c>
      <c r="G895" t="s">
        <v>17</v>
      </c>
      <c r="H895">
        <v>0.1</v>
      </c>
      <c r="I895" t="s">
        <v>18</v>
      </c>
      <c r="J895">
        <v>7804.2240000000011</v>
      </c>
      <c r="K895" t="s">
        <v>28</v>
      </c>
      <c r="L895" t="s">
        <v>30</v>
      </c>
      <c r="M895">
        <v>1</v>
      </c>
      <c r="N895" t="s">
        <v>968</v>
      </c>
      <c r="O895" t="s">
        <v>2468</v>
      </c>
      <c r="P895">
        <v>9.93</v>
      </c>
      <c r="Q895">
        <f t="shared" si="13"/>
        <v>487.76400000000007</v>
      </c>
      <c r="R895">
        <v>7794.2940000000008</v>
      </c>
      <c r="S895" s="2">
        <v>45051</v>
      </c>
      <c r="T895" s="2">
        <v>45059</v>
      </c>
      <c r="U895" t="s">
        <v>37</v>
      </c>
      <c r="V895">
        <v>5</v>
      </c>
      <c r="W895">
        <v>5</v>
      </c>
      <c r="X895" t="s">
        <v>40</v>
      </c>
      <c r="Y895">
        <v>2023</v>
      </c>
      <c r="Z895">
        <v>2</v>
      </c>
      <c r="AA895">
        <v>18</v>
      </c>
    </row>
    <row r="896" spans="1:27" x14ac:dyDescent="0.3">
      <c r="A896" s="2">
        <v>45192</v>
      </c>
      <c r="B896" t="s">
        <v>4</v>
      </c>
      <c r="C896" t="s">
        <v>7</v>
      </c>
      <c r="D896">
        <v>7</v>
      </c>
      <c r="E896">
        <v>41.57</v>
      </c>
      <c r="F896" t="s">
        <v>15</v>
      </c>
      <c r="G896" t="s">
        <v>17</v>
      </c>
      <c r="H896">
        <v>0</v>
      </c>
      <c r="I896" t="s">
        <v>21</v>
      </c>
      <c r="J896">
        <v>290.99</v>
      </c>
      <c r="K896" t="s">
        <v>24</v>
      </c>
      <c r="L896" t="s">
        <v>32</v>
      </c>
      <c r="M896">
        <v>0</v>
      </c>
      <c r="N896" t="s">
        <v>969</v>
      </c>
      <c r="O896" t="s">
        <v>2469</v>
      </c>
      <c r="P896">
        <v>16.59</v>
      </c>
      <c r="Q896">
        <f t="shared" si="13"/>
        <v>41.57</v>
      </c>
      <c r="R896">
        <v>274.40000000000003</v>
      </c>
      <c r="S896" s="2">
        <v>45192</v>
      </c>
      <c r="T896" s="2">
        <v>45198</v>
      </c>
      <c r="U896" t="s">
        <v>37</v>
      </c>
      <c r="V896">
        <v>23</v>
      </c>
      <c r="W896">
        <v>9</v>
      </c>
      <c r="X896" t="s">
        <v>49</v>
      </c>
      <c r="Y896">
        <v>2023</v>
      </c>
      <c r="Z896">
        <v>3</v>
      </c>
      <c r="AA896">
        <v>38</v>
      </c>
    </row>
    <row r="897" spans="1:27" x14ac:dyDescent="0.3">
      <c r="A897" s="2">
        <v>45724</v>
      </c>
      <c r="B897" t="s">
        <v>1</v>
      </c>
      <c r="C897" t="s">
        <v>9</v>
      </c>
      <c r="D897">
        <v>16</v>
      </c>
      <c r="E897">
        <v>217.74</v>
      </c>
      <c r="F897" t="s">
        <v>13</v>
      </c>
      <c r="G897" t="s">
        <v>16</v>
      </c>
      <c r="H897">
        <v>0.15</v>
      </c>
      <c r="I897" t="s">
        <v>20</v>
      </c>
      <c r="J897">
        <v>2961.2640000000001</v>
      </c>
      <c r="K897" t="s">
        <v>28</v>
      </c>
      <c r="L897" t="s">
        <v>29</v>
      </c>
      <c r="M897">
        <v>1</v>
      </c>
      <c r="N897" t="s">
        <v>970</v>
      </c>
      <c r="O897" t="s">
        <v>2470</v>
      </c>
      <c r="P897">
        <v>25.11</v>
      </c>
      <c r="Q897">
        <f t="shared" si="13"/>
        <v>185.07900000000001</v>
      </c>
      <c r="R897">
        <v>2936.154</v>
      </c>
      <c r="S897" s="2">
        <v>45724</v>
      </c>
      <c r="T897" s="2">
        <v>45731</v>
      </c>
      <c r="U897" t="s">
        <v>34</v>
      </c>
      <c r="V897">
        <v>8</v>
      </c>
      <c r="W897">
        <v>3</v>
      </c>
      <c r="X897" t="s">
        <v>44</v>
      </c>
      <c r="Y897">
        <v>2025</v>
      </c>
      <c r="Z897">
        <v>1</v>
      </c>
      <c r="AA897">
        <v>10</v>
      </c>
    </row>
    <row r="898" spans="1:27" x14ac:dyDescent="0.3">
      <c r="A898" s="2">
        <v>44943</v>
      </c>
      <c r="B898" t="s">
        <v>2</v>
      </c>
      <c r="C898" t="s">
        <v>11</v>
      </c>
      <c r="D898">
        <v>15</v>
      </c>
      <c r="E898">
        <v>19.170000000000002</v>
      </c>
      <c r="F898" t="s">
        <v>13</v>
      </c>
      <c r="G898" t="s">
        <v>16</v>
      </c>
      <c r="H898">
        <v>0</v>
      </c>
      <c r="I898" t="s">
        <v>21</v>
      </c>
      <c r="J898">
        <v>287.55</v>
      </c>
      <c r="K898" t="s">
        <v>25</v>
      </c>
      <c r="L898" t="s">
        <v>29</v>
      </c>
      <c r="M898">
        <v>1</v>
      </c>
      <c r="N898" t="s">
        <v>971</v>
      </c>
      <c r="O898" t="s">
        <v>2471</v>
      </c>
      <c r="P898">
        <v>48.93</v>
      </c>
      <c r="Q898">
        <f t="shared" si="13"/>
        <v>19.170000000000002</v>
      </c>
      <c r="R898">
        <v>238.62</v>
      </c>
      <c r="S898" s="2">
        <v>44943</v>
      </c>
      <c r="T898" s="2">
        <v>44953</v>
      </c>
      <c r="U898" t="s">
        <v>35</v>
      </c>
      <c r="V898">
        <v>17</v>
      </c>
      <c r="W898">
        <v>1</v>
      </c>
      <c r="X898" t="s">
        <v>42</v>
      </c>
      <c r="Y898">
        <v>2023</v>
      </c>
      <c r="Z898">
        <v>1</v>
      </c>
      <c r="AA898">
        <v>3</v>
      </c>
    </row>
    <row r="899" spans="1:27" x14ac:dyDescent="0.3">
      <c r="A899" s="2">
        <v>45045</v>
      </c>
      <c r="B899" t="s">
        <v>3</v>
      </c>
      <c r="C899" t="s">
        <v>9</v>
      </c>
      <c r="D899">
        <v>15</v>
      </c>
      <c r="E899">
        <v>293.33999999999997</v>
      </c>
      <c r="F899" t="s">
        <v>15</v>
      </c>
      <c r="G899" t="s">
        <v>17</v>
      </c>
      <c r="H899">
        <v>0.1</v>
      </c>
      <c r="I899" t="s">
        <v>18</v>
      </c>
      <c r="J899">
        <v>3960.09</v>
      </c>
      <c r="K899" t="s">
        <v>26</v>
      </c>
      <c r="L899" t="s">
        <v>31</v>
      </c>
      <c r="M899">
        <v>0</v>
      </c>
      <c r="N899" t="s">
        <v>972</v>
      </c>
      <c r="O899" t="s">
        <v>2472</v>
      </c>
      <c r="P899">
        <v>21.03</v>
      </c>
      <c r="Q899">
        <f t="shared" ref="Q899:Q962" si="14">J899/D899</f>
        <v>264.00600000000003</v>
      </c>
      <c r="R899">
        <v>3939.06</v>
      </c>
      <c r="S899" s="2">
        <v>45045</v>
      </c>
      <c r="T899" s="2">
        <v>45047</v>
      </c>
      <c r="U899" t="s">
        <v>36</v>
      </c>
      <c r="V899">
        <v>29</v>
      </c>
      <c r="W899">
        <v>4</v>
      </c>
      <c r="X899" t="s">
        <v>45</v>
      </c>
      <c r="Y899">
        <v>2023</v>
      </c>
      <c r="Z899">
        <v>2</v>
      </c>
      <c r="AA899">
        <v>17</v>
      </c>
    </row>
    <row r="900" spans="1:27" x14ac:dyDescent="0.3">
      <c r="A900" s="2">
        <v>45704</v>
      </c>
      <c r="B900" t="s">
        <v>1</v>
      </c>
      <c r="C900" t="s">
        <v>11</v>
      </c>
      <c r="D900">
        <v>18</v>
      </c>
      <c r="E900">
        <v>204.58</v>
      </c>
      <c r="F900" t="s">
        <v>14</v>
      </c>
      <c r="G900" t="s">
        <v>17</v>
      </c>
      <c r="H900">
        <v>0.1</v>
      </c>
      <c r="I900" t="s">
        <v>22</v>
      </c>
      <c r="J900">
        <v>3314.1959999999999</v>
      </c>
      <c r="K900" t="s">
        <v>28</v>
      </c>
      <c r="L900" t="s">
        <v>32</v>
      </c>
      <c r="M900">
        <v>0</v>
      </c>
      <c r="N900" t="s">
        <v>973</v>
      </c>
      <c r="O900" t="s">
        <v>2473</v>
      </c>
      <c r="P900">
        <v>16.04</v>
      </c>
      <c r="Q900">
        <f t="shared" si="14"/>
        <v>184.12199999999999</v>
      </c>
      <c r="R900">
        <v>3298.1559999999999</v>
      </c>
      <c r="S900" s="2">
        <v>45704</v>
      </c>
      <c r="T900" s="2">
        <v>45710</v>
      </c>
      <c r="U900" t="s">
        <v>34</v>
      </c>
      <c r="V900">
        <v>16</v>
      </c>
      <c r="W900">
        <v>2</v>
      </c>
      <c r="X900" t="s">
        <v>38</v>
      </c>
      <c r="Y900">
        <v>2025</v>
      </c>
      <c r="Z900">
        <v>1</v>
      </c>
      <c r="AA900">
        <v>7</v>
      </c>
    </row>
    <row r="901" spans="1:27" x14ac:dyDescent="0.3">
      <c r="A901" s="2">
        <v>45082</v>
      </c>
      <c r="B901" t="s">
        <v>0</v>
      </c>
      <c r="C901" t="s">
        <v>11</v>
      </c>
      <c r="D901">
        <v>15</v>
      </c>
      <c r="E901">
        <v>324.58</v>
      </c>
      <c r="F901" t="s">
        <v>13</v>
      </c>
      <c r="G901" t="s">
        <v>17</v>
      </c>
      <c r="H901">
        <v>0.15</v>
      </c>
      <c r="I901" t="s">
        <v>22</v>
      </c>
      <c r="J901">
        <v>4138.3950000000004</v>
      </c>
      <c r="K901" t="s">
        <v>27</v>
      </c>
      <c r="L901" t="s">
        <v>32</v>
      </c>
      <c r="M901">
        <v>0</v>
      </c>
      <c r="N901" t="s">
        <v>974</v>
      </c>
      <c r="O901" t="s">
        <v>2474</v>
      </c>
      <c r="P901">
        <v>24.57</v>
      </c>
      <c r="Q901">
        <f t="shared" si="14"/>
        <v>275.89300000000003</v>
      </c>
      <c r="R901">
        <v>4113.8250000000007</v>
      </c>
      <c r="S901" s="2">
        <v>45082</v>
      </c>
      <c r="T901" s="2">
        <v>45086</v>
      </c>
      <c r="U901" t="s">
        <v>33</v>
      </c>
      <c r="V901">
        <v>5</v>
      </c>
      <c r="W901">
        <v>6</v>
      </c>
      <c r="X901" t="s">
        <v>41</v>
      </c>
      <c r="Y901">
        <v>2023</v>
      </c>
      <c r="Z901">
        <v>2</v>
      </c>
      <c r="AA901">
        <v>23</v>
      </c>
    </row>
    <row r="902" spans="1:27" x14ac:dyDescent="0.3">
      <c r="A902" s="2">
        <v>45166</v>
      </c>
      <c r="B902" t="s">
        <v>1</v>
      </c>
      <c r="C902" t="s">
        <v>6</v>
      </c>
      <c r="D902">
        <v>11</v>
      </c>
      <c r="E902">
        <v>393.61</v>
      </c>
      <c r="F902" t="s">
        <v>15</v>
      </c>
      <c r="G902" t="s">
        <v>16</v>
      </c>
      <c r="H902">
        <v>0.05</v>
      </c>
      <c r="I902" t="s">
        <v>20</v>
      </c>
      <c r="J902">
        <v>4113.2245000000003</v>
      </c>
      <c r="K902" t="s">
        <v>27</v>
      </c>
      <c r="L902" t="s">
        <v>31</v>
      </c>
      <c r="M902">
        <v>0</v>
      </c>
      <c r="N902" t="s">
        <v>975</v>
      </c>
      <c r="O902" t="s">
        <v>2475</v>
      </c>
      <c r="P902">
        <v>32.57</v>
      </c>
      <c r="Q902">
        <f t="shared" si="14"/>
        <v>373.92950000000002</v>
      </c>
      <c r="R902">
        <v>4080.6545000000001</v>
      </c>
      <c r="S902" s="2">
        <v>45166</v>
      </c>
      <c r="T902" s="2">
        <v>45175</v>
      </c>
      <c r="U902" t="s">
        <v>34</v>
      </c>
      <c r="V902">
        <v>28</v>
      </c>
      <c r="W902">
        <v>8</v>
      </c>
      <c r="X902" t="s">
        <v>48</v>
      </c>
      <c r="Y902">
        <v>2023</v>
      </c>
      <c r="Z902">
        <v>3</v>
      </c>
      <c r="AA902">
        <v>35</v>
      </c>
    </row>
    <row r="903" spans="1:27" x14ac:dyDescent="0.3">
      <c r="A903" s="2">
        <v>45139</v>
      </c>
      <c r="B903" t="s">
        <v>2</v>
      </c>
      <c r="C903" t="s">
        <v>11</v>
      </c>
      <c r="D903">
        <v>8</v>
      </c>
      <c r="E903">
        <v>141.28</v>
      </c>
      <c r="F903" t="s">
        <v>15</v>
      </c>
      <c r="G903" t="s">
        <v>16</v>
      </c>
      <c r="H903">
        <v>0.05</v>
      </c>
      <c r="I903" t="s">
        <v>20</v>
      </c>
      <c r="J903">
        <v>1073.7280000000001</v>
      </c>
      <c r="K903" t="s">
        <v>24</v>
      </c>
      <c r="L903" t="s">
        <v>29</v>
      </c>
      <c r="M903">
        <v>0</v>
      </c>
      <c r="N903" t="s">
        <v>976</v>
      </c>
      <c r="O903" t="s">
        <v>2476</v>
      </c>
      <c r="P903">
        <v>28.69</v>
      </c>
      <c r="Q903">
        <f t="shared" si="14"/>
        <v>134.21600000000001</v>
      </c>
      <c r="R903">
        <v>1045.038</v>
      </c>
      <c r="S903" s="2">
        <v>45139</v>
      </c>
      <c r="T903" s="2">
        <v>45148</v>
      </c>
      <c r="U903" t="s">
        <v>35</v>
      </c>
      <c r="V903">
        <v>1</v>
      </c>
      <c r="W903">
        <v>8</v>
      </c>
      <c r="X903" t="s">
        <v>48</v>
      </c>
      <c r="Y903">
        <v>2023</v>
      </c>
      <c r="Z903">
        <v>3</v>
      </c>
      <c r="AA903">
        <v>31</v>
      </c>
    </row>
    <row r="904" spans="1:27" x14ac:dyDescent="0.3">
      <c r="A904" s="2">
        <v>45700</v>
      </c>
      <c r="B904" t="s">
        <v>4</v>
      </c>
      <c r="C904" t="s">
        <v>6</v>
      </c>
      <c r="D904">
        <v>13</v>
      </c>
      <c r="E904">
        <v>227.64</v>
      </c>
      <c r="F904" t="s">
        <v>14</v>
      </c>
      <c r="G904" t="s">
        <v>17</v>
      </c>
      <c r="H904">
        <v>0.15</v>
      </c>
      <c r="I904" t="s">
        <v>20</v>
      </c>
      <c r="J904">
        <v>2515.422</v>
      </c>
      <c r="K904" t="s">
        <v>28</v>
      </c>
      <c r="L904" t="s">
        <v>29</v>
      </c>
      <c r="M904">
        <v>1</v>
      </c>
      <c r="N904" t="s">
        <v>977</v>
      </c>
      <c r="O904" t="s">
        <v>2477</v>
      </c>
      <c r="P904">
        <v>46.67</v>
      </c>
      <c r="Q904">
        <f t="shared" si="14"/>
        <v>193.494</v>
      </c>
      <c r="R904">
        <v>2468.752</v>
      </c>
      <c r="S904" s="2">
        <v>45700</v>
      </c>
      <c r="T904" s="2">
        <v>45708</v>
      </c>
      <c r="U904" t="s">
        <v>37</v>
      </c>
      <c r="V904">
        <v>12</v>
      </c>
      <c r="W904">
        <v>2</v>
      </c>
      <c r="X904" t="s">
        <v>38</v>
      </c>
      <c r="Y904">
        <v>2025</v>
      </c>
      <c r="Z904">
        <v>1</v>
      </c>
      <c r="AA904">
        <v>7</v>
      </c>
    </row>
    <row r="905" spans="1:27" x14ac:dyDescent="0.3">
      <c r="A905" s="2">
        <v>45110</v>
      </c>
      <c r="B905" t="s">
        <v>3</v>
      </c>
      <c r="C905" t="s">
        <v>5</v>
      </c>
      <c r="D905">
        <v>19</v>
      </c>
      <c r="E905">
        <v>341.07</v>
      </c>
      <c r="F905" t="s">
        <v>14</v>
      </c>
      <c r="G905" t="s">
        <v>17</v>
      </c>
      <c r="H905">
        <v>0.1</v>
      </c>
      <c r="I905" t="s">
        <v>21</v>
      </c>
      <c r="J905">
        <v>5832.2969999999996</v>
      </c>
      <c r="K905" t="s">
        <v>28</v>
      </c>
      <c r="L905" t="s">
        <v>31</v>
      </c>
      <c r="M905">
        <v>0</v>
      </c>
      <c r="N905" t="s">
        <v>978</v>
      </c>
      <c r="O905" t="s">
        <v>2478</v>
      </c>
      <c r="P905">
        <v>47.75</v>
      </c>
      <c r="Q905">
        <f t="shared" si="14"/>
        <v>306.96299999999997</v>
      </c>
      <c r="R905">
        <v>5784.5469999999996</v>
      </c>
      <c r="S905" s="2">
        <v>45110</v>
      </c>
      <c r="T905" s="2">
        <v>45113</v>
      </c>
      <c r="U905" t="s">
        <v>36</v>
      </c>
      <c r="V905">
        <v>3</v>
      </c>
      <c r="W905">
        <v>7</v>
      </c>
      <c r="X905" t="s">
        <v>46</v>
      </c>
      <c r="Y905">
        <v>2023</v>
      </c>
      <c r="Z905">
        <v>3</v>
      </c>
      <c r="AA905">
        <v>27</v>
      </c>
    </row>
    <row r="906" spans="1:27" x14ac:dyDescent="0.3">
      <c r="A906" s="2">
        <v>45786</v>
      </c>
      <c r="B906" t="s">
        <v>3</v>
      </c>
      <c r="C906" t="s">
        <v>6</v>
      </c>
      <c r="D906">
        <v>20</v>
      </c>
      <c r="E906">
        <v>324.55</v>
      </c>
      <c r="F906" t="s">
        <v>12</v>
      </c>
      <c r="G906" t="s">
        <v>16</v>
      </c>
      <c r="H906">
        <v>0.05</v>
      </c>
      <c r="I906" t="s">
        <v>18</v>
      </c>
      <c r="J906">
        <v>6166.45</v>
      </c>
      <c r="K906" t="s">
        <v>26</v>
      </c>
      <c r="L906" t="s">
        <v>31</v>
      </c>
      <c r="M906">
        <v>1</v>
      </c>
      <c r="N906" t="s">
        <v>979</v>
      </c>
      <c r="O906" t="s">
        <v>2479</v>
      </c>
      <c r="P906">
        <v>21.21</v>
      </c>
      <c r="Q906">
        <f t="shared" si="14"/>
        <v>308.32249999999999</v>
      </c>
      <c r="R906">
        <v>6145.24</v>
      </c>
      <c r="S906" s="2">
        <v>45786</v>
      </c>
      <c r="T906" s="2">
        <v>45790</v>
      </c>
      <c r="U906" t="s">
        <v>36</v>
      </c>
      <c r="V906">
        <v>9</v>
      </c>
      <c r="W906">
        <v>5</v>
      </c>
      <c r="X906" t="s">
        <v>40</v>
      </c>
      <c r="Y906">
        <v>2025</v>
      </c>
      <c r="Z906">
        <v>2</v>
      </c>
      <c r="AA906">
        <v>19</v>
      </c>
    </row>
    <row r="907" spans="1:27" x14ac:dyDescent="0.3">
      <c r="A907" s="2">
        <v>45417</v>
      </c>
      <c r="B907" t="s">
        <v>4</v>
      </c>
      <c r="C907" t="s">
        <v>7</v>
      </c>
      <c r="D907">
        <v>16</v>
      </c>
      <c r="E907">
        <v>301.07</v>
      </c>
      <c r="F907" t="s">
        <v>12</v>
      </c>
      <c r="G907" t="s">
        <v>17</v>
      </c>
      <c r="H907">
        <v>0.1</v>
      </c>
      <c r="I907" t="s">
        <v>21</v>
      </c>
      <c r="J907">
        <v>4335.4080000000004</v>
      </c>
      <c r="K907" t="s">
        <v>25</v>
      </c>
      <c r="L907" t="s">
        <v>31</v>
      </c>
      <c r="M907">
        <v>0</v>
      </c>
      <c r="N907" t="s">
        <v>980</v>
      </c>
      <c r="O907" t="s">
        <v>2480</v>
      </c>
      <c r="P907">
        <v>5.58</v>
      </c>
      <c r="Q907">
        <f t="shared" si="14"/>
        <v>270.96300000000002</v>
      </c>
      <c r="R907">
        <v>4329.8280000000004</v>
      </c>
      <c r="S907" s="2">
        <v>45417</v>
      </c>
      <c r="T907" s="2">
        <v>45426</v>
      </c>
      <c r="U907" t="s">
        <v>37</v>
      </c>
      <c r="V907">
        <v>5</v>
      </c>
      <c r="W907">
        <v>5</v>
      </c>
      <c r="X907" t="s">
        <v>40</v>
      </c>
      <c r="Y907">
        <v>2024</v>
      </c>
      <c r="Z907">
        <v>2</v>
      </c>
      <c r="AA907">
        <v>18</v>
      </c>
    </row>
    <row r="908" spans="1:27" x14ac:dyDescent="0.3">
      <c r="A908" s="2">
        <v>45299</v>
      </c>
      <c r="B908" t="s">
        <v>1</v>
      </c>
      <c r="C908" t="s">
        <v>9</v>
      </c>
      <c r="D908">
        <v>13</v>
      </c>
      <c r="E908">
        <v>285.27999999999997</v>
      </c>
      <c r="F908" t="s">
        <v>15</v>
      </c>
      <c r="G908" t="s">
        <v>17</v>
      </c>
      <c r="H908">
        <v>0</v>
      </c>
      <c r="I908" t="s">
        <v>18</v>
      </c>
      <c r="J908">
        <v>3708.639999999999</v>
      </c>
      <c r="K908" t="s">
        <v>25</v>
      </c>
      <c r="L908" t="s">
        <v>30</v>
      </c>
      <c r="M908">
        <v>0</v>
      </c>
      <c r="N908" t="s">
        <v>981</v>
      </c>
      <c r="O908" t="s">
        <v>2481</v>
      </c>
      <c r="P908">
        <v>31.2</v>
      </c>
      <c r="Q908">
        <f t="shared" si="14"/>
        <v>285.27999999999992</v>
      </c>
      <c r="R908">
        <v>3677.4399999999991</v>
      </c>
      <c r="S908" s="2">
        <v>45299</v>
      </c>
      <c r="T908" s="2">
        <v>45306</v>
      </c>
      <c r="U908" t="s">
        <v>34</v>
      </c>
      <c r="V908">
        <v>8</v>
      </c>
      <c r="W908">
        <v>1</v>
      </c>
      <c r="X908" t="s">
        <v>42</v>
      </c>
      <c r="Y908">
        <v>2024</v>
      </c>
      <c r="Z908">
        <v>1</v>
      </c>
      <c r="AA908">
        <v>2</v>
      </c>
    </row>
    <row r="909" spans="1:27" x14ac:dyDescent="0.3">
      <c r="A909" s="2">
        <v>45670</v>
      </c>
      <c r="B909" t="s">
        <v>1</v>
      </c>
      <c r="C909" t="s">
        <v>6</v>
      </c>
      <c r="D909">
        <v>15</v>
      </c>
      <c r="E909">
        <v>18.04</v>
      </c>
      <c r="F909" t="s">
        <v>14</v>
      </c>
      <c r="G909" t="s">
        <v>16</v>
      </c>
      <c r="H909">
        <v>0</v>
      </c>
      <c r="I909" t="s">
        <v>18</v>
      </c>
      <c r="J909">
        <v>270.60000000000002</v>
      </c>
      <c r="K909" t="s">
        <v>26</v>
      </c>
      <c r="L909" t="s">
        <v>30</v>
      </c>
      <c r="M909">
        <v>1</v>
      </c>
      <c r="N909" t="s">
        <v>982</v>
      </c>
      <c r="O909" t="s">
        <v>2482</v>
      </c>
      <c r="P909">
        <v>14.35</v>
      </c>
      <c r="Q909">
        <f t="shared" si="14"/>
        <v>18.040000000000003</v>
      </c>
      <c r="R909">
        <v>256.25</v>
      </c>
      <c r="S909" s="2">
        <v>45670</v>
      </c>
      <c r="T909" s="2">
        <v>45674</v>
      </c>
      <c r="U909" t="s">
        <v>34</v>
      </c>
      <c r="V909">
        <v>13</v>
      </c>
      <c r="W909">
        <v>1</v>
      </c>
      <c r="X909" t="s">
        <v>42</v>
      </c>
      <c r="Y909">
        <v>2025</v>
      </c>
      <c r="Z909">
        <v>1</v>
      </c>
      <c r="AA909">
        <v>3</v>
      </c>
    </row>
    <row r="910" spans="1:27" x14ac:dyDescent="0.3">
      <c r="A910" s="2">
        <v>45820</v>
      </c>
      <c r="B910" t="s">
        <v>0</v>
      </c>
      <c r="C910" t="s">
        <v>11</v>
      </c>
      <c r="D910">
        <v>11</v>
      </c>
      <c r="E910">
        <v>495.44</v>
      </c>
      <c r="F910" t="s">
        <v>13</v>
      </c>
      <c r="G910" t="s">
        <v>16</v>
      </c>
      <c r="H910">
        <v>0</v>
      </c>
      <c r="I910" t="s">
        <v>23</v>
      </c>
      <c r="J910">
        <v>5449.84</v>
      </c>
      <c r="K910" t="s">
        <v>25</v>
      </c>
      <c r="L910" t="s">
        <v>29</v>
      </c>
      <c r="M910">
        <v>0</v>
      </c>
      <c r="N910" t="s">
        <v>983</v>
      </c>
      <c r="O910" t="s">
        <v>2483</v>
      </c>
      <c r="P910">
        <v>44.77</v>
      </c>
      <c r="Q910">
        <f t="shared" si="14"/>
        <v>495.44</v>
      </c>
      <c r="R910">
        <v>5405.07</v>
      </c>
      <c r="S910" s="2">
        <v>45820</v>
      </c>
      <c r="T910" s="2">
        <v>45826</v>
      </c>
      <c r="U910" t="s">
        <v>33</v>
      </c>
      <c r="V910">
        <v>12</v>
      </c>
      <c r="W910">
        <v>6</v>
      </c>
      <c r="X910" t="s">
        <v>41</v>
      </c>
      <c r="Y910">
        <v>2025</v>
      </c>
      <c r="Z910">
        <v>2</v>
      </c>
      <c r="AA910">
        <v>24</v>
      </c>
    </row>
    <row r="911" spans="1:27" x14ac:dyDescent="0.3">
      <c r="A911" s="2">
        <v>45750</v>
      </c>
      <c r="B911" t="s">
        <v>2</v>
      </c>
      <c r="C911" t="s">
        <v>5</v>
      </c>
      <c r="D911">
        <v>12</v>
      </c>
      <c r="E911">
        <v>276.42</v>
      </c>
      <c r="F911" t="s">
        <v>14</v>
      </c>
      <c r="G911" t="s">
        <v>17</v>
      </c>
      <c r="H911">
        <v>0.15</v>
      </c>
      <c r="I911" t="s">
        <v>21</v>
      </c>
      <c r="J911">
        <v>2819.4839999999999</v>
      </c>
      <c r="K911" t="s">
        <v>24</v>
      </c>
      <c r="L911" t="s">
        <v>32</v>
      </c>
      <c r="M911">
        <v>0</v>
      </c>
      <c r="N911" t="s">
        <v>984</v>
      </c>
      <c r="O911" t="s">
        <v>2484</v>
      </c>
      <c r="P911">
        <v>30.57</v>
      </c>
      <c r="Q911">
        <f t="shared" si="14"/>
        <v>234.95699999999999</v>
      </c>
      <c r="R911">
        <v>2788.9139999999998</v>
      </c>
      <c r="S911" s="2">
        <v>45750</v>
      </c>
      <c r="T911" s="2">
        <v>45759</v>
      </c>
      <c r="U911" t="s">
        <v>35</v>
      </c>
      <c r="V911">
        <v>3</v>
      </c>
      <c r="W911">
        <v>4</v>
      </c>
      <c r="X911" t="s">
        <v>45</v>
      </c>
      <c r="Y911">
        <v>2025</v>
      </c>
      <c r="Z911">
        <v>2</v>
      </c>
      <c r="AA911">
        <v>14</v>
      </c>
    </row>
    <row r="912" spans="1:27" x14ac:dyDescent="0.3">
      <c r="A912" s="2">
        <v>44952</v>
      </c>
      <c r="B912" t="s">
        <v>3</v>
      </c>
      <c r="C912" t="s">
        <v>7</v>
      </c>
      <c r="D912">
        <v>7</v>
      </c>
      <c r="E912">
        <v>228.32</v>
      </c>
      <c r="F912" t="s">
        <v>14</v>
      </c>
      <c r="G912" t="s">
        <v>16</v>
      </c>
      <c r="H912">
        <v>0.15</v>
      </c>
      <c r="I912" t="s">
        <v>18</v>
      </c>
      <c r="J912">
        <v>1358.5039999999999</v>
      </c>
      <c r="K912" t="s">
        <v>27</v>
      </c>
      <c r="L912" t="s">
        <v>29</v>
      </c>
      <c r="M912">
        <v>0</v>
      </c>
      <c r="N912" t="s">
        <v>985</v>
      </c>
      <c r="O912" t="s">
        <v>2485</v>
      </c>
      <c r="P912">
        <v>22.16</v>
      </c>
      <c r="Q912">
        <f t="shared" si="14"/>
        <v>194.07199999999997</v>
      </c>
      <c r="R912">
        <v>1336.3439999999998</v>
      </c>
      <c r="S912" s="2">
        <v>44952</v>
      </c>
      <c r="T912" s="2">
        <v>44956</v>
      </c>
      <c r="U912" t="s">
        <v>36</v>
      </c>
      <c r="V912">
        <v>26</v>
      </c>
      <c r="W912">
        <v>1</v>
      </c>
      <c r="X912" t="s">
        <v>42</v>
      </c>
      <c r="Y912">
        <v>2023</v>
      </c>
      <c r="Z912">
        <v>1</v>
      </c>
      <c r="AA912">
        <v>4</v>
      </c>
    </row>
    <row r="913" spans="1:27" x14ac:dyDescent="0.3">
      <c r="A913" s="2">
        <v>44933</v>
      </c>
      <c r="B913" t="s">
        <v>3</v>
      </c>
      <c r="C913" t="s">
        <v>9</v>
      </c>
      <c r="D913">
        <v>1</v>
      </c>
      <c r="E913">
        <v>498.19</v>
      </c>
      <c r="F913" t="s">
        <v>13</v>
      </c>
      <c r="G913" t="s">
        <v>16</v>
      </c>
      <c r="H913">
        <v>0.1</v>
      </c>
      <c r="I913" t="s">
        <v>23</v>
      </c>
      <c r="J913">
        <v>448.37099999999998</v>
      </c>
      <c r="K913" t="s">
        <v>25</v>
      </c>
      <c r="L913" t="s">
        <v>30</v>
      </c>
      <c r="M913">
        <v>0</v>
      </c>
      <c r="N913" t="s">
        <v>986</v>
      </c>
      <c r="O913" t="s">
        <v>2486</v>
      </c>
      <c r="P913">
        <v>25.55</v>
      </c>
      <c r="Q913">
        <f t="shared" si="14"/>
        <v>448.37099999999998</v>
      </c>
      <c r="R913">
        <v>422.82099999999997</v>
      </c>
      <c r="S913" s="2">
        <v>44933</v>
      </c>
      <c r="T913" s="2">
        <v>44937</v>
      </c>
      <c r="U913" t="s">
        <v>36</v>
      </c>
      <c r="V913">
        <v>7</v>
      </c>
      <c r="W913">
        <v>1</v>
      </c>
      <c r="X913" t="s">
        <v>42</v>
      </c>
      <c r="Y913">
        <v>2023</v>
      </c>
      <c r="Z913">
        <v>1</v>
      </c>
      <c r="AA913">
        <v>1</v>
      </c>
    </row>
    <row r="914" spans="1:27" x14ac:dyDescent="0.3">
      <c r="A914" s="2">
        <v>45672</v>
      </c>
      <c r="B914" t="s">
        <v>2</v>
      </c>
      <c r="C914" t="s">
        <v>7</v>
      </c>
      <c r="D914">
        <v>18</v>
      </c>
      <c r="E914">
        <v>375.83</v>
      </c>
      <c r="F914" t="s">
        <v>14</v>
      </c>
      <c r="G914" t="s">
        <v>17</v>
      </c>
      <c r="H914">
        <v>0.1</v>
      </c>
      <c r="I914" t="s">
        <v>21</v>
      </c>
      <c r="J914">
        <v>6088.4459999999999</v>
      </c>
      <c r="K914" t="s">
        <v>25</v>
      </c>
      <c r="L914" t="s">
        <v>32</v>
      </c>
      <c r="M914">
        <v>0</v>
      </c>
      <c r="N914" t="s">
        <v>987</v>
      </c>
      <c r="O914" t="s">
        <v>2487</v>
      </c>
      <c r="P914">
        <v>15.13</v>
      </c>
      <c r="Q914">
        <f t="shared" si="14"/>
        <v>338.24700000000001</v>
      </c>
      <c r="R914">
        <v>6073.3159999999998</v>
      </c>
      <c r="S914" s="2">
        <v>45672</v>
      </c>
      <c r="T914" s="2">
        <v>45680</v>
      </c>
      <c r="U914" t="s">
        <v>35</v>
      </c>
      <c r="V914">
        <v>15</v>
      </c>
      <c r="W914">
        <v>1</v>
      </c>
      <c r="X914" t="s">
        <v>42</v>
      </c>
      <c r="Y914">
        <v>2025</v>
      </c>
      <c r="Z914">
        <v>1</v>
      </c>
      <c r="AA914">
        <v>3</v>
      </c>
    </row>
    <row r="915" spans="1:27" x14ac:dyDescent="0.3">
      <c r="A915" s="2">
        <v>45626</v>
      </c>
      <c r="B915" t="s">
        <v>0</v>
      </c>
      <c r="C915" t="s">
        <v>8</v>
      </c>
      <c r="D915">
        <v>18</v>
      </c>
      <c r="E915">
        <v>130.36000000000001</v>
      </c>
      <c r="F915" t="s">
        <v>12</v>
      </c>
      <c r="G915" t="s">
        <v>16</v>
      </c>
      <c r="H915">
        <v>0</v>
      </c>
      <c r="I915" t="s">
        <v>22</v>
      </c>
      <c r="J915">
        <v>2346.48</v>
      </c>
      <c r="K915" t="s">
        <v>27</v>
      </c>
      <c r="L915" t="s">
        <v>30</v>
      </c>
      <c r="M915">
        <v>0</v>
      </c>
      <c r="N915" t="s">
        <v>988</v>
      </c>
      <c r="O915" t="s">
        <v>2488</v>
      </c>
      <c r="P915">
        <v>34.6</v>
      </c>
      <c r="Q915">
        <f t="shared" si="14"/>
        <v>130.36000000000001</v>
      </c>
      <c r="R915">
        <v>2311.88</v>
      </c>
      <c r="S915" s="2">
        <v>45626</v>
      </c>
      <c r="T915" s="2">
        <v>45631</v>
      </c>
      <c r="U915" t="s">
        <v>33</v>
      </c>
      <c r="V915">
        <v>30</v>
      </c>
      <c r="W915">
        <v>11</v>
      </c>
      <c r="X915" t="s">
        <v>47</v>
      </c>
      <c r="Y915">
        <v>2024</v>
      </c>
      <c r="Z915">
        <v>4</v>
      </c>
      <c r="AA915">
        <v>48</v>
      </c>
    </row>
    <row r="916" spans="1:27" x14ac:dyDescent="0.3">
      <c r="A916" s="2">
        <v>45348</v>
      </c>
      <c r="B916" t="s">
        <v>0</v>
      </c>
      <c r="C916" t="s">
        <v>9</v>
      </c>
      <c r="D916">
        <v>13</v>
      </c>
      <c r="E916">
        <v>585.88</v>
      </c>
      <c r="F916" t="s">
        <v>12</v>
      </c>
      <c r="G916" t="s">
        <v>17</v>
      </c>
      <c r="H916">
        <v>0.15</v>
      </c>
      <c r="I916" t="s">
        <v>21</v>
      </c>
      <c r="J916">
        <v>6473.9739999999993</v>
      </c>
      <c r="K916" t="s">
        <v>26</v>
      </c>
      <c r="L916" t="s">
        <v>31</v>
      </c>
      <c r="M916">
        <v>0</v>
      </c>
      <c r="N916" t="s">
        <v>989</v>
      </c>
      <c r="O916" t="s">
        <v>2489</v>
      </c>
      <c r="P916">
        <v>42.18</v>
      </c>
      <c r="Q916">
        <f t="shared" si="14"/>
        <v>497.99799999999993</v>
      </c>
      <c r="R916">
        <v>6431.793999999999</v>
      </c>
      <c r="S916" s="2">
        <v>45348</v>
      </c>
      <c r="T916" s="2">
        <v>45358</v>
      </c>
      <c r="U916" t="s">
        <v>33</v>
      </c>
      <c r="V916">
        <v>26</v>
      </c>
      <c r="W916">
        <v>2</v>
      </c>
      <c r="X916" t="s">
        <v>38</v>
      </c>
      <c r="Y916">
        <v>2024</v>
      </c>
      <c r="Z916">
        <v>1</v>
      </c>
      <c r="AA916">
        <v>9</v>
      </c>
    </row>
    <row r="917" spans="1:27" x14ac:dyDescent="0.3">
      <c r="A917" s="2">
        <v>45819</v>
      </c>
      <c r="B917" t="s">
        <v>2</v>
      </c>
      <c r="C917" t="s">
        <v>7</v>
      </c>
      <c r="D917">
        <v>19</v>
      </c>
      <c r="E917">
        <v>278.04000000000002</v>
      </c>
      <c r="F917" t="s">
        <v>12</v>
      </c>
      <c r="G917" t="s">
        <v>17</v>
      </c>
      <c r="H917">
        <v>0.05</v>
      </c>
      <c r="I917" t="s">
        <v>23</v>
      </c>
      <c r="J917">
        <v>5018.6220000000003</v>
      </c>
      <c r="K917" t="s">
        <v>26</v>
      </c>
      <c r="L917" t="s">
        <v>30</v>
      </c>
      <c r="M917">
        <v>0</v>
      </c>
      <c r="N917" t="s">
        <v>990</v>
      </c>
      <c r="O917" t="s">
        <v>2490</v>
      </c>
      <c r="P917">
        <v>16.399999999999999</v>
      </c>
      <c r="Q917">
        <f t="shared" si="14"/>
        <v>264.13800000000003</v>
      </c>
      <c r="R917">
        <v>5002.2220000000007</v>
      </c>
      <c r="S917" s="2">
        <v>45819</v>
      </c>
      <c r="T917" s="2">
        <v>45823</v>
      </c>
      <c r="U917" t="s">
        <v>35</v>
      </c>
      <c r="V917">
        <v>11</v>
      </c>
      <c r="W917">
        <v>6</v>
      </c>
      <c r="X917" t="s">
        <v>41</v>
      </c>
      <c r="Y917">
        <v>2025</v>
      </c>
      <c r="Z917">
        <v>2</v>
      </c>
      <c r="AA917">
        <v>24</v>
      </c>
    </row>
    <row r="918" spans="1:27" x14ac:dyDescent="0.3">
      <c r="A918" s="2">
        <v>45259</v>
      </c>
      <c r="B918" t="s">
        <v>3</v>
      </c>
      <c r="C918" t="s">
        <v>6</v>
      </c>
      <c r="D918">
        <v>11</v>
      </c>
      <c r="E918">
        <v>267.91000000000003</v>
      </c>
      <c r="F918" t="s">
        <v>12</v>
      </c>
      <c r="G918" t="s">
        <v>17</v>
      </c>
      <c r="H918">
        <v>0</v>
      </c>
      <c r="I918" t="s">
        <v>18</v>
      </c>
      <c r="J918">
        <v>2947.01</v>
      </c>
      <c r="K918" t="s">
        <v>27</v>
      </c>
      <c r="L918" t="s">
        <v>32</v>
      </c>
      <c r="M918">
        <v>0</v>
      </c>
      <c r="N918" t="s">
        <v>991</v>
      </c>
      <c r="O918" t="s">
        <v>2491</v>
      </c>
      <c r="P918">
        <v>12.05</v>
      </c>
      <c r="Q918">
        <f t="shared" si="14"/>
        <v>267.91000000000003</v>
      </c>
      <c r="R918">
        <v>2934.96</v>
      </c>
      <c r="S918" s="2">
        <v>45259</v>
      </c>
      <c r="T918" s="2">
        <v>45264</v>
      </c>
      <c r="U918" t="s">
        <v>36</v>
      </c>
      <c r="V918">
        <v>29</v>
      </c>
      <c r="W918">
        <v>11</v>
      </c>
      <c r="X918" t="s">
        <v>47</v>
      </c>
      <c r="Y918">
        <v>2023</v>
      </c>
      <c r="Z918">
        <v>4</v>
      </c>
      <c r="AA918">
        <v>48</v>
      </c>
    </row>
    <row r="919" spans="1:27" x14ac:dyDescent="0.3">
      <c r="A919" s="2">
        <v>45470</v>
      </c>
      <c r="B919" t="s">
        <v>1</v>
      </c>
      <c r="C919" t="s">
        <v>8</v>
      </c>
      <c r="D919">
        <v>12</v>
      </c>
      <c r="E919">
        <v>369.54</v>
      </c>
      <c r="F919" t="s">
        <v>12</v>
      </c>
      <c r="G919" t="s">
        <v>17</v>
      </c>
      <c r="H919">
        <v>0.05</v>
      </c>
      <c r="I919" t="s">
        <v>22</v>
      </c>
      <c r="J919">
        <v>4212.7560000000003</v>
      </c>
      <c r="K919" t="s">
        <v>27</v>
      </c>
      <c r="L919" t="s">
        <v>31</v>
      </c>
      <c r="M919">
        <v>1</v>
      </c>
      <c r="N919" t="s">
        <v>992</v>
      </c>
      <c r="O919" t="s">
        <v>2492</v>
      </c>
      <c r="P919">
        <v>39.159999999999997</v>
      </c>
      <c r="Q919">
        <f t="shared" si="14"/>
        <v>351.06300000000005</v>
      </c>
      <c r="R919">
        <v>4173.5960000000005</v>
      </c>
      <c r="S919" s="2">
        <v>45470</v>
      </c>
      <c r="T919" s="2">
        <v>45478</v>
      </c>
      <c r="U919" t="s">
        <v>34</v>
      </c>
      <c r="V919">
        <v>27</v>
      </c>
      <c r="W919">
        <v>6</v>
      </c>
      <c r="X919" t="s">
        <v>41</v>
      </c>
      <c r="Y919">
        <v>2024</v>
      </c>
      <c r="Z919">
        <v>2</v>
      </c>
      <c r="AA919">
        <v>26</v>
      </c>
    </row>
    <row r="920" spans="1:27" x14ac:dyDescent="0.3">
      <c r="A920" s="2">
        <v>45432</v>
      </c>
      <c r="B920" t="s">
        <v>1</v>
      </c>
      <c r="C920" t="s">
        <v>9</v>
      </c>
      <c r="D920">
        <v>13</v>
      </c>
      <c r="E920">
        <v>284.3</v>
      </c>
      <c r="F920" t="s">
        <v>13</v>
      </c>
      <c r="G920" t="s">
        <v>16</v>
      </c>
      <c r="H920">
        <v>0.05</v>
      </c>
      <c r="I920" t="s">
        <v>23</v>
      </c>
      <c r="J920">
        <v>3511.105</v>
      </c>
      <c r="K920" t="s">
        <v>24</v>
      </c>
      <c r="L920" t="s">
        <v>31</v>
      </c>
      <c r="M920">
        <v>0</v>
      </c>
      <c r="N920" t="s">
        <v>993</v>
      </c>
      <c r="O920" t="s">
        <v>2493</v>
      </c>
      <c r="P920">
        <v>48.73</v>
      </c>
      <c r="Q920">
        <f t="shared" si="14"/>
        <v>270.08499999999998</v>
      </c>
      <c r="R920">
        <v>3462.375</v>
      </c>
      <c r="S920" s="2">
        <v>45432</v>
      </c>
      <c r="T920" s="2">
        <v>45439</v>
      </c>
      <c r="U920" t="s">
        <v>34</v>
      </c>
      <c r="V920">
        <v>20</v>
      </c>
      <c r="W920">
        <v>5</v>
      </c>
      <c r="X920" t="s">
        <v>40</v>
      </c>
      <c r="Y920">
        <v>2024</v>
      </c>
      <c r="Z920">
        <v>2</v>
      </c>
      <c r="AA920">
        <v>21</v>
      </c>
    </row>
    <row r="921" spans="1:27" x14ac:dyDescent="0.3">
      <c r="A921" s="2">
        <v>45094</v>
      </c>
      <c r="B921" t="s">
        <v>4</v>
      </c>
      <c r="C921" t="s">
        <v>8</v>
      </c>
      <c r="D921">
        <v>12</v>
      </c>
      <c r="E921">
        <v>427.1</v>
      </c>
      <c r="F921" t="s">
        <v>14</v>
      </c>
      <c r="G921" t="s">
        <v>17</v>
      </c>
      <c r="H921">
        <v>0</v>
      </c>
      <c r="I921" t="s">
        <v>21</v>
      </c>
      <c r="J921">
        <v>5125.2000000000007</v>
      </c>
      <c r="K921" t="s">
        <v>25</v>
      </c>
      <c r="L921" t="s">
        <v>31</v>
      </c>
      <c r="M921">
        <v>1</v>
      </c>
      <c r="N921" t="s">
        <v>994</v>
      </c>
      <c r="O921" t="s">
        <v>2494</v>
      </c>
      <c r="P921">
        <v>8.11</v>
      </c>
      <c r="Q921">
        <f t="shared" si="14"/>
        <v>427.10000000000008</v>
      </c>
      <c r="R921">
        <v>5117.0900000000011</v>
      </c>
      <c r="S921" s="2">
        <v>45094</v>
      </c>
      <c r="T921" s="2">
        <v>45099</v>
      </c>
      <c r="U921" t="s">
        <v>37</v>
      </c>
      <c r="V921">
        <v>17</v>
      </c>
      <c r="W921">
        <v>6</v>
      </c>
      <c r="X921" t="s">
        <v>41</v>
      </c>
      <c r="Y921">
        <v>2023</v>
      </c>
      <c r="Z921">
        <v>2</v>
      </c>
      <c r="AA921">
        <v>24</v>
      </c>
    </row>
    <row r="922" spans="1:27" x14ac:dyDescent="0.3">
      <c r="A922" s="2">
        <v>45602</v>
      </c>
      <c r="B922" t="s">
        <v>0</v>
      </c>
      <c r="C922" t="s">
        <v>9</v>
      </c>
      <c r="D922">
        <v>11</v>
      </c>
      <c r="E922">
        <v>200.3</v>
      </c>
      <c r="F922" t="s">
        <v>15</v>
      </c>
      <c r="G922" t="s">
        <v>17</v>
      </c>
      <c r="H922">
        <v>0.1</v>
      </c>
      <c r="I922" t="s">
        <v>18</v>
      </c>
      <c r="J922">
        <v>1982.97</v>
      </c>
      <c r="K922" t="s">
        <v>27</v>
      </c>
      <c r="L922" t="s">
        <v>31</v>
      </c>
      <c r="M922">
        <v>1</v>
      </c>
      <c r="N922" t="s">
        <v>995</v>
      </c>
      <c r="O922" t="s">
        <v>2495</v>
      </c>
      <c r="P922">
        <v>48.27</v>
      </c>
      <c r="Q922">
        <f t="shared" si="14"/>
        <v>180.27</v>
      </c>
      <c r="R922">
        <v>1934.7</v>
      </c>
      <c r="S922" s="2">
        <v>45602</v>
      </c>
      <c r="T922" s="2">
        <v>45609</v>
      </c>
      <c r="U922" t="s">
        <v>33</v>
      </c>
      <c r="V922">
        <v>6</v>
      </c>
      <c r="W922">
        <v>11</v>
      </c>
      <c r="X922" t="s">
        <v>47</v>
      </c>
      <c r="Y922">
        <v>2024</v>
      </c>
      <c r="Z922">
        <v>4</v>
      </c>
      <c r="AA922">
        <v>45</v>
      </c>
    </row>
    <row r="923" spans="1:27" x14ac:dyDescent="0.3">
      <c r="A923" s="2">
        <v>45700</v>
      </c>
      <c r="B923" t="s">
        <v>2</v>
      </c>
      <c r="C923" t="s">
        <v>11</v>
      </c>
      <c r="D923">
        <v>4</v>
      </c>
      <c r="E923">
        <v>75.8</v>
      </c>
      <c r="F923" t="s">
        <v>14</v>
      </c>
      <c r="G923" t="s">
        <v>17</v>
      </c>
      <c r="H923">
        <v>0.15</v>
      </c>
      <c r="I923" t="s">
        <v>21</v>
      </c>
      <c r="J923">
        <v>257.72000000000003</v>
      </c>
      <c r="K923" t="s">
        <v>26</v>
      </c>
      <c r="L923" t="s">
        <v>30</v>
      </c>
      <c r="M923">
        <v>0</v>
      </c>
      <c r="N923" t="s">
        <v>996</v>
      </c>
      <c r="O923" t="s">
        <v>2496</v>
      </c>
      <c r="P923">
        <v>12.22</v>
      </c>
      <c r="Q923">
        <f t="shared" si="14"/>
        <v>64.430000000000007</v>
      </c>
      <c r="R923">
        <v>245.50000000000003</v>
      </c>
      <c r="S923" s="2">
        <v>45700</v>
      </c>
      <c r="T923" s="2">
        <v>45708</v>
      </c>
      <c r="U923" t="s">
        <v>35</v>
      </c>
      <c r="V923">
        <v>12</v>
      </c>
      <c r="W923">
        <v>2</v>
      </c>
      <c r="X923" t="s">
        <v>38</v>
      </c>
      <c r="Y923">
        <v>2025</v>
      </c>
      <c r="Z923">
        <v>1</v>
      </c>
      <c r="AA923">
        <v>7</v>
      </c>
    </row>
    <row r="924" spans="1:27" x14ac:dyDescent="0.3">
      <c r="A924" s="2">
        <v>45756</v>
      </c>
      <c r="B924" t="s">
        <v>2</v>
      </c>
      <c r="C924" t="s">
        <v>9</v>
      </c>
      <c r="D924">
        <v>4</v>
      </c>
      <c r="E924">
        <v>518.42999999999995</v>
      </c>
      <c r="F924" t="s">
        <v>13</v>
      </c>
      <c r="G924" t="s">
        <v>16</v>
      </c>
      <c r="H924">
        <v>0</v>
      </c>
      <c r="I924" t="s">
        <v>19</v>
      </c>
      <c r="J924">
        <v>2073.7199999999998</v>
      </c>
      <c r="K924" t="s">
        <v>24</v>
      </c>
      <c r="L924" t="s">
        <v>30</v>
      </c>
      <c r="M924">
        <v>0</v>
      </c>
      <c r="N924" t="s">
        <v>997</v>
      </c>
      <c r="O924" t="s">
        <v>2497</v>
      </c>
      <c r="P924">
        <v>30.86</v>
      </c>
      <c r="Q924">
        <f t="shared" si="14"/>
        <v>518.42999999999995</v>
      </c>
      <c r="R924">
        <v>2042.86</v>
      </c>
      <c r="S924" s="2">
        <v>45756</v>
      </c>
      <c r="T924" s="2">
        <v>45761</v>
      </c>
      <c r="U924" t="s">
        <v>35</v>
      </c>
      <c r="V924">
        <v>9</v>
      </c>
      <c r="W924">
        <v>4</v>
      </c>
      <c r="X924" t="s">
        <v>45</v>
      </c>
      <c r="Y924">
        <v>2025</v>
      </c>
      <c r="Z924">
        <v>2</v>
      </c>
      <c r="AA924">
        <v>15</v>
      </c>
    </row>
    <row r="925" spans="1:27" x14ac:dyDescent="0.3">
      <c r="A925" s="2">
        <v>45522</v>
      </c>
      <c r="B925" t="s">
        <v>2</v>
      </c>
      <c r="C925" t="s">
        <v>10</v>
      </c>
      <c r="D925">
        <v>19</v>
      </c>
      <c r="E925">
        <v>181.18</v>
      </c>
      <c r="F925" t="s">
        <v>13</v>
      </c>
      <c r="G925" t="s">
        <v>16</v>
      </c>
      <c r="H925">
        <v>0.05</v>
      </c>
      <c r="I925" t="s">
        <v>21</v>
      </c>
      <c r="J925">
        <v>3270.299</v>
      </c>
      <c r="K925" t="s">
        <v>26</v>
      </c>
      <c r="L925" t="s">
        <v>29</v>
      </c>
      <c r="M925">
        <v>0</v>
      </c>
      <c r="N925" t="s">
        <v>998</v>
      </c>
      <c r="O925" t="s">
        <v>2498</v>
      </c>
      <c r="P925">
        <v>12.04</v>
      </c>
      <c r="Q925">
        <f t="shared" si="14"/>
        <v>172.12100000000001</v>
      </c>
      <c r="R925">
        <v>3258.259</v>
      </c>
      <c r="S925" s="2">
        <v>45522</v>
      </c>
      <c r="T925" s="2">
        <v>45530</v>
      </c>
      <c r="U925" t="s">
        <v>35</v>
      </c>
      <c r="V925">
        <v>18</v>
      </c>
      <c r="W925">
        <v>8</v>
      </c>
      <c r="X925" t="s">
        <v>48</v>
      </c>
      <c r="Y925">
        <v>2024</v>
      </c>
      <c r="Z925">
        <v>3</v>
      </c>
      <c r="AA925">
        <v>33</v>
      </c>
    </row>
    <row r="926" spans="1:27" x14ac:dyDescent="0.3">
      <c r="A926" s="2">
        <v>44977</v>
      </c>
      <c r="B926" t="s">
        <v>3</v>
      </c>
      <c r="C926" t="s">
        <v>5</v>
      </c>
      <c r="D926">
        <v>3</v>
      </c>
      <c r="E926">
        <v>197.17</v>
      </c>
      <c r="F926" t="s">
        <v>13</v>
      </c>
      <c r="G926" t="s">
        <v>16</v>
      </c>
      <c r="H926">
        <v>0.05</v>
      </c>
      <c r="I926" t="s">
        <v>20</v>
      </c>
      <c r="J926">
        <v>561.93449999999996</v>
      </c>
      <c r="K926" t="s">
        <v>25</v>
      </c>
      <c r="L926" t="s">
        <v>29</v>
      </c>
      <c r="M926">
        <v>1</v>
      </c>
      <c r="N926" t="s">
        <v>999</v>
      </c>
      <c r="O926" t="s">
        <v>2499</v>
      </c>
      <c r="P926">
        <v>30.29</v>
      </c>
      <c r="Q926">
        <f t="shared" si="14"/>
        <v>187.3115</v>
      </c>
      <c r="R926">
        <v>531.64449999999999</v>
      </c>
      <c r="S926" s="2">
        <v>44977</v>
      </c>
      <c r="T926" s="2">
        <v>44980</v>
      </c>
      <c r="U926" t="s">
        <v>36</v>
      </c>
      <c r="V926">
        <v>20</v>
      </c>
      <c r="W926">
        <v>2</v>
      </c>
      <c r="X926" t="s">
        <v>38</v>
      </c>
      <c r="Y926">
        <v>2023</v>
      </c>
      <c r="Z926">
        <v>1</v>
      </c>
      <c r="AA926">
        <v>8</v>
      </c>
    </row>
    <row r="927" spans="1:27" x14ac:dyDescent="0.3">
      <c r="A927" s="2">
        <v>45775</v>
      </c>
      <c r="B927" t="s">
        <v>2</v>
      </c>
      <c r="C927" t="s">
        <v>5</v>
      </c>
      <c r="D927">
        <v>6</v>
      </c>
      <c r="E927">
        <v>81.96</v>
      </c>
      <c r="F927" t="s">
        <v>15</v>
      </c>
      <c r="G927" t="s">
        <v>16</v>
      </c>
      <c r="H927">
        <v>0.05</v>
      </c>
      <c r="I927" t="s">
        <v>22</v>
      </c>
      <c r="J927">
        <v>467.17200000000003</v>
      </c>
      <c r="K927" t="s">
        <v>26</v>
      </c>
      <c r="L927" t="s">
        <v>31</v>
      </c>
      <c r="M927">
        <v>0</v>
      </c>
      <c r="N927" t="s">
        <v>1000</v>
      </c>
      <c r="O927" t="s">
        <v>2500</v>
      </c>
      <c r="P927">
        <v>26.43</v>
      </c>
      <c r="Q927">
        <f t="shared" si="14"/>
        <v>77.862000000000009</v>
      </c>
      <c r="R927">
        <v>440.74200000000002</v>
      </c>
      <c r="S927" s="2">
        <v>45775</v>
      </c>
      <c r="T927" s="2">
        <v>45785</v>
      </c>
      <c r="U927" t="s">
        <v>35</v>
      </c>
      <c r="V927">
        <v>28</v>
      </c>
      <c r="W927">
        <v>4</v>
      </c>
      <c r="X927" t="s">
        <v>45</v>
      </c>
      <c r="Y927">
        <v>2025</v>
      </c>
      <c r="Z927">
        <v>2</v>
      </c>
      <c r="AA927">
        <v>18</v>
      </c>
    </row>
    <row r="928" spans="1:27" x14ac:dyDescent="0.3">
      <c r="A928" s="2">
        <v>45148</v>
      </c>
      <c r="B928" t="s">
        <v>3</v>
      </c>
      <c r="C928" t="s">
        <v>11</v>
      </c>
      <c r="D928">
        <v>3</v>
      </c>
      <c r="E928">
        <v>59.78</v>
      </c>
      <c r="F928" t="s">
        <v>14</v>
      </c>
      <c r="G928" t="s">
        <v>17</v>
      </c>
      <c r="H928">
        <v>0</v>
      </c>
      <c r="I928" t="s">
        <v>18</v>
      </c>
      <c r="J928">
        <v>179.34</v>
      </c>
      <c r="K928" t="s">
        <v>24</v>
      </c>
      <c r="L928" t="s">
        <v>30</v>
      </c>
      <c r="M928">
        <v>0</v>
      </c>
      <c r="N928" t="s">
        <v>1001</v>
      </c>
      <c r="O928" t="s">
        <v>2501</v>
      </c>
      <c r="P928">
        <v>46.98</v>
      </c>
      <c r="Q928">
        <f t="shared" si="14"/>
        <v>59.78</v>
      </c>
      <c r="R928">
        <v>132.36000000000001</v>
      </c>
      <c r="S928" s="2">
        <v>45148</v>
      </c>
      <c r="T928" s="2">
        <v>45151</v>
      </c>
      <c r="U928" t="s">
        <v>36</v>
      </c>
      <c r="V928">
        <v>10</v>
      </c>
      <c r="W928">
        <v>8</v>
      </c>
      <c r="X928" t="s">
        <v>48</v>
      </c>
      <c r="Y928">
        <v>2023</v>
      </c>
      <c r="Z928">
        <v>3</v>
      </c>
      <c r="AA928">
        <v>32</v>
      </c>
    </row>
    <row r="929" spans="1:27" x14ac:dyDescent="0.3">
      <c r="A929" s="2">
        <v>45467</v>
      </c>
      <c r="B929" t="s">
        <v>2</v>
      </c>
      <c r="C929" t="s">
        <v>10</v>
      </c>
      <c r="D929">
        <v>12</v>
      </c>
      <c r="E929">
        <v>211.66</v>
      </c>
      <c r="F929" t="s">
        <v>13</v>
      </c>
      <c r="G929" t="s">
        <v>16</v>
      </c>
      <c r="H929">
        <v>0.1</v>
      </c>
      <c r="I929" t="s">
        <v>21</v>
      </c>
      <c r="J929">
        <v>2285.9279999999999</v>
      </c>
      <c r="K929" t="s">
        <v>26</v>
      </c>
      <c r="L929" t="s">
        <v>30</v>
      </c>
      <c r="M929">
        <v>0</v>
      </c>
      <c r="N929" t="s">
        <v>1002</v>
      </c>
      <c r="O929" t="s">
        <v>2502</v>
      </c>
      <c r="P929">
        <v>10.36</v>
      </c>
      <c r="Q929">
        <f t="shared" si="14"/>
        <v>190.494</v>
      </c>
      <c r="R929">
        <v>2275.5679999999998</v>
      </c>
      <c r="S929" s="2">
        <v>45467</v>
      </c>
      <c r="T929" s="2">
        <v>45472</v>
      </c>
      <c r="U929" t="s">
        <v>35</v>
      </c>
      <c r="V929">
        <v>24</v>
      </c>
      <c r="W929">
        <v>6</v>
      </c>
      <c r="X929" t="s">
        <v>41</v>
      </c>
      <c r="Y929">
        <v>2024</v>
      </c>
      <c r="Z929">
        <v>2</v>
      </c>
      <c r="AA929">
        <v>26</v>
      </c>
    </row>
    <row r="930" spans="1:27" x14ac:dyDescent="0.3">
      <c r="A930" s="2">
        <v>45144</v>
      </c>
      <c r="B930" t="s">
        <v>3</v>
      </c>
      <c r="C930" t="s">
        <v>11</v>
      </c>
      <c r="D930">
        <v>13</v>
      </c>
      <c r="E930">
        <v>69.97</v>
      </c>
      <c r="F930" t="s">
        <v>13</v>
      </c>
      <c r="G930" t="s">
        <v>16</v>
      </c>
      <c r="H930">
        <v>0.05</v>
      </c>
      <c r="I930" t="s">
        <v>19</v>
      </c>
      <c r="J930">
        <v>864.12950000000001</v>
      </c>
      <c r="K930" t="s">
        <v>27</v>
      </c>
      <c r="L930" t="s">
        <v>32</v>
      </c>
      <c r="M930">
        <v>0</v>
      </c>
      <c r="N930" t="s">
        <v>1003</v>
      </c>
      <c r="O930" t="s">
        <v>2503</v>
      </c>
      <c r="P930">
        <v>27.66</v>
      </c>
      <c r="Q930">
        <f t="shared" si="14"/>
        <v>66.471500000000006</v>
      </c>
      <c r="R930">
        <v>836.46950000000004</v>
      </c>
      <c r="S930" s="2">
        <v>45144</v>
      </c>
      <c r="T930" s="2">
        <v>45150</v>
      </c>
      <c r="U930" t="s">
        <v>36</v>
      </c>
      <c r="V930">
        <v>6</v>
      </c>
      <c r="W930">
        <v>8</v>
      </c>
      <c r="X930" t="s">
        <v>48</v>
      </c>
      <c r="Y930">
        <v>2023</v>
      </c>
      <c r="Z930">
        <v>3</v>
      </c>
      <c r="AA930">
        <v>31</v>
      </c>
    </row>
    <row r="931" spans="1:27" x14ac:dyDescent="0.3">
      <c r="A931" s="2">
        <v>45622</v>
      </c>
      <c r="B931" t="s">
        <v>0</v>
      </c>
      <c r="C931" t="s">
        <v>10</v>
      </c>
      <c r="D931">
        <v>7</v>
      </c>
      <c r="E931">
        <v>438.33</v>
      </c>
      <c r="F931" t="s">
        <v>14</v>
      </c>
      <c r="G931" t="s">
        <v>17</v>
      </c>
      <c r="H931">
        <v>0.1</v>
      </c>
      <c r="I931" t="s">
        <v>20</v>
      </c>
      <c r="J931">
        <v>2761.4789999999998</v>
      </c>
      <c r="K931" t="s">
        <v>28</v>
      </c>
      <c r="L931" t="s">
        <v>32</v>
      </c>
      <c r="M931">
        <v>1</v>
      </c>
      <c r="N931" t="s">
        <v>1004</v>
      </c>
      <c r="O931" t="s">
        <v>2504</v>
      </c>
      <c r="P931">
        <v>11.57</v>
      </c>
      <c r="Q931">
        <f t="shared" si="14"/>
        <v>394.49699999999996</v>
      </c>
      <c r="R931">
        <v>2749.9089999999997</v>
      </c>
      <c r="S931" s="2">
        <v>45622</v>
      </c>
      <c r="T931" s="2">
        <v>45626</v>
      </c>
      <c r="U931" t="s">
        <v>33</v>
      </c>
      <c r="V931">
        <v>26</v>
      </c>
      <c r="W931">
        <v>11</v>
      </c>
      <c r="X931" t="s">
        <v>47</v>
      </c>
      <c r="Y931">
        <v>2024</v>
      </c>
      <c r="Z931">
        <v>4</v>
      </c>
      <c r="AA931">
        <v>48</v>
      </c>
    </row>
    <row r="932" spans="1:27" x14ac:dyDescent="0.3">
      <c r="A932" s="2">
        <v>45694</v>
      </c>
      <c r="B932" t="s">
        <v>0</v>
      </c>
      <c r="C932" t="s">
        <v>5</v>
      </c>
      <c r="D932">
        <v>7</v>
      </c>
      <c r="E932">
        <v>241.81</v>
      </c>
      <c r="F932" t="s">
        <v>14</v>
      </c>
      <c r="G932" t="s">
        <v>16</v>
      </c>
      <c r="H932">
        <v>0.1</v>
      </c>
      <c r="I932" t="s">
        <v>19</v>
      </c>
      <c r="J932">
        <v>1523.403</v>
      </c>
      <c r="K932" t="s">
        <v>27</v>
      </c>
      <c r="L932" t="s">
        <v>29</v>
      </c>
      <c r="M932">
        <v>0</v>
      </c>
      <c r="N932" t="s">
        <v>1005</v>
      </c>
      <c r="O932" t="s">
        <v>2505</v>
      </c>
      <c r="P932">
        <v>32.94</v>
      </c>
      <c r="Q932">
        <f t="shared" si="14"/>
        <v>217.62899999999999</v>
      </c>
      <c r="R932">
        <v>1490.463</v>
      </c>
      <c r="S932" s="2">
        <v>45694</v>
      </c>
      <c r="T932" s="2">
        <v>45698</v>
      </c>
      <c r="U932" t="s">
        <v>33</v>
      </c>
      <c r="V932">
        <v>6</v>
      </c>
      <c r="W932">
        <v>2</v>
      </c>
      <c r="X932" t="s">
        <v>38</v>
      </c>
      <c r="Y932">
        <v>2025</v>
      </c>
      <c r="Z932">
        <v>1</v>
      </c>
      <c r="AA932">
        <v>6</v>
      </c>
    </row>
    <row r="933" spans="1:27" x14ac:dyDescent="0.3">
      <c r="A933" s="2">
        <v>45736</v>
      </c>
      <c r="B933" t="s">
        <v>0</v>
      </c>
      <c r="C933" t="s">
        <v>7</v>
      </c>
      <c r="D933">
        <v>3</v>
      </c>
      <c r="E933">
        <v>466.64</v>
      </c>
      <c r="F933" t="s">
        <v>13</v>
      </c>
      <c r="G933" t="s">
        <v>17</v>
      </c>
      <c r="H933">
        <v>0.15</v>
      </c>
      <c r="I933" t="s">
        <v>23</v>
      </c>
      <c r="J933">
        <v>1189.932</v>
      </c>
      <c r="K933" t="s">
        <v>24</v>
      </c>
      <c r="L933" t="s">
        <v>29</v>
      </c>
      <c r="M933">
        <v>0</v>
      </c>
      <c r="N933" t="s">
        <v>1006</v>
      </c>
      <c r="O933" t="s">
        <v>2506</v>
      </c>
      <c r="P933">
        <v>30.33</v>
      </c>
      <c r="Q933">
        <f t="shared" si="14"/>
        <v>396.64400000000001</v>
      </c>
      <c r="R933">
        <v>1159.6020000000001</v>
      </c>
      <c r="S933" s="2">
        <v>45736</v>
      </c>
      <c r="T933" s="2">
        <v>45742</v>
      </c>
      <c r="U933" t="s">
        <v>33</v>
      </c>
      <c r="V933">
        <v>20</v>
      </c>
      <c r="W933">
        <v>3</v>
      </c>
      <c r="X933" t="s">
        <v>44</v>
      </c>
      <c r="Y933">
        <v>2025</v>
      </c>
      <c r="Z933">
        <v>1</v>
      </c>
      <c r="AA933">
        <v>12</v>
      </c>
    </row>
    <row r="934" spans="1:27" x14ac:dyDescent="0.3">
      <c r="A934" s="2">
        <v>45545</v>
      </c>
      <c r="B934" t="s">
        <v>1</v>
      </c>
      <c r="C934" t="s">
        <v>9</v>
      </c>
      <c r="D934">
        <v>9</v>
      </c>
      <c r="E934">
        <v>472.84</v>
      </c>
      <c r="F934" t="s">
        <v>15</v>
      </c>
      <c r="G934" t="s">
        <v>17</v>
      </c>
      <c r="H934">
        <v>0.05</v>
      </c>
      <c r="I934" t="s">
        <v>19</v>
      </c>
      <c r="J934">
        <v>4042.7819999999988</v>
      </c>
      <c r="K934" t="s">
        <v>26</v>
      </c>
      <c r="L934" t="s">
        <v>31</v>
      </c>
      <c r="M934">
        <v>0</v>
      </c>
      <c r="N934" t="s">
        <v>1007</v>
      </c>
      <c r="O934" t="s">
        <v>2507</v>
      </c>
      <c r="P934">
        <v>48.13</v>
      </c>
      <c r="Q934">
        <f t="shared" si="14"/>
        <v>449.19799999999987</v>
      </c>
      <c r="R934">
        <v>3994.6519999999987</v>
      </c>
      <c r="S934" s="2">
        <v>45545</v>
      </c>
      <c r="T934" s="2">
        <v>45547</v>
      </c>
      <c r="U934" t="s">
        <v>34</v>
      </c>
      <c r="V934">
        <v>10</v>
      </c>
      <c r="W934">
        <v>9</v>
      </c>
      <c r="X934" t="s">
        <v>49</v>
      </c>
      <c r="Y934">
        <v>2024</v>
      </c>
      <c r="Z934">
        <v>3</v>
      </c>
      <c r="AA934">
        <v>37</v>
      </c>
    </row>
    <row r="935" spans="1:27" x14ac:dyDescent="0.3">
      <c r="A935" s="2">
        <v>45708</v>
      </c>
      <c r="B935" t="s">
        <v>1</v>
      </c>
      <c r="C935" t="s">
        <v>8</v>
      </c>
      <c r="D935">
        <v>19</v>
      </c>
      <c r="E935">
        <v>586.49</v>
      </c>
      <c r="F935" t="s">
        <v>13</v>
      </c>
      <c r="G935" t="s">
        <v>16</v>
      </c>
      <c r="H935">
        <v>0.1</v>
      </c>
      <c r="I935" t="s">
        <v>18</v>
      </c>
      <c r="J935">
        <v>10028.978999999999</v>
      </c>
      <c r="K935" t="s">
        <v>28</v>
      </c>
      <c r="L935" t="s">
        <v>30</v>
      </c>
      <c r="M935">
        <v>0</v>
      </c>
      <c r="N935" t="s">
        <v>1008</v>
      </c>
      <c r="O935" t="s">
        <v>2508</v>
      </c>
      <c r="P935">
        <v>19.850000000000001</v>
      </c>
      <c r="Q935">
        <f t="shared" si="14"/>
        <v>527.84100000000001</v>
      </c>
      <c r="R935">
        <v>10009.128999999999</v>
      </c>
      <c r="S935" s="2">
        <v>45708</v>
      </c>
      <c r="T935" s="2">
        <v>45718</v>
      </c>
      <c r="U935" t="s">
        <v>34</v>
      </c>
      <c r="V935">
        <v>20</v>
      </c>
      <c r="W935">
        <v>2</v>
      </c>
      <c r="X935" t="s">
        <v>38</v>
      </c>
      <c r="Y935">
        <v>2025</v>
      </c>
      <c r="Z935">
        <v>1</v>
      </c>
      <c r="AA935">
        <v>8</v>
      </c>
    </row>
    <row r="936" spans="1:27" x14ac:dyDescent="0.3">
      <c r="A936" s="2">
        <v>44946</v>
      </c>
      <c r="B936" t="s">
        <v>0</v>
      </c>
      <c r="C936" t="s">
        <v>8</v>
      </c>
      <c r="D936">
        <v>15</v>
      </c>
      <c r="E936">
        <v>462.85</v>
      </c>
      <c r="F936" t="s">
        <v>13</v>
      </c>
      <c r="G936" t="s">
        <v>17</v>
      </c>
      <c r="H936">
        <v>0.15</v>
      </c>
      <c r="I936" t="s">
        <v>22</v>
      </c>
      <c r="J936">
        <v>5901.3374999999996</v>
      </c>
      <c r="K936" t="s">
        <v>26</v>
      </c>
      <c r="L936" t="s">
        <v>32</v>
      </c>
      <c r="M936">
        <v>0</v>
      </c>
      <c r="N936" t="s">
        <v>1009</v>
      </c>
      <c r="O936" t="s">
        <v>2509</v>
      </c>
      <c r="P936">
        <v>46.12</v>
      </c>
      <c r="Q936">
        <f t="shared" si="14"/>
        <v>393.42249999999996</v>
      </c>
      <c r="R936">
        <v>5855.2174999999997</v>
      </c>
      <c r="S936" s="2">
        <v>44946</v>
      </c>
      <c r="T936" s="2">
        <v>44952</v>
      </c>
      <c r="U936" t="s">
        <v>33</v>
      </c>
      <c r="V936">
        <v>20</v>
      </c>
      <c r="W936">
        <v>1</v>
      </c>
      <c r="X936" t="s">
        <v>42</v>
      </c>
      <c r="Y936">
        <v>2023</v>
      </c>
      <c r="Z936">
        <v>1</v>
      </c>
      <c r="AA936">
        <v>3</v>
      </c>
    </row>
    <row r="937" spans="1:27" x14ac:dyDescent="0.3">
      <c r="A937" s="2">
        <v>45354</v>
      </c>
      <c r="B937" t="s">
        <v>0</v>
      </c>
      <c r="C937" t="s">
        <v>5</v>
      </c>
      <c r="D937">
        <v>1</v>
      </c>
      <c r="E937">
        <v>176.17</v>
      </c>
      <c r="F937" t="s">
        <v>14</v>
      </c>
      <c r="G937" t="s">
        <v>17</v>
      </c>
      <c r="H937">
        <v>0.05</v>
      </c>
      <c r="I937" t="s">
        <v>19</v>
      </c>
      <c r="J937">
        <v>167.36150000000001</v>
      </c>
      <c r="K937" t="s">
        <v>27</v>
      </c>
      <c r="L937" t="s">
        <v>32</v>
      </c>
      <c r="M937">
        <v>1</v>
      </c>
      <c r="N937" t="s">
        <v>1010</v>
      </c>
      <c r="O937" t="s">
        <v>2510</v>
      </c>
      <c r="P937">
        <v>35.770000000000003</v>
      </c>
      <c r="Q937">
        <f t="shared" si="14"/>
        <v>167.36150000000001</v>
      </c>
      <c r="R937">
        <v>131.5915</v>
      </c>
      <c r="S937" s="2">
        <v>45354</v>
      </c>
      <c r="T937" s="2">
        <v>45357</v>
      </c>
      <c r="U937" t="s">
        <v>33</v>
      </c>
      <c r="V937">
        <v>3</v>
      </c>
      <c r="W937">
        <v>3</v>
      </c>
      <c r="X937" t="s">
        <v>44</v>
      </c>
      <c r="Y937">
        <v>2024</v>
      </c>
      <c r="Z937">
        <v>1</v>
      </c>
      <c r="AA937">
        <v>9</v>
      </c>
    </row>
    <row r="938" spans="1:27" x14ac:dyDescent="0.3">
      <c r="A938" s="2">
        <v>45257</v>
      </c>
      <c r="B938" t="s">
        <v>4</v>
      </c>
      <c r="C938" t="s">
        <v>11</v>
      </c>
      <c r="D938">
        <v>1</v>
      </c>
      <c r="E938">
        <v>71.239999999999995</v>
      </c>
      <c r="F938" t="s">
        <v>13</v>
      </c>
      <c r="G938" t="s">
        <v>17</v>
      </c>
      <c r="H938">
        <v>0.1</v>
      </c>
      <c r="I938" t="s">
        <v>21</v>
      </c>
      <c r="J938">
        <v>64.116</v>
      </c>
      <c r="K938" t="s">
        <v>27</v>
      </c>
      <c r="L938" t="s">
        <v>32</v>
      </c>
      <c r="M938">
        <v>1</v>
      </c>
      <c r="N938" t="s">
        <v>1011</v>
      </c>
      <c r="O938" t="s">
        <v>2511</v>
      </c>
      <c r="P938">
        <v>43.69</v>
      </c>
      <c r="Q938">
        <f t="shared" si="14"/>
        <v>64.116</v>
      </c>
      <c r="R938">
        <v>20.426000000000002</v>
      </c>
      <c r="S938" s="2">
        <v>45257</v>
      </c>
      <c r="T938" s="2">
        <v>45263</v>
      </c>
      <c r="U938" t="s">
        <v>37</v>
      </c>
      <c r="V938">
        <v>27</v>
      </c>
      <c r="W938">
        <v>11</v>
      </c>
      <c r="X938" t="s">
        <v>47</v>
      </c>
      <c r="Y938">
        <v>2023</v>
      </c>
      <c r="Z938">
        <v>4</v>
      </c>
      <c r="AA938">
        <v>48</v>
      </c>
    </row>
    <row r="939" spans="1:27" x14ac:dyDescent="0.3">
      <c r="A939" s="2">
        <v>45606</v>
      </c>
      <c r="B939" t="s">
        <v>0</v>
      </c>
      <c r="C939" t="s">
        <v>5</v>
      </c>
      <c r="D939">
        <v>6</v>
      </c>
      <c r="E939">
        <v>62.43</v>
      </c>
      <c r="F939" t="s">
        <v>13</v>
      </c>
      <c r="G939" t="s">
        <v>16</v>
      </c>
      <c r="H939">
        <v>0</v>
      </c>
      <c r="I939" t="s">
        <v>22</v>
      </c>
      <c r="J939">
        <v>374.58</v>
      </c>
      <c r="K939" t="s">
        <v>25</v>
      </c>
      <c r="L939" t="s">
        <v>31</v>
      </c>
      <c r="M939">
        <v>0</v>
      </c>
      <c r="N939" t="s">
        <v>1012</v>
      </c>
      <c r="O939" t="s">
        <v>2512</v>
      </c>
      <c r="P939">
        <v>17.850000000000001</v>
      </c>
      <c r="Q939">
        <f t="shared" si="14"/>
        <v>62.43</v>
      </c>
      <c r="R939">
        <v>356.72999999999996</v>
      </c>
      <c r="S939" s="2">
        <v>45606</v>
      </c>
      <c r="T939" s="2">
        <v>45614</v>
      </c>
      <c r="U939" t="s">
        <v>33</v>
      </c>
      <c r="V939">
        <v>10</v>
      </c>
      <c r="W939">
        <v>11</v>
      </c>
      <c r="X939" t="s">
        <v>47</v>
      </c>
      <c r="Y939">
        <v>2024</v>
      </c>
      <c r="Z939">
        <v>4</v>
      </c>
      <c r="AA939">
        <v>45</v>
      </c>
    </row>
    <row r="940" spans="1:27" x14ac:dyDescent="0.3">
      <c r="A940" s="2">
        <v>45692</v>
      </c>
      <c r="B940" t="s">
        <v>3</v>
      </c>
      <c r="C940" t="s">
        <v>10</v>
      </c>
      <c r="D940">
        <v>7</v>
      </c>
      <c r="E940">
        <v>569.89</v>
      </c>
      <c r="F940" t="s">
        <v>15</v>
      </c>
      <c r="G940" t="s">
        <v>16</v>
      </c>
      <c r="H940">
        <v>0.1</v>
      </c>
      <c r="I940" t="s">
        <v>19</v>
      </c>
      <c r="J940">
        <v>3590.3069999999998</v>
      </c>
      <c r="K940" t="s">
        <v>28</v>
      </c>
      <c r="L940" t="s">
        <v>30</v>
      </c>
      <c r="M940">
        <v>0</v>
      </c>
      <c r="N940" t="s">
        <v>1013</v>
      </c>
      <c r="O940" t="s">
        <v>2513</v>
      </c>
      <c r="P940">
        <v>26.81</v>
      </c>
      <c r="Q940">
        <f t="shared" si="14"/>
        <v>512.90099999999995</v>
      </c>
      <c r="R940">
        <v>3563.4969999999998</v>
      </c>
      <c r="S940" s="2">
        <v>45692</v>
      </c>
      <c r="T940" s="2">
        <v>45696</v>
      </c>
      <c r="U940" t="s">
        <v>36</v>
      </c>
      <c r="V940">
        <v>4</v>
      </c>
      <c r="W940">
        <v>2</v>
      </c>
      <c r="X940" t="s">
        <v>38</v>
      </c>
      <c r="Y940">
        <v>2025</v>
      </c>
      <c r="Z940">
        <v>1</v>
      </c>
      <c r="AA940">
        <v>6</v>
      </c>
    </row>
    <row r="941" spans="1:27" x14ac:dyDescent="0.3">
      <c r="A941" s="2">
        <v>45343</v>
      </c>
      <c r="B941" t="s">
        <v>0</v>
      </c>
      <c r="C941" t="s">
        <v>7</v>
      </c>
      <c r="D941">
        <v>5</v>
      </c>
      <c r="E941">
        <v>34.06</v>
      </c>
      <c r="F941" t="s">
        <v>15</v>
      </c>
      <c r="G941" t="s">
        <v>16</v>
      </c>
      <c r="H941">
        <v>0.05</v>
      </c>
      <c r="I941" t="s">
        <v>22</v>
      </c>
      <c r="J941">
        <v>161.785</v>
      </c>
      <c r="K941" t="s">
        <v>25</v>
      </c>
      <c r="L941" t="s">
        <v>32</v>
      </c>
      <c r="M941">
        <v>0</v>
      </c>
      <c r="N941" t="s">
        <v>1014</v>
      </c>
      <c r="O941" t="s">
        <v>2514</v>
      </c>
      <c r="P941">
        <v>19.72</v>
      </c>
      <c r="Q941">
        <f t="shared" si="14"/>
        <v>32.356999999999999</v>
      </c>
      <c r="R941">
        <v>142.065</v>
      </c>
      <c r="S941" s="2">
        <v>45343</v>
      </c>
      <c r="T941" s="2">
        <v>45353</v>
      </c>
      <c r="U941" t="s">
        <v>33</v>
      </c>
      <c r="V941">
        <v>21</v>
      </c>
      <c r="W941">
        <v>2</v>
      </c>
      <c r="X941" t="s">
        <v>38</v>
      </c>
      <c r="Y941">
        <v>2024</v>
      </c>
      <c r="Z941">
        <v>1</v>
      </c>
      <c r="AA941">
        <v>8</v>
      </c>
    </row>
    <row r="942" spans="1:27" x14ac:dyDescent="0.3">
      <c r="A942" s="2">
        <v>45009</v>
      </c>
      <c r="B942" t="s">
        <v>0</v>
      </c>
      <c r="C942" t="s">
        <v>7</v>
      </c>
      <c r="D942">
        <v>17</v>
      </c>
      <c r="E942">
        <v>502.6</v>
      </c>
      <c r="F942" t="s">
        <v>13</v>
      </c>
      <c r="G942" t="s">
        <v>16</v>
      </c>
      <c r="H942">
        <v>0.1</v>
      </c>
      <c r="I942" t="s">
        <v>20</v>
      </c>
      <c r="J942">
        <v>7689.7800000000007</v>
      </c>
      <c r="K942" t="s">
        <v>28</v>
      </c>
      <c r="L942" t="s">
        <v>32</v>
      </c>
      <c r="M942">
        <v>0</v>
      </c>
      <c r="N942" t="s">
        <v>1015</v>
      </c>
      <c r="O942" t="s">
        <v>2515</v>
      </c>
      <c r="P942">
        <v>15.38</v>
      </c>
      <c r="Q942">
        <f t="shared" si="14"/>
        <v>452.34000000000003</v>
      </c>
      <c r="R942">
        <v>7674.4000000000005</v>
      </c>
      <c r="S942" s="2">
        <v>45009</v>
      </c>
      <c r="T942" s="2">
        <v>45014</v>
      </c>
      <c r="U942" t="s">
        <v>33</v>
      </c>
      <c r="V942">
        <v>24</v>
      </c>
      <c r="W942">
        <v>3</v>
      </c>
      <c r="X942" t="s">
        <v>44</v>
      </c>
      <c r="Y942">
        <v>2023</v>
      </c>
      <c r="Z942">
        <v>1</v>
      </c>
      <c r="AA942">
        <v>12</v>
      </c>
    </row>
    <row r="943" spans="1:27" x14ac:dyDescent="0.3">
      <c r="A943" s="2">
        <v>45417</v>
      </c>
      <c r="B943" t="s">
        <v>1</v>
      </c>
      <c r="C943" t="s">
        <v>11</v>
      </c>
      <c r="D943">
        <v>3</v>
      </c>
      <c r="E943">
        <v>89.72</v>
      </c>
      <c r="F943" t="s">
        <v>15</v>
      </c>
      <c r="G943" t="s">
        <v>16</v>
      </c>
      <c r="H943">
        <v>0.1</v>
      </c>
      <c r="I943" t="s">
        <v>19</v>
      </c>
      <c r="J943">
        <v>242.244</v>
      </c>
      <c r="K943" t="s">
        <v>25</v>
      </c>
      <c r="L943" t="s">
        <v>31</v>
      </c>
      <c r="M943">
        <v>0</v>
      </c>
      <c r="N943" t="s">
        <v>1016</v>
      </c>
      <c r="O943" t="s">
        <v>2516</v>
      </c>
      <c r="P943">
        <v>32.67</v>
      </c>
      <c r="Q943">
        <f t="shared" si="14"/>
        <v>80.748000000000005</v>
      </c>
      <c r="R943">
        <v>209.57400000000001</v>
      </c>
      <c r="S943" s="2">
        <v>45417</v>
      </c>
      <c r="T943" s="2">
        <v>45425</v>
      </c>
      <c r="U943" t="s">
        <v>34</v>
      </c>
      <c r="V943">
        <v>5</v>
      </c>
      <c r="W943">
        <v>5</v>
      </c>
      <c r="X943" t="s">
        <v>40</v>
      </c>
      <c r="Y943">
        <v>2024</v>
      </c>
      <c r="Z943">
        <v>2</v>
      </c>
      <c r="AA943">
        <v>18</v>
      </c>
    </row>
    <row r="944" spans="1:27" x14ac:dyDescent="0.3">
      <c r="A944" s="2">
        <v>45569</v>
      </c>
      <c r="B944" t="s">
        <v>1</v>
      </c>
      <c r="C944" t="s">
        <v>5</v>
      </c>
      <c r="D944">
        <v>18</v>
      </c>
      <c r="E944">
        <v>403.53</v>
      </c>
      <c r="F944" t="s">
        <v>15</v>
      </c>
      <c r="G944" t="s">
        <v>16</v>
      </c>
      <c r="H944">
        <v>0.1</v>
      </c>
      <c r="I944" t="s">
        <v>19</v>
      </c>
      <c r="J944">
        <v>6537.1859999999997</v>
      </c>
      <c r="K944" t="s">
        <v>24</v>
      </c>
      <c r="L944" t="s">
        <v>32</v>
      </c>
      <c r="M944">
        <v>0</v>
      </c>
      <c r="N944" t="s">
        <v>1017</v>
      </c>
      <c r="O944" t="s">
        <v>2517</v>
      </c>
      <c r="P944">
        <v>35.729999999999997</v>
      </c>
      <c r="Q944">
        <f t="shared" si="14"/>
        <v>363.17699999999996</v>
      </c>
      <c r="R944">
        <v>6501.4560000000001</v>
      </c>
      <c r="S944" s="2">
        <v>45569</v>
      </c>
      <c r="T944" s="2">
        <v>45572</v>
      </c>
      <c r="U944" t="s">
        <v>34</v>
      </c>
      <c r="V944">
        <v>4</v>
      </c>
      <c r="W944">
        <v>10</v>
      </c>
      <c r="X944" t="s">
        <v>43</v>
      </c>
      <c r="Y944">
        <v>2024</v>
      </c>
      <c r="Z944">
        <v>4</v>
      </c>
      <c r="AA944">
        <v>40</v>
      </c>
    </row>
    <row r="945" spans="1:27" x14ac:dyDescent="0.3">
      <c r="A945" s="2">
        <v>45661</v>
      </c>
      <c r="B945" t="s">
        <v>1</v>
      </c>
      <c r="C945" t="s">
        <v>8</v>
      </c>
      <c r="D945">
        <v>2</v>
      </c>
      <c r="E945">
        <v>194.97</v>
      </c>
      <c r="F945" t="s">
        <v>13</v>
      </c>
      <c r="G945" t="s">
        <v>17</v>
      </c>
      <c r="H945">
        <v>0</v>
      </c>
      <c r="I945" t="s">
        <v>22</v>
      </c>
      <c r="J945">
        <v>389.94</v>
      </c>
      <c r="K945" t="s">
        <v>26</v>
      </c>
      <c r="L945" t="s">
        <v>30</v>
      </c>
      <c r="M945">
        <v>0</v>
      </c>
      <c r="N945" t="s">
        <v>1018</v>
      </c>
      <c r="O945" t="s">
        <v>2518</v>
      </c>
      <c r="P945">
        <v>9.89</v>
      </c>
      <c r="Q945">
        <f t="shared" si="14"/>
        <v>194.97</v>
      </c>
      <c r="R945">
        <v>380.05</v>
      </c>
      <c r="S945" s="2">
        <v>45661</v>
      </c>
      <c r="T945" s="2">
        <v>45671</v>
      </c>
      <c r="U945" t="s">
        <v>34</v>
      </c>
      <c r="V945">
        <v>4</v>
      </c>
      <c r="W945">
        <v>1</v>
      </c>
      <c r="X945" t="s">
        <v>42</v>
      </c>
      <c r="Y945">
        <v>2025</v>
      </c>
      <c r="Z945">
        <v>1</v>
      </c>
      <c r="AA945">
        <v>1</v>
      </c>
    </row>
    <row r="946" spans="1:27" x14ac:dyDescent="0.3">
      <c r="A946" s="2">
        <v>45649</v>
      </c>
      <c r="B946" t="s">
        <v>3</v>
      </c>
      <c r="C946" t="s">
        <v>11</v>
      </c>
      <c r="D946">
        <v>12</v>
      </c>
      <c r="E946">
        <v>171.91</v>
      </c>
      <c r="F946" t="s">
        <v>12</v>
      </c>
      <c r="G946" t="s">
        <v>17</v>
      </c>
      <c r="H946">
        <v>0.05</v>
      </c>
      <c r="I946" t="s">
        <v>18</v>
      </c>
      <c r="J946">
        <v>1959.7739999999999</v>
      </c>
      <c r="K946" t="s">
        <v>26</v>
      </c>
      <c r="L946" t="s">
        <v>31</v>
      </c>
      <c r="M946">
        <v>0</v>
      </c>
      <c r="N946" t="s">
        <v>1019</v>
      </c>
      <c r="O946" t="s">
        <v>2519</v>
      </c>
      <c r="P946">
        <v>34.36</v>
      </c>
      <c r="Q946">
        <f t="shared" si="14"/>
        <v>163.31449999999998</v>
      </c>
      <c r="R946">
        <v>1925.414</v>
      </c>
      <c r="S946" s="2">
        <v>45649</v>
      </c>
      <c r="T946" s="2">
        <v>45659</v>
      </c>
      <c r="U946" t="s">
        <v>36</v>
      </c>
      <c r="V946">
        <v>23</v>
      </c>
      <c r="W946">
        <v>12</v>
      </c>
      <c r="X946" t="s">
        <v>39</v>
      </c>
      <c r="Y946">
        <v>2024</v>
      </c>
      <c r="Z946">
        <v>4</v>
      </c>
      <c r="AA946">
        <v>52</v>
      </c>
    </row>
    <row r="947" spans="1:27" x14ac:dyDescent="0.3">
      <c r="A947" s="2">
        <v>44955</v>
      </c>
      <c r="B947" t="s">
        <v>3</v>
      </c>
      <c r="C947" t="s">
        <v>5</v>
      </c>
      <c r="D947">
        <v>17</v>
      </c>
      <c r="E947">
        <v>535.88</v>
      </c>
      <c r="F947" t="s">
        <v>13</v>
      </c>
      <c r="G947" t="s">
        <v>16</v>
      </c>
      <c r="H947">
        <v>0.05</v>
      </c>
      <c r="I947" t="s">
        <v>23</v>
      </c>
      <c r="J947">
        <v>8654.4619999999995</v>
      </c>
      <c r="K947" t="s">
        <v>25</v>
      </c>
      <c r="L947" t="s">
        <v>32</v>
      </c>
      <c r="M947">
        <v>0</v>
      </c>
      <c r="N947" t="s">
        <v>1020</v>
      </c>
      <c r="O947" t="s">
        <v>2520</v>
      </c>
      <c r="P947">
        <v>26.12</v>
      </c>
      <c r="Q947">
        <f t="shared" si="14"/>
        <v>509.08599999999996</v>
      </c>
      <c r="R947">
        <v>8628.3419999999987</v>
      </c>
      <c r="S947" s="2">
        <v>44955</v>
      </c>
      <c r="T947" s="2">
        <v>44965</v>
      </c>
      <c r="U947" t="s">
        <v>36</v>
      </c>
      <c r="V947">
        <v>29</v>
      </c>
      <c r="W947">
        <v>1</v>
      </c>
      <c r="X947" t="s">
        <v>42</v>
      </c>
      <c r="Y947">
        <v>2023</v>
      </c>
      <c r="Z947">
        <v>1</v>
      </c>
      <c r="AA947">
        <v>4</v>
      </c>
    </row>
    <row r="948" spans="1:27" x14ac:dyDescent="0.3">
      <c r="A948" s="2">
        <v>45515</v>
      </c>
      <c r="B948" t="s">
        <v>4</v>
      </c>
      <c r="C948" t="s">
        <v>8</v>
      </c>
      <c r="D948">
        <v>12</v>
      </c>
      <c r="E948">
        <v>248.13</v>
      </c>
      <c r="F948" t="s">
        <v>13</v>
      </c>
      <c r="G948" t="s">
        <v>17</v>
      </c>
      <c r="H948">
        <v>0.05</v>
      </c>
      <c r="I948" t="s">
        <v>19</v>
      </c>
      <c r="J948">
        <v>2828.6819999999998</v>
      </c>
      <c r="K948" t="s">
        <v>28</v>
      </c>
      <c r="L948" t="s">
        <v>29</v>
      </c>
      <c r="M948">
        <v>0</v>
      </c>
      <c r="N948" t="s">
        <v>1021</v>
      </c>
      <c r="O948" t="s">
        <v>2521</v>
      </c>
      <c r="P948">
        <v>26.03</v>
      </c>
      <c r="Q948">
        <f t="shared" si="14"/>
        <v>235.72349999999997</v>
      </c>
      <c r="R948">
        <v>2802.6519999999996</v>
      </c>
      <c r="S948" s="2">
        <v>45515</v>
      </c>
      <c r="T948" s="2">
        <v>45521</v>
      </c>
      <c r="U948" t="s">
        <v>37</v>
      </c>
      <c r="V948">
        <v>11</v>
      </c>
      <c r="W948">
        <v>8</v>
      </c>
      <c r="X948" t="s">
        <v>48</v>
      </c>
      <c r="Y948">
        <v>2024</v>
      </c>
      <c r="Z948">
        <v>3</v>
      </c>
      <c r="AA948">
        <v>32</v>
      </c>
    </row>
    <row r="949" spans="1:27" x14ac:dyDescent="0.3">
      <c r="A949" s="2">
        <v>45255</v>
      </c>
      <c r="B949" t="s">
        <v>2</v>
      </c>
      <c r="C949" t="s">
        <v>6</v>
      </c>
      <c r="D949">
        <v>2</v>
      </c>
      <c r="E949">
        <v>482.1</v>
      </c>
      <c r="F949" t="s">
        <v>14</v>
      </c>
      <c r="G949" t="s">
        <v>17</v>
      </c>
      <c r="H949">
        <v>0</v>
      </c>
      <c r="I949" t="s">
        <v>21</v>
      </c>
      <c r="J949">
        <v>964.2</v>
      </c>
      <c r="K949" t="s">
        <v>24</v>
      </c>
      <c r="L949" t="s">
        <v>29</v>
      </c>
      <c r="M949">
        <v>0</v>
      </c>
      <c r="N949" t="s">
        <v>1022</v>
      </c>
      <c r="O949" t="s">
        <v>2522</v>
      </c>
      <c r="P949">
        <v>45.35</v>
      </c>
      <c r="Q949">
        <f t="shared" si="14"/>
        <v>482.1</v>
      </c>
      <c r="R949">
        <v>918.85</v>
      </c>
      <c r="S949" s="2">
        <v>45255</v>
      </c>
      <c r="T949" s="2">
        <v>45260</v>
      </c>
      <c r="U949" t="s">
        <v>35</v>
      </c>
      <c r="V949">
        <v>25</v>
      </c>
      <c r="W949">
        <v>11</v>
      </c>
      <c r="X949" t="s">
        <v>47</v>
      </c>
      <c r="Y949">
        <v>2023</v>
      </c>
      <c r="Z949">
        <v>4</v>
      </c>
      <c r="AA949">
        <v>47</v>
      </c>
    </row>
    <row r="950" spans="1:27" x14ac:dyDescent="0.3">
      <c r="A950" s="2">
        <v>45720</v>
      </c>
      <c r="B950" t="s">
        <v>2</v>
      </c>
      <c r="C950" t="s">
        <v>9</v>
      </c>
      <c r="D950">
        <v>18</v>
      </c>
      <c r="E950">
        <v>382.01</v>
      </c>
      <c r="F950" t="s">
        <v>15</v>
      </c>
      <c r="G950" t="s">
        <v>16</v>
      </c>
      <c r="H950">
        <v>0.1</v>
      </c>
      <c r="I950" t="s">
        <v>19</v>
      </c>
      <c r="J950">
        <v>6188.5620000000008</v>
      </c>
      <c r="K950" t="s">
        <v>24</v>
      </c>
      <c r="L950" t="s">
        <v>30</v>
      </c>
      <c r="M950">
        <v>0</v>
      </c>
      <c r="N950" t="s">
        <v>1023</v>
      </c>
      <c r="O950" t="s">
        <v>2523</v>
      </c>
      <c r="P950">
        <v>36.549999999999997</v>
      </c>
      <c r="Q950">
        <f t="shared" si="14"/>
        <v>343.80900000000003</v>
      </c>
      <c r="R950">
        <v>6152.0120000000006</v>
      </c>
      <c r="S950" s="2">
        <v>45720</v>
      </c>
      <c r="T950" s="2">
        <v>45724</v>
      </c>
      <c r="U950" t="s">
        <v>35</v>
      </c>
      <c r="V950">
        <v>4</v>
      </c>
      <c r="W950">
        <v>3</v>
      </c>
      <c r="X950" t="s">
        <v>44</v>
      </c>
      <c r="Y950">
        <v>2025</v>
      </c>
      <c r="Z950">
        <v>1</v>
      </c>
      <c r="AA950">
        <v>10</v>
      </c>
    </row>
    <row r="951" spans="1:27" x14ac:dyDescent="0.3">
      <c r="A951" s="2">
        <v>45709</v>
      </c>
      <c r="B951" t="s">
        <v>2</v>
      </c>
      <c r="C951" t="s">
        <v>6</v>
      </c>
      <c r="D951">
        <v>13</v>
      </c>
      <c r="E951">
        <v>135.97999999999999</v>
      </c>
      <c r="F951" t="s">
        <v>14</v>
      </c>
      <c r="G951" t="s">
        <v>16</v>
      </c>
      <c r="H951">
        <v>0</v>
      </c>
      <c r="I951" t="s">
        <v>20</v>
      </c>
      <c r="J951">
        <v>1767.74</v>
      </c>
      <c r="K951" t="s">
        <v>24</v>
      </c>
      <c r="L951" t="s">
        <v>31</v>
      </c>
      <c r="M951">
        <v>0</v>
      </c>
      <c r="N951" t="s">
        <v>1024</v>
      </c>
      <c r="O951" t="s">
        <v>2524</v>
      </c>
      <c r="P951">
        <v>28.35</v>
      </c>
      <c r="Q951">
        <f t="shared" si="14"/>
        <v>135.97999999999999</v>
      </c>
      <c r="R951">
        <v>1739.39</v>
      </c>
      <c r="S951" s="2">
        <v>45709</v>
      </c>
      <c r="T951" s="2">
        <v>45717</v>
      </c>
      <c r="U951" t="s">
        <v>35</v>
      </c>
      <c r="V951">
        <v>21</v>
      </c>
      <c r="W951">
        <v>2</v>
      </c>
      <c r="X951" t="s">
        <v>38</v>
      </c>
      <c r="Y951">
        <v>2025</v>
      </c>
      <c r="Z951">
        <v>1</v>
      </c>
      <c r="AA951">
        <v>8</v>
      </c>
    </row>
    <row r="952" spans="1:27" x14ac:dyDescent="0.3">
      <c r="A952" s="2">
        <v>45714</v>
      </c>
      <c r="B952" t="s">
        <v>0</v>
      </c>
      <c r="C952" t="s">
        <v>7</v>
      </c>
      <c r="D952">
        <v>9</v>
      </c>
      <c r="E952">
        <v>562.54</v>
      </c>
      <c r="F952" t="s">
        <v>13</v>
      </c>
      <c r="G952" t="s">
        <v>16</v>
      </c>
      <c r="H952">
        <v>0</v>
      </c>
      <c r="I952" t="s">
        <v>19</v>
      </c>
      <c r="J952">
        <v>5062.8599999999997</v>
      </c>
      <c r="K952" t="s">
        <v>26</v>
      </c>
      <c r="L952" t="s">
        <v>29</v>
      </c>
      <c r="M952">
        <v>0</v>
      </c>
      <c r="N952" t="s">
        <v>1025</v>
      </c>
      <c r="O952" t="s">
        <v>2525</v>
      </c>
      <c r="P952">
        <v>30.27</v>
      </c>
      <c r="Q952">
        <f t="shared" si="14"/>
        <v>562.54</v>
      </c>
      <c r="R952">
        <v>5032.5899999999992</v>
      </c>
      <c r="S952" s="2">
        <v>45714</v>
      </c>
      <c r="T952" s="2">
        <v>45716</v>
      </c>
      <c r="U952" t="s">
        <v>33</v>
      </c>
      <c r="V952">
        <v>26</v>
      </c>
      <c r="W952">
        <v>2</v>
      </c>
      <c r="X952" t="s">
        <v>38</v>
      </c>
      <c r="Y952">
        <v>2025</v>
      </c>
      <c r="Z952">
        <v>1</v>
      </c>
      <c r="AA952">
        <v>9</v>
      </c>
    </row>
    <row r="953" spans="1:27" x14ac:dyDescent="0.3">
      <c r="A953" s="2">
        <v>45380</v>
      </c>
      <c r="B953" t="s">
        <v>0</v>
      </c>
      <c r="C953" t="s">
        <v>9</v>
      </c>
      <c r="D953">
        <v>6</v>
      </c>
      <c r="E953">
        <v>509.48</v>
      </c>
      <c r="F953" t="s">
        <v>12</v>
      </c>
      <c r="G953" t="s">
        <v>16</v>
      </c>
      <c r="H953">
        <v>0</v>
      </c>
      <c r="I953" t="s">
        <v>19</v>
      </c>
      <c r="J953">
        <v>3056.88</v>
      </c>
      <c r="K953" t="s">
        <v>27</v>
      </c>
      <c r="L953" t="s">
        <v>31</v>
      </c>
      <c r="M953">
        <v>0</v>
      </c>
      <c r="N953" t="s">
        <v>1026</v>
      </c>
      <c r="O953" t="s">
        <v>2526</v>
      </c>
      <c r="P953">
        <v>35.92</v>
      </c>
      <c r="Q953">
        <f t="shared" si="14"/>
        <v>509.48</v>
      </c>
      <c r="R953">
        <v>3020.96</v>
      </c>
      <c r="S953" s="2">
        <v>45380</v>
      </c>
      <c r="T953" s="2">
        <v>45388</v>
      </c>
      <c r="U953" t="s">
        <v>33</v>
      </c>
      <c r="V953">
        <v>29</v>
      </c>
      <c r="W953">
        <v>3</v>
      </c>
      <c r="X953" t="s">
        <v>44</v>
      </c>
      <c r="Y953">
        <v>2024</v>
      </c>
      <c r="Z953">
        <v>1</v>
      </c>
      <c r="AA953">
        <v>13</v>
      </c>
    </row>
    <row r="954" spans="1:27" x14ac:dyDescent="0.3">
      <c r="A954" s="2">
        <v>45805</v>
      </c>
      <c r="B954" t="s">
        <v>4</v>
      </c>
      <c r="C954" t="s">
        <v>7</v>
      </c>
      <c r="D954">
        <v>3</v>
      </c>
      <c r="E954">
        <v>470.09</v>
      </c>
      <c r="F954" t="s">
        <v>12</v>
      </c>
      <c r="G954" t="s">
        <v>16</v>
      </c>
      <c r="H954">
        <v>0</v>
      </c>
      <c r="I954" t="s">
        <v>18</v>
      </c>
      <c r="J954">
        <v>1410.27</v>
      </c>
      <c r="K954" t="s">
        <v>25</v>
      </c>
      <c r="L954" t="s">
        <v>32</v>
      </c>
      <c r="M954">
        <v>0</v>
      </c>
      <c r="N954" t="s">
        <v>1027</v>
      </c>
      <c r="O954" t="s">
        <v>2527</v>
      </c>
      <c r="P954">
        <v>38.29</v>
      </c>
      <c r="Q954">
        <f t="shared" si="14"/>
        <v>470.09</v>
      </c>
      <c r="R954">
        <v>1371.98</v>
      </c>
      <c r="S954" s="2">
        <v>45805</v>
      </c>
      <c r="T954" s="2">
        <v>45809</v>
      </c>
      <c r="U954" t="s">
        <v>37</v>
      </c>
      <c r="V954">
        <v>28</v>
      </c>
      <c r="W954">
        <v>5</v>
      </c>
      <c r="X954" t="s">
        <v>40</v>
      </c>
      <c r="Y954">
        <v>2025</v>
      </c>
      <c r="Z954">
        <v>2</v>
      </c>
      <c r="AA954">
        <v>22</v>
      </c>
    </row>
    <row r="955" spans="1:27" x14ac:dyDescent="0.3">
      <c r="A955" s="2">
        <v>45436</v>
      </c>
      <c r="B955" t="s">
        <v>4</v>
      </c>
      <c r="C955" t="s">
        <v>11</v>
      </c>
      <c r="D955">
        <v>10</v>
      </c>
      <c r="E955">
        <v>280.8</v>
      </c>
      <c r="F955" t="s">
        <v>14</v>
      </c>
      <c r="G955" t="s">
        <v>17</v>
      </c>
      <c r="H955">
        <v>0</v>
      </c>
      <c r="I955" t="s">
        <v>19</v>
      </c>
      <c r="J955">
        <v>2808</v>
      </c>
      <c r="K955" t="s">
        <v>26</v>
      </c>
      <c r="L955" t="s">
        <v>30</v>
      </c>
      <c r="M955">
        <v>0</v>
      </c>
      <c r="N955" t="s">
        <v>1028</v>
      </c>
      <c r="O955" t="s">
        <v>2528</v>
      </c>
      <c r="P955">
        <v>49.98</v>
      </c>
      <c r="Q955">
        <f t="shared" si="14"/>
        <v>280.8</v>
      </c>
      <c r="R955">
        <v>2758.02</v>
      </c>
      <c r="S955" s="2">
        <v>45436</v>
      </c>
      <c r="T955" s="2">
        <v>45442</v>
      </c>
      <c r="U955" t="s">
        <v>37</v>
      </c>
      <c r="V955">
        <v>24</v>
      </c>
      <c r="W955">
        <v>5</v>
      </c>
      <c r="X955" t="s">
        <v>40</v>
      </c>
      <c r="Y955">
        <v>2024</v>
      </c>
      <c r="Z955">
        <v>2</v>
      </c>
      <c r="AA955">
        <v>21</v>
      </c>
    </row>
    <row r="956" spans="1:27" x14ac:dyDescent="0.3">
      <c r="A956" s="2">
        <v>45058</v>
      </c>
      <c r="B956" t="s">
        <v>1</v>
      </c>
      <c r="C956" t="s">
        <v>8</v>
      </c>
      <c r="D956">
        <v>9</v>
      </c>
      <c r="E956">
        <v>251.43</v>
      </c>
      <c r="F956" t="s">
        <v>14</v>
      </c>
      <c r="G956" t="s">
        <v>17</v>
      </c>
      <c r="H956">
        <v>0.1</v>
      </c>
      <c r="I956" t="s">
        <v>20</v>
      </c>
      <c r="J956">
        <v>2036.5830000000001</v>
      </c>
      <c r="K956" t="s">
        <v>26</v>
      </c>
      <c r="L956" t="s">
        <v>32</v>
      </c>
      <c r="M956">
        <v>0</v>
      </c>
      <c r="N956" t="s">
        <v>1029</v>
      </c>
      <c r="O956" t="s">
        <v>2529</v>
      </c>
      <c r="P956">
        <v>22.57</v>
      </c>
      <c r="Q956">
        <f t="shared" si="14"/>
        <v>226.28700000000001</v>
      </c>
      <c r="R956">
        <v>2014.0130000000001</v>
      </c>
      <c r="S956" s="2">
        <v>45058</v>
      </c>
      <c r="T956" s="2">
        <v>45063</v>
      </c>
      <c r="U956" t="s">
        <v>34</v>
      </c>
      <c r="V956">
        <v>12</v>
      </c>
      <c r="W956">
        <v>5</v>
      </c>
      <c r="X956" t="s">
        <v>40</v>
      </c>
      <c r="Y956">
        <v>2023</v>
      </c>
      <c r="Z956">
        <v>2</v>
      </c>
      <c r="AA956">
        <v>19</v>
      </c>
    </row>
    <row r="957" spans="1:27" x14ac:dyDescent="0.3">
      <c r="A957" s="2">
        <v>45210</v>
      </c>
      <c r="B957" t="s">
        <v>1</v>
      </c>
      <c r="C957" t="s">
        <v>6</v>
      </c>
      <c r="D957">
        <v>4</v>
      </c>
      <c r="E957">
        <v>408.28</v>
      </c>
      <c r="F957" t="s">
        <v>13</v>
      </c>
      <c r="G957" t="s">
        <v>17</v>
      </c>
      <c r="H957">
        <v>0.15</v>
      </c>
      <c r="I957" t="s">
        <v>19</v>
      </c>
      <c r="J957">
        <v>1388.152</v>
      </c>
      <c r="K957" t="s">
        <v>28</v>
      </c>
      <c r="L957" t="s">
        <v>31</v>
      </c>
      <c r="M957">
        <v>0</v>
      </c>
      <c r="N957" t="s">
        <v>1030</v>
      </c>
      <c r="O957" t="s">
        <v>2530</v>
      </c>
      <c r="P957">
        <v>5.38</v>
      </c>
      <c r="Q957">
        <f t="shared" si="14"/>
        <v>347.03800000000001</v>
      </c>
      <c r="R957">
        <v>1382.7719999999999</v>
      </c>
      <c r="S957" s="2">
        <v>45210</v>
      </c>
      <c r="T957" s="2">
        <v>45214</v>
      </c>
      <c r="U957" t="s">
        <v>34</v>
      </c>
      <c r="V957">
        <v>11</v>
      </c>
      <c r="W957">
        <v>10</v>
      </c>
      <c r="X957" t="s">
        <v>43</v>
      </c>
      <c r="Y957">
        <v>2023</v>
      </c>
      <c r="Z957">
        <v>4</v>
      </c>
      <c r="AA957">
        <v>41</v>
      </c>
    </row>
    <row r="958" spans="1:27" x14ac:dyDescent="0.3">
      <c r="A958" s="2">
        <v>45316</v>
      </c>
      <c r="B958" t="s">
        <v>2</v>
      </c>
      <c r="C958" t="s">
        <v>11</v>
      </c>
      <c r="D958">
        <v>2</v>
      </c>
      <c r="E958">
        <v>27.43</v>
      </c>
      <c r="F958" t="s">
        <v>12</v>
      </c>
      <c r="G958" t="s">
        <v>17</v>
      </c>
      <c r="H958">
        <v>0.15</v>
      </c>
      <c r="I958" t="s">
        <v>20</v>
      </c>
      <c r="J958">
        <v>46.631</v>
      </c>
      <c r="K958" t="s">
        <v>24</v>
      </c>
      <c r="L958" t="s">
        <v>31</v>
      </c>
      <c r="M958">
        <v>0</v>
      </c>
      <c r="N958" t="s">
        <v>1031</v>
      </c>
      <c r="O958" t="s">
        <v>2531</v>
      </c>
      <c r="P958">
        <v>6.15</v>
      </c>
      <c r="Q958">
        <f t="shared" si="14"/>
        <v>23.3155</v>
      </c>
      <c r="R958">
        <v>40.481000000000002</v>
      </c>
      <c r="S958" s="2">
        <v>45316</v>
      </c>
      <c r="T958" s="2">
        <v>45323</v>
      </c>
      <c r="U958" t="s">
        <v>35</v>
      </c>
      <c r="V958">
        <v>25</v>
      </c>
      <c r="W958">
        <v>1</v>
      </c>
      <c r="X958" t="s">
        <v>42</v>
      </c>
      <c r="Y958">
        <v>2024</v>
      </c>
      <c r="Z958">
        <v>1</v>
      </c>
      <c r="AA958">
        <v>4</v>
      </c>
    </row>
    <row r="959" spans="1:27" x14ac:dyDescent="0.3">
      <c r="A959" s="2">
        <v>44960</v>
      </c>
      <c r="B959" t="s">
        <v>0</v>
      </c>
      <c r="C959" t="s">
        <v>6</v>
      </c>
      <c r="D959">
        <v>11</v>
      </c>
      <c r="E959">
        <v>321.72000000000003</v>
      </c>
      <c r="F959" t="s">
        <v>13</v>
      </c>
      <c r="G959" t="s">
        <v>17</v>
      </c>
      <c r="H959">
        <v>0.1</v>
      </c>
      <c r="I959" t="s">
        <v>21</v>
      </c>
      <c r="J959">
        <v>3185.0279999999998</v>
      </c>
      <c r="K959" t="s">
        <v>24</v>
      </c>
      <c r="L959" t="s">
        <v>31</v>
      </c>
      <c r="M959">
        <v>1</v>
      </c>
      <c r="N959" t="s">
        <v>1032</v>
      </c>
      <c r="O959" t="s">
        <v>2532</v>
      </c>
      <c r="P959">
        <v>17.940000000000001</v>
      </c>
      <c r="Q959">
        <f t="shared" si="14"/>
        <v>289.548</v>
      </c>
      <c r="R959">
        <v>3167.0879999999997</v>
      </c>
      <c r="S959" s="2">
        <v>44960</v>
      </c>
      <c r="T959" s="2">
        <v>44963</v>
      </c>
      <c r="U959" t="s">
        <v>33</v>
      </c>
      <c r="V959">
        <v>3</v>
      </c>
      <c r="W959">
        <v>2</v>
      </c>
      <c r="X959" t="s">
        <v>38</v>
      </c>
      <c r="Y959">
        <v>2023</v>
      </c>
      <c r="Z959">
        <v>1</v>
      </c>
      <c r="AA959">
        <v>5</v>
      </c>
    </row>
    <row r="960" spans="1:27" x14ac:dyDescent="0.3">
      <c r="A960" s="2">
        <v>45481</v>
      </c>
      <c r="B960" t="s">
        <v>2</v>
      </c>
      <c r="C960" t="s">
        <v>7</v>
      </c>
      <c r="D960">
        <v>5</v>
      </c>
      <c r="E960">
        <v>186.32</v>
      </c>
      <c r="F960" t="s">
        <v>13</v>
      </c>
      <c r="G960" t="s">
        <v>16</v>
      </c>
      <c r="H960">
        <v>0.1</v>
      </c>
      <c r="I960" t="s">
        <v>21</v>
      </c>
      <c r="J960">
        <v>838.43999999999994</v>
      </c>
      <c r="K960" t="s">
        <v>25</v>
      </c>
      <c r="L960" t="s">
        <v>31</v>
      </c>
      <c r="M960">
        <v>0</v>
      </c>
      <c r="N960" t="s">
        <v>1033</v>
      </c>
      <c r="O960" t="s">
        <v>2533</v>
      </c>
      <c r="P960">
        <v>17.09</v>
      </c>
      <c r="Q960">
        <f t="shared" si="14"/>
        <v>167.68799999999999</v>
      </c>
      <c r="R960">
        <v>821.34999999999991</v>
      </c>
      <c r="S960" s="2">
        <v>45481</v>
      </c>
      <c r="T960" s="2">
        <v>45487</v>
      </c>
      <c r="U960" t="s">
        <v>35</v>
      </c>
      <c r="V960">
        <v>8</v>
      </c>
      <c r="W960">
        <v>7</v>
      </c>
      <c r="X960" t="s">
        <v>46</v>
      </c>
      <c r="Y960">
        <v>2024</v>
      </c>
      <c r="Z960">
        <v>3</v>
      </c>
      <c r="AA960">
        <v>28</v>
      </c>
    </row>
    <row r="961" spans="1:27" x14ac:dyDescent="0.3">
      <c r="A961" s="2">
        <v>45808</v>
      </c>
      <c r="B961" t="s">
        <v>1</v>
      </c>
      <c r="C961" t="s">
        <v>9</v>
      </c>
      <c r="D961">
        <v>3</v>
      </c>
      <c r="E961">
        <v>390.28</v>
      </c>
      <c r="F961" t="s">
        <v>12</v>
      </c>
      <c r="G961" t="s">
        <v>17</v>
      </c>
      <c r="H961">
        <v>0</v>
      </c>
      <c r="I961" t="s">
        <v>20</v>
      </c>
      <c r="J961">
        <v>1170.8399999999999</v>
      </c>
      <c r="K961" t="s">
        <v>24</v>
      </c>
      <c r="L961" t="s">
        <v>31</v>
      </c>
      <c r="M961">
        <v>1</v>
      </c>
      <c r="N961" t="s">
        <v>1034</v>
      </c>
      <c r="O961" t="s">
        <v>2534</v>
      </c>
      <c r="P961">
        <v>45.22</v>
      </c>
      <c r="Q961">
        <f t="shared" si="14"/>
        <v>390.28</v>
      </c>
      <c r="R961">
        <v>1125.6199999999999</v>
      </c>
      <c r="S961" s="2">
        <v>45808</v>
      </c>
      <c r="T961" s="2">
        <v>45818</v>
      </c>
      <c r="U961" t="s">
        <v>34</v>
      </c>
      <c r="V961">
        <v>31</v>
      </c>
      <c r="W961">
        <v>5</v>
      </c>
      <c r="X961" t="s">
        <v>40</v>
      </c>
      <c r="Y961">
        <v>2025</v>
      </c>
      <c r="Z961">
        <v>2</v>
      </c>
      <c r="AA961">
        <v>22</v>
      </c>
    </row>
    <row r="962" spans="1:27" x14ac:dyDescent="0.3">
      <c r="A962" s="2">
        <v>45239</v>
      </c>
      <c r="B962" t="s">
        <v>1</v>
      </c>
      <c r="C962" t="s">
        <v>9</v>
      </c>
      <c r="D962">
        <v>13</v>
      </c>
      <c r="E962">
        <v>174.9</v>
      </c>
      <c r="F962" t="s">
        <v>13</v>
      </c>
      <c r="G962" t="s">
        <v>16</v>
      </c>
      <c r="H962">
        <v>0.15</v>
      </c>
      <c r="I962" t="s">
        <v>21</v>
      </c>
      <c r="J962">
        <v>1932.645</v>
      </c>
      <c r="K962" t="s">
        <v>24</v>
      </c>
      <c r="L962" t="s">
        <v>31</v>
      </c>
      <c r="M962">
        <v>0</v>
      </c>
      <c r="N962" t="s">
        <v>1035</v>
      </c>
      <c r="O962" t="s">
        <v>2535</v>
      </c>
      <c r="P962">
        <v>31.26</v>
      </c>
      <c r="Q962">
        <f t="shared" si="14"/>
        <v>148.66499999999999</v>
      </c>
      <c r="R962">
        <v>1901.385</v>
      </c>
      <c r="S962" s="2">
        <v>45239</v>
      </c>
      <c r="T962" s="2">
        <v>45242</v>
      </c>
      <c r="U962" t="s">
        <v>34</v>
      </c>
      <c r="V962">
        <v>9</v>
      </c>
      <c r="W962">
        <v>11</v>
      </c>
      <c r="X962" t="s">
        <v>47</v>
      </c>
      <c r="Y962">
        <v>2023</v>
      </c>
      <c r="Z962">
        <v>4</v>
      </c>
      <c r="AA962">
        <v>45</v>
      </c>
    </row>
    <row r="963" spans="1:27" x14ac:dyDescent="0.3">
      <c r="A963" s="2">
        <v>45113</v>
      </c>
      <c r="B963" t="s">
        <v>2</v>
      </c>
      <c r="C963" t="s">
        <v>8</v>
      </c>
      <c r="D963">
        <v>8</v>
      </c>
      <c r="E963">
        <v>419.13</v>
      </c>
      <c r="F963" t="s">
        <v>13</v>
      </c>
      <c r="G963" t="s">
        <v>17</v>
      </c>
      <c r="H963">
        <v>0.1</v>
      </c>
      <c r="I963" t="s">
        <v>19</v>
      </c>
      <c r="J963">
        <v>3017.7359999999999</v>
      </c>
      <c r="K963" t="s">
        <v>24</v>
      </c>
      <c r="L963" t="s">
        <v>32</v>
      </c>
      <c r="M963">
        <v>1</v>
      </c>
      <c r="N963" t="s">
        <v>1036</v>
      </c>
      <c r="O963" t="s">
        <v>2536</v>
      </c>
      <c r="P963">
        <v>11.02</v>
      </c>
      <c r="Q963">
        <f t="shared" ref="Q963:Q1026" si="15">J963/D963</f>
        <v>377.21699999999998</v>
      </c>
      <c r="R963">
        <v>3006.7159999999999</v>
      </c>
      <c r="S963" s="2">
        <v>45113</v>
      </c>
      <c r="T963" s="2">
        <v>45117</v>
      </c>
      <c r="U963" t="s">
        <v>35</v>
      </c>
      <c r="V963">
        <v>6</v>
      </c>
      <c r="W963">
        <v>7</v>
      </c>
      <c r="X963" t="s">
        <v>46</v>
      </c>
      <c r="Y963">
        <v>2023</v>
      </c>
      <c r="Z963">
        <v>3</v>
      </c>
      <c r="AA963">
        <v>27</v>
      </c>
    </row>
    <row r="964" spans="1:27" x14ac:dyDescent="0.3">
      <c r="A964" s="2">
        <v>45121</v>
      </c>
      <c r="B964" t="s">
        <v>2</v>
      </c>
      <c r="C964" t="s">
        <v>8</v>
      </c>
      <c r="D964">
        <v>12</v>
      </c>
      <c r="E964">
        <v>116.96</v>
      </c>
      <c r="F964" t="s">
        <v>15</v>
      </c>
      <c r="G964" t="s">
        <v>16</v>
      </c>
      <c r="H964">
        <v>0</v>
      </c>
      <c r="I964" t="s">
        <v>19</v>
      </c>
      <c r="J964">
        <v>1403.52</v>
      </c>
      <c r="K964" t="s">
        <v>25</v>
      </c>
      <c r="L964" t="s">
        <v>31</v>
      </c>
      <c r="M964">
        <v>0</v>
      </c>
      <c r="N964" t="s">
        <v>1037</v>
      </c>
      <c r="O964" t="s">
        <v>2537</v>
      </c>
      <c r="P964">
        <v>22.04</v>
      </c>
      <c r="Q964">
        <f t="shared" si="15"/>
        <v>116.96</v>
      </c>
      <c r="R964">
        <v>1381.48</v>
      </c>
      <c r="S964" s="2">
        <v>45121</v>
      </c>
      <c r="T964" s="2">
        <v>45129</v>
      </c>
      <c r="U964" t="s">
        <v>35</v>
      </c>
      <c r="V964">
        <v>14</v>
      </c>
      <c r="W964">
        <v>7</v>
      </c>
      <c r="X964" t="s">
        <v>46</v>
      </c>
      <c r="Y964">
        <v>2023</v>
      </c>
      <c r="Z964">
        <v>3</v>
      </c>
      <c r="AA964">
        <v>28</v>
      </c>
    </row>
    <row r="965" spans="1:27" x14ac:dyDescent="0.3">
      <c r="A965" s="2">
        <v>45243</v>
      </c>
      <c r="B965" t="s">
        <v>4</v>
      </c>
      <c r="C965" t="s">
        <v>8</v>
      </c>
      <c r="D965">
        <v>11</v>
      </c>
      <c r="E965">
        <v>323.72000000000003</v>
      </c>
      <c r="F965" t="s">
        <v>13</v>
      </c>
      <c r="G965" t="s">
        <v>16</v>
      </c>
      <c r="H965">
        <v>0.1</v>
      </c>
      <c r="I965" t="s">
        <v>23</v>
      </c>
      <c r="J965">
        <v>3204.828</v>
      </c>
      <c r="K965" t="s">
        <v>25</v>
      </c>
      <c r="L965" t="s">
        <v>31</v>
      </c>
      <c r="M965">
        <v>0</v>
      </c>
      <c r="N965" t="s">
        <v>1038</v>
      </c>
      <c r="O965" t="s">
        <v>2538</v>
      </c>
      <c r="P965">
        <v>7.52</v>
      </c>
      <c r="Q965">
        <f t="shared" si="15"/>
        <v>291.34800000000001</v>
      </c>
      <c r="R965">
        <v>3197.308</v>
      </c>
      <c r="S965" s="2">
        <v>45243</v>
      </c>
      <c r="T965" s="2">
        <v>45245</v>
      </c>
      <c r="U965" t="s">
        <v>37</v>
      </c>
      <c r="V965">
        <v>13</v>
      </c>
      <c r="W965">
        <v>11</v>
      </c>
      <c r="X965" t="s">
        <v>47</v>
      </c>
      <c r="Y965">
        <v>2023</v>
      </c>
      <c r="Z965">
        <v>4</v>
      </c>
      <c r="AA965">
        <v>46</v>
      </c>
    </row>
    <row r="966" spans="1:27" x14ac:dyDescent="0.3">
      <c r="A966" s="2">
        <v>45690</v>
      </c>
      <c r="B966" t="s">
        <v>4</v>
      </c>
      <c r="C966" t="s">
        <v>10</v>
      </c>
      <c r="D966">
        <v>11</v>
      </c>
      <c r="E966">
        <v>155.49</v>
      </c>
      <c r="F966" t="s">
        <v>15</v>
      </c>
      <c r="G966" t="s">
        <v>17</v>
      </c>
      <c r="H966">
        <v>0.05</v>
      </c>
      <c r="I966" t="s">
        <v>20</v>
      </c>
      <c r="J966">
        <v>1624.8705</v>
      </c>
      <c r="K966" t="s">
        <v>28</v>
      </c>
      <c r="L966" t="s">
        <v>32</v>
      </c>
      <c r="M966">
        <v>0</v>
      </c>
      <c r="N966" t="s">
        <v>1039</v>
      </c>
      <c r="O966" t="s">
        <v>2539</v>
      </c>
      <c r="P966">
        <v>47.01</v>
      </c>
      <c r="Q966">
        <f t="shared" si="15"/>
        <v>147.71549999999999</v>
      </c>
      <c r="R966">
        <v>1577.8605</v>
      </c>
      <c r="S966" s="2">
        <v>45690</v>
      </c>
      <c r="T966" s="2">
        <v>45700</v>
      </c>
      <c r="U966" t="s">
        <v>37</v>
      </c>
      <c r="V966">
        <v>2</v>
      </c>
      <c r="W966">
        <v>2</v>
      </c>
      <c r="X966" t="s">
        <v>38</v>
      </c>
      <c r="Y966">
        <v>2025</v>
      </c>
      <c r="Z966">
        <v>1</v>
      </c>
      <c r="AA966">
        <v>5</v>
      </c>
    </row>
    <row r="967" spans="1:27" x14ac:dyDescent="0.3">
      <c r="A967" s="2">
        <v>45418</v>
      </c>
      <c r="B967" t="s">
        <v>1</v>
      </c>
      <c r="C967" t="s">
        <v>11</v>
      </c>
      <c r="D967">
        <v>20</v>
      </c>
      <c r="E967">
        <v>270.2</v>
      </c>
      <c r="F967" t="s">
        <v>13</v>
      </c>
      <c r="G967" t="s">
        <v>16</v>
      </c>
      <c r="H967">
        <v>0</v>
      </c>
      <c r="I967" t="s">
        <v>22</v>
      </c>
      <c r="J967">
        <v>5404</v>
      </c>
      <c r="K967" t="s">
        <v>26</v>
      </c>
      <c r="L967" t="s">
        <v>31</v>
      </c>
      <c r="M967">
        <v>0</v>
      </c>
      <c r="N967" t="s">
        <v>1040</v>
      </c>
      <c r="O967" t="s">
        <v>2540</v>
      </c>
      <c r="P967">
        <v>6.8</v>
      </c>
      <c r="Q967">
        <f t="shared" si="15"/>
        <v>270.2</v>
      </c>
      <c r="R967">
        <v>5397.2</v>
      </c>
      <c r="S967" s="2">
        <v>45418</v>
      </c>
      <c r="T967" s="2">
        <v>45427</v>
      </c>
      <c r="U967" t="s">
        <v>34</v>
      </c>
      <c r="V967">
        <v>6</v>
      </c>
      <c r="W967">
        <v>5</v>
      </c>
      <c r="X967" t="s">
        <v>40</v>
      </c>
      <c r="Y967">
        <v>2024</v>
      </c>
      <c r="Z967">
        <v>2</v>
      </c>
      <c r="AA967">
        <v>19</v>
      </c>
    </row>
    <row r="968" spans="1:27" x14ac:dyDescent="0.3">
      <c r="A968" s="2">
        <v>45582</v>
      </c>
      <c r="B968" t="s">
        <v>1</v>
      </c>
      <c r="C968" t="s">
        <v>11</v>
      </c>
      <c r="D968">
        <v>15</v>
      </c>
      <c r="E968">
        <v>482.08</v>
      </c>
      <c r="F968" t="s">
        <v>15</v>
      </c>
      <c r="G968" t="s">
        <v>17</v>
      </c>
      <c r="H968">
        <v>0.1</v>
      </c>
      <c r="I968" t="s">
        <v>18</v>
      </c>
      <c r="J968">
        <v>6508.08</v>
      </c>
      <c r="K968" t="s">
        <v>27</v>
      </c>
      <c r="L968" t="s">
        <v>29</v>
      </c>
      <c r="M968">
        <v>1</v>
      </c>
      <c r="N968" t="s">
        <v>1041</v>
      </c>
      <c r="O968" t="s">
        <v>2541</v>
      </c>
      <c r="P968">
        <v>13.35</v>
      </c>
      <c r="Q968">
        <f t="shared" si="15"/>
        <v>433.87200000000001</v>
      </c>
      <c r="R968">
        <v>6494.73</v>
      </c>
      <c r="S968" s="2">
        <v>45582</v>
      </c>
      <c r="T968" s="2">
        <v>45584</v>
      </c>
      <c r="U968" t="s">
        <v>34</v>
      </c>
      <c r="V968">
        <v>17</v>
      </c>
      <c r="W968">
        <v>10</v>
      </c>
      <c r="X968" t="s">
        <v>43</v>
      </c>
      <c r="Y968">
        <v>2024</v>
      </c>
      <c r="Z968">
        <v>4</v>
      </c>
      <c r="AA968">
        <v>42</v>
      </c>
    </row>
    <row r="969" spans="1:27" x14ac:dyDescent="0.3">
      <c r="A969" s="2">
        <v>45686</v>
      </c>
      <c r="B969" t="s">
        <v>2</v>
      </c>
      <c r="C969" t="s">
        <v>5</v>
      </c>
      <c r="D969">
        <v>11</v>
      </c>
      <c r="E969">
        <v>431.51</v>
      </c>
      <c r="F969" t="s">
        <v>14</v>
      </c>
      <c r="G969" t="s">
        <v>16</v>
      </c>
      <c r="H969">
        <v>0.1</v>
      </c>
      <c r="I969" t="s">
        <v>21</v>
      </c>
      <c r="J969">
        <v>4271.9489999999996</v>
      </c>
      <c r="K969" t="s">
        <v>27</v>
      </c>
      <c r="L969" t="s">
        <v>30</v>
      </c>
      <c r="M969">
        <v>0</v>
      </c>
      <c r="N969" t="s">
        <v>1042</v>
      </c>
      <c r="O969" t="s">
        <v>2542</v>
      </c>
      <c r="P969">
        <v>22.83</v>
      </c>
      <c r="Q969">
        <f t="shared" si="15"/>
        <v>388.35899999999998</v>
      </c>
      <c r="R969">
        <v>4249.1189999999997</v>
      </c>
      <c r="S969" s="2">
        <v>45686</v>
      </c>
      <c r="T969" s="2">
        <v>45693</v>
      </c>
      <c r="U969" t="s">
        <v>35</v>
      </c>
      <c r="V969">
        <v>29</v>
      </c>
      <c r="W969">
        <v>1</v>
      </c>
      <c r="X969" t="s">
        <v>42</v>
      </c>
      <c r="Y969">
        <v>2025</v>
      </c>
      <c r="Z969">
        <v>1</v>
      </c>
      <c r="AA969">
        <v>5</v>
      </c>
    </row>
    <row r="970" spans="1:27" x14ac:dyDescent="0.3">
      <c r="A970" s="2">
        <v>45739</v>
      </c>
      <c r="B970" t="s">
        <v>3</v>
      </c>
      <c r="C970" t="s">
        <v>8</v>
      </c>
      <c r="D970">
        <v>5</v>
      </c>
      <c r="E970">
        <v>302.76</v>
      </c>
      <c r="F970" t="s">
        <v>15</v>
      </c>
      <c r="G970" t="s">
        <v>16</v>
      </c>
      <c r="H970">
        <v>0</v>
      </c>
      <c r="I970" t="s">
        <v>21</v>
      </c>
      <c r="J970">
        <v>1513.8</v>
      </c>
      <c r="K970" t="s">
        <v>25</v>
      </c>
      <c r="L970" t="s">
        <v>29</v>
      </c>
      <c r="M970">
        <v>1</v>
      </c>
      <c r="N970" t="s">
        <v>1043</v>
      </c>
      <c r="O970" t="s">
        <v>2543</v>
      </c>
      <c r="P970">
        <v>46.69</v>
      </c>
      <c r="Q970">
        <f t="shared" si="15"/>
        <v>302.76</v>
      </c>
      <c r="R970">
        <v>1467.11</v>
      </c>
      <c r="S970" s="2">
        <v>45739</v>
      </c>
      <c r="T970" s="2">
        <v>45745</v>
      </c>
      <c r="U970" t="s">
        <v>36</v>
      </c>
      <c r="V970">
        <v>23</v>
      </c>
      <c r="W970">
        <v>3</v>
      </c>
      <c r="X970" t="s">
        <v>44</v>
      </c>
      <c r="Y970">
        <v>2025</v>
      </c>
      <c r="Z970">
        <v>1</v>
      </c>
      <c r="AA970">
        <v>12</v>
      </c>
    </row>
    <row r="971" spans="1:27" x14ac:dyDescent="0.3">
      <c r="A971" s="2">
        <v>45393</v>
      </c>
      <c r="B971" t="s">
        <v>4</v>
      </c>
      <c r="C971" t="s">
        <v>8</v>
      </c>
      <c r="D971">
        <v>19</v>
      </c>
      <c r="E971">
        <v>344.92</v>
      </c>
      <c r="F971" t="s">
        <v>14</v>
      </c>
      <c r="G971" t="s">
        <v>16</v>
      </c>
      <c r="H971">
        <v>0</v>
      </c>
      <c r="I971" t="s">
        <v>18</v>
      </c>
      <c r="J971">
        <v>6553.48</v>
      </c>
      <c r="K971" t="s">
        <v>28</v>
      </c>
      <c r="L971" t="s">
        <v>31</v>
      </c>
      <c r="M971">
        <v>0</v>
      </c>
      <c r="N971" t="s">
        <v>1044</v>
      </c>
      <c r="O971" t="s">
        <v>2544</v>
      </c>
      <c r="P971">
        <v>6.91</v>
      </c>
      <c r="Q971">
        <f t="shared" si="15"/>
        <v>344.91999999999996</v>
      </c>
      <c r="R971">
        <v>6546.57</v>
      </c>
      <c r="S971" s="2">
        <v>45393</v>
      </c>
      <c r="T971" s="2">
        <v>45402</v>
      </c>
      <c r="U971" t="s">
        <v>37</v>
      </c>
      <c r="V971">
        <v>11</v>
      </c>
      <c r="W971">
        <v>4</v>
      </c>
      <c r="X971" t="s">
        <v>45</v>
      </c>
      <c r="Y971">
        <v>2024</v>
      </c>
      <c r="Z971">
        <v>2</v>
      </c>
      <c r="AA971">
        <v>15</v>
      </c>
    </row>
    <row r="972" spans="1:27" x14ac:dyDescent="0.3">
      <c r="A972" s="2">
        <v>45415</v>
      </c>
      <c r="B972" t="s">
        <v>3</v>
      </c>
      <c r="C972" t="s">
        <v>8</v>
      </c>
      <c r="D972">
        <v>7</v>
      </c>
      <c r="E972">
        <v>511.46</v>
      </c>
      <c r="F972" t="s">
        <v>14</v>
      </c>
      <c r="G972" t="s">
        <v>17</v>
      </c>
      <c r="H972">
        <v>0.1</v>
      </c>
      <c r="I972" t="s">
        <v>18</v>
      </c>
      <c r="J972">
        <v>3222.1979999999999</v>
      </c>
      <c r="K972" t="s">
        <v>28</v>
      </c>
      <c r="L972" t="s">
        <v>29</v>
      </c>
      <c r="M972">
        <v>0</v>
      </c>
      <c r="N972" t="s">
        <v>1045</v>
      </c>
      <c r="O972" t="s">
        <v>2545</v>
      </c>
      <c r="P972">
        <v>19.2</v>
      </c>
      <c r="Q972">
        <f t="shared" si="15"/>
        <v>460.31399999999996</v>
      </c>
      <c r="R972">
        <v>3202.998</v>
      </c>
      <c r="S972" s="2">
        <v>45415</v>
      </c>
      <c r="T972" s="2">
        <v>45424</v>
      </c>
      <c r="U972" t="s">
        <v>36</v>
      </c>
      <c r="V972">
        <v>3</v>
      </c>
      <c r="W972">
        <v>5</v>
      </c>
      <c r="X972" t="s">
        <v>40</v>
      </c>
      <c r="Y972">
        <v>2024</v>
      </c>
      <c r="Z972">
        <v>2</v>
      </c>
      <c r="AA972">
        <v>18</v>
      </c>
    </row>
    <row r="973" spans="1:27" x14ac:dyDescent="0.3">
      <c r="A973" s="2">
        <v>45579</v>
      </c>
      <c r="B973" t="s">
        <v>0</v>
      </c>
      <c r="C973" t="s">
        <v>9</v>
      </c>
      <c r="D973">
        <v>7</v>
      </c>
      <c r="E973">
        <v>150.6</v>
      </c>
      <c r="F973" t="s">
        <v>13</v>
      </c>
      <c r="G973" t="s">
        <v>16</v>
      </c>
      <c r="H973">
        <v>0.15</v>
      </c>
      <c r="I973" t="s">
        <v>23</v>
      </c>
      <c r="J973">
        <v>896.07</v>
      </c>
      <c r="K973" t="s">
        <v>28</v>
      </c>
      <c r="L973" t="s">
        <v>31</v>
      </c>
      <c r="M973">
        <v>1</v>
      </c>
      <c r="N973" t="s">
        <v>1046</v>
      </c>
      <c r="O973" t="s">
        <v>2546</v>
      </c>
      <c r="P973">
        <v>15.52</v>
      </c>
      <c r="Q973">
        <f t="shared" si="15"/>
        <v>128.01000000000002</v>
      </c>
      <c r="R973">
        <v>880.55000000000007</v>
      </c>
      <c r="S973" s="2">
        <v>45579</v>
      </c>
      <c r="T973" s="2">
        <v>45586</v>
      </c>
      <c r="U973" t="s">
        <v>33</v>
      </c>
      <c r="V973">
        <v>14</v>
      </c>
      <c r="W973">
        <v>10</v>
      </c>
      <c r="X973" t="s">
        <v>43</v>
      </c>
      <c r="Y973">
        <v>2024</v>
      </c>
      <c r="Z973">
        <v>4</v>
      </c>
      <c r="AA973">
        <v>42</v>
      </c>
    </row>
    <row r="974" spans="1:27" x14ac:dyDescent="0.3">
      <c r="A974" s="2">
        <v>45330</v>
      </c>
      <c r="B974" t="s">
        <v>4</v>
      </c>
      <c r="C974" t="s">
        <v>6</v>
      </c>
      <c r="D974">
        <v>8</v>
      </c>
      <c r="E974">
        <v>158.02000000000001</v>
      </c>
      <c r="F974" t="s">
        <v>14</v>
      </c>
      <c r="G974" t="s">
        <v>16</v>
      </c>
      <c r="H974">
        <v>0.15</v>
      </c>
      <c r="I974" t="s">
        <v>22</v>
      </c>
      <c r="J974">
        <v>1074.5360000000001</v>
      </c>
      <c r="K974" t="s">
        <v>26</v>
      </c>
      <c r="L974" t="s">
        <v>29</v>
      </c>
      <c r="M974">
        <v>0</v>
      </c>
      <c r="N974" t="s">
        <v>1047</v>
      </c>
      <c r="O974" t="s">
        <v>2547</v>
      </c>
      <c r="P974">
        <v>47.43</v>
      </c>
      <c r="Q974">
        <f t="shared" si="15"/>
        <v>134.31700000000001</v>
      </c>
      <c r="R974">
        <v>1027.106</v>
      </c>
      <c r="S974" s="2">
        <v>45330</v>
      </c>
      <c r="T974" s="2">
        <v>45335</v>
      </c>
      <c r="U974" t="s">
        <v>37</v>
      </c>
      <c r="V974">
        <v>8</v>
      </c>
      <c r="W974">
        <v>2</v>
      </c>
      <c r="X974" t="s">
        <v>38</v>
      </c>
      <c r="Y974">
        <v>2024</v>
      </c>
      <c r="Z974">
        <v>1</v>
      </c>
      <c r="AA974">
        <v>6</v>
      </c>
    </row>
    <row r="975" spans="1:27" x14ac:dyDescent="0.3">
      <c r="A975" s="2">
        <v>45056</v>
      </c>
      <c r="B975" t="s">
        <v>3</v>
      </c>
      <c r="C975" t="s">
        <v>10</v>
      </c>
      <c r="D975">
        <v>2</v>
      </c>
      <c r="E975">
        <v>536.17999999999995</v>
      </c>
      <c r="F975" t="s">
        <v>12</v>
      </c>
      <c r="G975" t="s">
        <v>17</v>
      </c>
      <c r="H975">
        <v>0.1</v>
      </c>
      <c r="I975" t="s">
        <v>20</v>
      </c>
      <c r="J975">
        <v>965.12399999999991</v>
      </c>
      <c r="K975" t="s">
        <v>26</v>
      </c>
      <c r="L975" t="s">
        <v>29</v>
      </c>
      <c r="M975">
        <v>0</v>
      </c>
      <c r="N975" t="s">
        <v>1048</v>
      </c>
      <c r="O975" t="s">
        <v>2548</v>
      </c>
      <c r="P975">
        <v>34.75</v>
      </c>
      <c r="Q975">
        <f t="shared" si="15"/>
        <v>482.56199999999995</v>
      </c>
      <c r="R975">
        <v>930.37399999999991</v>
      </c>
      <c r="S975" s="2">
        <v>45056</v>
      </c>
      <c r="T975" s="2">
        <v>45059</v>
      </c>
      <c r="U975" t="s">
        <v>36</v>
      </c>
      <c r="V975">
        <v>10</v>
      </c>
      <c r="W975">
        <v>5</v>
      </c>
      <c r="X975" t="s">
        <v>40</v>
      </c>
      <c r="Y975">
        <v>2023</v>
      </c>
      <c r="Z975">
        <v>2</v>
      </c>
      <c r="AA975">
        <v>19</v>
      </c>
    </row>
    <row r="976" spans="1:27" x14ac:dyDescent="0.3">
      <c r="A976" s="2">
        <v>44988</v>
      </c>
      <c r="B976" t="s">
        <v>2</v>
      </c>
      <c r="C976" t="s">
        <v>8</v>
      </c>
      <c r="D976">
        <v>16</v>
      </c>
      <c r="E976">
        <v>571.26</v>
      </c>
      <c r="F976" t="s">
        <v>14</v>
      </c>
      <c r="G976" t="s">
        <v>16</v>
      </c>
      <c r="H976">
        <v>0.15</v>
      </c>
      <c r="I976" t="s">
        <v>23</v>
      </c>
      <c r="J976">
        <v>7769.1360000000004</v>
      </c>
      <c r="K976" t="s">
        <v>25</v>
      </c>
      <c r="L976" t="s">
        <v>30</v>
      </c>
      <c r="M976">
        <v>0</v>
      </c>
      <c r="N976" t="s">
        <v>1049</v>
      </c>
      <c r="O976" t="s">
        <v>2549</v>
      </c>
      <c r="P976">
        <v>6.13</v>
      </c>
      <c r="Q976">
        <f t="shared" si="15"/>
        <v>485.57100000000003</v>
      </c>
      <c r="R976">
        <v>7763.0060000000003</v>
      </c>
      <c r="S976" s="2">
        <v>44988</v>
      </c>
      <c r="T976" s="2">
        <v>44997</v>
      </c>
      <c r="U976" t="s">
        <v>35</v>
      </c>
      <c r="V976">
        <v>3</v>
      </c>
      <c r="W976">
        <v>3</v>
      </c>
      <c r="X976" t="s">
        <v>44</v>
      </c>
      <c r="Y976">
        <v>2023</v>
      </c>
      <c r="Z976">
        <v>1</v>
      </c>
      <c r="AA976">
        <v>9</v>
      </c>
    </row>
    <row r="977" spans="1:27" x14ac:dyDescent="0.3">
      <c r="A977" s="2">
        <v>45798</v>
      </c>
      <c r="B977" t="s">
        <v>3</v>
      </c>
      <c r="C977" t="s">
        <v>10</v>
      </c>
      <c r="D977">
        <v>12</v>
      </c>
      <c r="E977">
        <v>134.41999999999999</v>
      </c>
      <c r="F977" t="s">
        <v>15</v>
      </c>
      <c r="G977" t="s">
        <v>17</v>
      </c>
      <c r="H977">
        <v>0.1</v>
      </c>
      <c r="I977" t="s">
        <v>22</v>
      </c>
      <c r="J977">
        <v>1451.7360000000001</v>
      </c>
      <c r="K977" t="s">
        <v>25</v>
      </c>
      <c r="L977" t="s">
        <v>29</v>
      </c>
      <c r="M977">
        <v>0</v>
      </c>
      <c r="N977" t="s">
        <v>1050</v>
      </c>
      <c r="O977" t="s">
        <v>2550</v>
      </c>
      <c r="P977">
        <v>33.979999999999997</v>
      </c>
      <c r="Q977">
        <f t="shared" si="15"/>
        <v>120.97800000000001</v>
      </c>
      <c r="R977">
        <v>1417.7560000000001</v>
      </c>
      <c r="S977" s="2">
        <v>45798</v>
      </c>
      <c r="T977" s="2">
        <v>45804</v>
      </c>
      <c r="U977" t="s">
        <v>36</v>
      </c>
      <c r="V977">
        <v>21</v>
      </c>
      <c r="W977">
        <v>5</v>
      </c>
      <c r="X977" t="s">
        <v>40</v>
      </c>
      <c r="Y977">
        <v>2025</v>
      </c>
      <c r="Z977">
        <v>2</v>
      </c>
      <c r="AA977">
        <v>21</v>
      </c>
    </row>
    <row r="978" spans="1:27" x14ac:dyDescent="0.3">
      <c r="A978" s="2">
        <v>45777</v>
      </c>
      <c r="B978" t="s">
        <v>3</v>
      </c>
      <c r="C978" t="s">
        <v>5</v>
      </c>
      <c r="D978">
        <v>5</v>
      </c>
      <c r="E978">
        <v>563.70000000000005</v>
      </c>
      <c r="F978" t="s">
        <v>13</v>
      </c>
      <c r="G978" t="s">
        <v>17</v>
      </c>
      <c r="H978">
        <v>0</v>
      </c>
      <c r="I978" t="s">
        <v>23</v>
      </c>
      <c r="J978">
        <v>2818.5</v>
      </c>
      <c r="K978" t="s">
        <v>24</v>
      </c>
      <c r="L978" t="s">
        <v>30</v>
      </c>
      <c r="M978">
        <v>0</v>
      </c>
      <c r="N978" t="s">
        <v>1051</v>
      </c>
      <c r="O978" t="s">
        <v>2551</v>
      </c>
      <c r="P978">
        <v>29.28</v>
      </c>
      <c r="Q978">
        <f t="shared" si="15"/>
        <v>563.70000000000005</v>
      </c>
      <c r="R978">
        <v>2789.22</v>
      </c>
      <c r="S978" s="2">
        <v>45777</v>
      </c>
      <c r="T978" s="2">
        <v>45784</v>
      </c>
      <c r="U978" t="s">
        <v>36</v>
      </c>
      <c r="V978">
        <v>30</v>
      </c>
      <c r="W978">
        <v>4</v>
      </c>
      <c r="X978" t="s">
        <v>45</v>
      </c>
      <c r="Y978">
        <v>2025</v>
      </c>
      <c r="Z978">
        <v>2</v>
      </c>
      <c r="AA978">
        <v>18</v>
      </c>
    </row>
    <row r="979" spans="1:27" x14ac:dyDescent="0.3">
      <c r="A979" s="2">
        <v>45018</v>
      </c>
      <c r="B979" t="s">
        <v>2</v>
      </c>
      <c r="C979" t="s">
        <v>6</v>
      </c>
      <c r="D979">
        <v>11</v>
      </c>
      <c r="E979">
        <v>546.57000000000005</v>
      </c>
      <c r="F979" t="s">
        <v>15</v>
      </c>
      <c r="G979" t="s">
        <v>17</v>
      </c>
      <c r="H979">
        <v>0.15</v>
      </c>
      <c r="I979" t="s">
        <v>23</v>
      </c>
      <c r="J979">
        <v>5110.4295000000002</v>
      </c>
      <c r="K979" t="s">
        <v>26</v>
      </c>
      <c r="L979" t="s">
        <v>30</v>
      </c>
      <c r="M979">
        <v>1</v>
      </c>
      <c r="N979" t="s">
        <v>1052</v>
      </c>
      <c r="O979" t="s">
        <v>2552</v>
      </c>
      <c r="P979">
        <v>24.77</v>
      </c>
      <c r="Q979">
        <f t="shared" si="15"/>
        <v>464.58449999999999</v>
      </c>
      <c r="R979">
        <v>5085.6594999999998</v>
      </c>
      <c r="S979" s="2">
        <v>45018</v>
      </c>
      <c r="T979" s="2">
        <v>45020</v>
      </c>
      <c r="U979" t="s">
        <v>35</v>
      </c>
      <c r="V979">
        <v>2</v>
      </c>
      <c r="W979">
        <v>4</v>
      </c>
      <c r="X979" t="s">
        <v>45</v>
      </c>
      <c r="Y979">
        <v>2023</v>
      </c>
      <c r="Z979">
        <v>2</v>
      </c>
      <c r="AA979">
        <v>13</v>
      </c>
    </row>
    <row r="980" spans="1:27" x14ac:dyDescent="0.3">
      <c r="A980" s="2">
        <v>45530</v>
      </c>
      <c r="B980" t="s">
        <v>2</v>
      </c>
      <c r="C980" t="s">
        <v>9</v>
      </c>
      <c r="D980">
        <v>9</v>
      </c>
      <c r="E980">
        <v>364.88</v>
      </c>
      <c r="F980" t="s">
        <v>14</v>
      </c>
      <c r="G980" t="s">
        <v>16</v>
      </c>
      <c r="H980">
        <v>0.05</v>
      </c>
      <c r="I980" t="s">
        <v>23</v>
      </c>
      <c r="J980">
        <v>3119.7240000000002</v>
      </c>
      <c r="K980" t="s">
        <v>28</v>
      </c>
      <c r="L980" t="s">
        <v>30</v>
      </c>
      <c r="M980">
        <v>0</v>
      </c>
      <c r="N980" t="s">
        <v>1053</v>
      </c>
      <c r="O980" t="s">
        <v>2553</v>
      </c>
      <c r="P980">
        <v>40.26</v>
      </c>
      <c r="Q980">
        <f t="shared" si="15"/>
        <v>346.63600000000002</v>
      </c>
      <c r="R980">
        <v>3079.4639999999999</v>
      </c>
      <c r="S980" s="2">
        <v>45530</v>
      </c>
      <c r="T980" s="2">
        <v>45540</v>
      </c>
      <c r="U980" t="s">
        <v>35</v>
      </c>
      <c r="V980">
        <v>26</v>
      </c>
      <c r="W980">
        <v>8</v>
      </c>
      <c r="X980" t="s">
        <v>48</v>
      </c>
      <c r="Y980">
        <v>2024</v>
      </c>
      <c r="Z980">
        <v>3</v>
      </c>
      <c r="AA980">
        <v>35</v>
      </c>
    </row>
    <row r="981" spans="1:27" x14ac:dyDescent="0.3">
      <c r="A981" s="2">
        <v>45240</v>
      </c>
      <c r="B981" t="s">
        <v>1</v>
      </c>
      <c r="C981" t="s">
        <v>9</v>
      </c>
      <c r="D981">
        <v>7</v>
      </c>
      <c r="E981">
        <v>368.27</v>
      </c>
      <c r="F981" t="s">
        <v>14</v>
      </c>
      <c r="G981" t="s">
        <v>16</v>
      </c>
      <c r="H981">
        <v>0.15</v>
      </c>
      <c r="I981" t="s">
        <v>21</v>
      </c>
      <c r="J981">
        <v>2191.2064999999998</v>
      </c>
      <c r="K981" t="s">
        <v>24</v>
      </c>
      <c r="L981" t="s">
        <v>31</v>
      </c>
      <c r="M981">
        <v>0</v>
      </c>
      <c r="N981" t="s">
        <v>1054</v>
      </c>
      <c r="O981" t="s">
        <v>2554</v>
      </c>
      <c r="P981">
        <v>28.98</v>
      </c>
      <c r="Q981">
        <f t="shared" si="15"/>
        <v>313.02949999999998</v>
      </c>
      <c r="R981">
        <v>2162.2264999999998</v>
      </c>
      <c r="S981" s="2">
        <v>45240</v>
      </c>
      <c r="T981" s="2">
        <v>45250</v>
      </c>
      <c r="U981" t="s">
        <v>34</v>
      </c>
      <c r="V981">
        <v>10</v>
      </c>
      <c r="W981">
        <v>11</v>
      </c>
      <c r="X981" t="s">
        <v>47</v>
      </c>
      <c r="Y981">
        <v>2023</v>
      </c>
      <c r="Z981">
        <v>4</v>
      </c>
      <c r="AA981">
        <v>45</v>
      </c>
    </row>
    <row r="982" spans="1:27" x14ac:dyDescent="0.3">
      <c r="A982" s="2">
        <v>45684</v>
      </c>
      <c r="B982" t="s">
        <v>3</v>
      </c>
      <c r="C982" t="s">
        <v>11</v>
      </c>
      <c r="D982">
        <v>20</v>
      </c>
      <c r="E982">
        <v>537.28</v>
      </c>
      <c r="F982" t="s">
        <v>14</v>
      </c>
      <c r="G982" t="s">
        <v>16</v>
      </c>
      <c r="H982">
        <v>0</v>
      </c>
      <c r="I982" t="s">
        <v>20</v>
      </c>
      <c r="J982">
        <v>10745.6</v>
      </c>
      <c r="K982" t="s">
        <v>24</v>
      </c>
      <c r="L982" t="s">
        <v>32</v>
      </c>
      <c r="M982">
        <v>1</v>
      </c>
      <c r="N982" t="s">
        <v>1055</v>
      </c>
      <c r="O982" t="s">
        <v>2555</v>
      </c>
      <c r="P982">
        <v>15.6</v>
      </c>
      <c r="Q982">
        <f t="shared" si="15"/>
        <v>537.28</v>
      </c>
      <c r="R982">
        <v>10730</v>
      </c>
      <c r="S982" s="2">
        <v>45684</v>
      </c>
      <c r="T982" s="2">
        <v>45690</v>
      </c>
      <c r="U982" t="s">
        <v>36</v>
      </c>
      <c r="V982">
        <v>27</v>
      </c>
      <c r="W982">
        <v>1</v>
      </c>
      <c r="X982" t="s">
        <v>42</v>
      </c>
      <c r="Y982">
        <v>2025</v>
      </c>
      <c r="Z982">
        <v>1</v>
      </c>
      <c r="AA982">
        <v>5</v>
      </c>
    </row>
    <row r="983" spans="1:27" x14ac:dyDescent="0.3">
      <c r="A983" s="2">
        <v>45408</v>
      </c>
      <c r="B983" t="s">
        <v>1</v>
      </c>
      <c r="C983" t="s">
        <v>6</v>
      </c>
      <c r="D983">
        <v>3</v>
      </c>
      <c r="E983">
        <v>103.09</v>
      </c>
      <c r="F983" t="s">
        <v>15</v>
      </c>
      <c r="G983" t="s">
        <v>16</v>
      </c>
      <c r="H983">
        <v>0</v>
      </c>
      <c r="I983" t="s">
        <v>21</v>
      </c>
      <c r="J983">
        <v>309.27</v>
      </c>
      <c r="K983" t="s">
        <v>25</v>
      </c>
      <c r="L983" t="s">
        <v>30</v>
      </c>
      <c r="M983">
        <v>1</v>
      </c>
      <c r="N983" t="s">
        <v>1056</v>
      </c>
      <c r="O983" t="s">
        <v>2556</v>
      </c>
      <c r="P983">
        <v>46.47</v>
      </c>
      <c r="Q983">
        <f t="shared" si="15"/>
        <v>103.08999999999999</v>
      </c>
      <c r="R983">
        <v>262.79999999999995</v>
      </c>
      <c r="S983" s="2">
        <v>45408</v>
      </c>
      <c r="T983" s="2">
        <v>45412</v>
      </c>
      <c r="U983" t="s">
        <v>34</v>
      </c>
      <c r="V983">
        <v>26</v>
      </c>
      <c r="W983">
        <v>4</v>
      </c>
      <c r="X983" t="s">
        <v>45</v>
      </c>
      <c r="Y983">
        <v>2024</v>
      </c>
      <c r="Z983">
        <v>2</v>
      </c>
      <c r="AA983">
        <v>17</v>
      </c>
    </row>
    <row r="984" spans="1:27" x14ac:dyDescent="0.3">
      <c r="A984" s="2">
        <v>45257</v>
      </c>
      <c r="B984" t="s">
        <v>0</v>
      </c>
      <c r="C984" t="s">
        <v>10</v>
      </c>
      <c r="D984">
        <v>9</v>
      </c>
      <c r="E984">
        <v>97.56</v>
      </c>
      <c r="F984" t="s">
        <v>13</v>
      </c>
      <c r="G984" t="s">
        <v>16</v>
      </c>
      <c r="H984">
        <v>0</v>
      </c>
      <c r="I984" t="s">
        <v>19</v>
      </c>
      <c r="J984">
        <v>878.04</v>
      </c>
      <c r="K984" t="s">
        <v>24</v>
      </c>
      <c r="L984" t="s">
        <v>32</v>
      </c>
      <c r="M984">
        <v>0</v>
      </c>
      <c r="N984" t="s">
        <v>1057</v>
      </c>
      <c r="O984" t="s">
        <v>2557</v>
      </c>
      <c r="P984">
        <v>48.84</v>
      </c>
      <c r="Q984">
        <f t="shared" si="15"/>
        <v>97.56</v>
      </c>
      <c r="R984">
        <v>829.19999999999993</v>
      </c>
      <c r="S984" s="2">
        <v>45257</v>
      </c>
      <c r="T984" s="2">
        <v>45261</v>
      </c>
      <c r="U984" t="s">
        <v>33</v>
      </c>
      <c r="V984">
        <v>27</v>
      </c>
      <c r="W984">
        <v>11</v>
      </c>
      <c r="X984" t="s">
        <v>47</v>
      </c>
      <c r="Y984">
        <v>2023</v>
      </c>
      <c r="Z984">
        <v>4</v>
      </c>
      <c r="AA984">
        <v>48</v>
      </c>
    </row>
    <row r="985" spans="1:27" x14ac:dyDescent="0.3">
      <c r="A985" s="2">
        <v>45015</v>
      </c>
      <c r="B985" t="s">
        <v>3</v>
      </c>
      <c r="C985" t="s">
        <v>10</v>
      </c>
      <c r="D985">
        <v>10</v>
      </c>
      <c r="E985">
        <v>338.75</v>
      </c>
      <c r="F985" t="s">
        <v>13</v>
      </c>
      <c r="G985" t="s">
        <v>16</v>
      </c>
      <c r="H985">
        <v>0.15</v>
      </c>
      <c r="I985" t="s">
        <v>21</v>
      </c>
      <c r="J985">
        <v>2879.375</v>
      </c>
      <c r="K985" t="s">
        <v>28</v>
      </c>
      <c r="L985" t="s">
        <v>31</v>
      </c>
      <c r="M985">
        <v>1</v>
      </c>
      <c r="N985" t="s">
        <v>1058</v>
      </c>
      <c r="O985" t="s">
        <v>2558</v>
      </c>
      <c r="P985">
        <v>36.56</v>
      </c>
      <c r="Q985">
        <f t="shared" si="15"/>
        <v>287.9375</v>
      </c>
      <c r="R985">
        <v>2842.8150000000001</v>
      </c>
      <c r="S985" s="2">
        <v>45015</v>
      </c>
      <c r="T985" s="2">
        <v>45022</v>
      </c>
      <c r="U985" t="s">
        <v>36</v>
      </c>
      <c r="V985">
        <v>30</v>
      </c>
      <c r="W985">
        <v>3</v>
      </c>
      <c r="X985" t="s">
        <v>44</v>
      </c>
      <c r="Y985">
        <v>2023</v>
      </c>
      <c r="Z985">
        <v>1</v>
      </c>
      <c r="AA985">
        <v>13</v>
      </c>
    </row>
    <row r="986" spans="1:27" x14ac:dyDescent="0.3">
      <c r="A986" s="2">
        <v>45355</v>
      </c>
      <c r="B986" t="s">
        <v>2</v>
      </c>
      <c r="C986" t="s">
        <v>7</v>
      </c>
      <c r="D986">
        <v>2</v>
      </c>
      <c r="E986">
        <v>239.04</v>
      </c>
      <c r="F986" t="s">
        <v>13</v>
      </c>
      <c r="G986" t="s">
        <v>16</v>
      </c>
      <c r="H986">
        <v>0</v>
      </c>
      <c r="I986" t="s">
        <v>23</v>
      </c>
      <c r="J986">
        <v>478.08</v>
      </c>
      <c r="K986" t="s">
        <v>27</v>
      </c>
      <c r="L986" t="s">
        <v>30</v>
      </c>
      <c r="M986">
        <v>1</v>
      </c>
      <c r="N986" t="s">
        <v>1059</v>
      </c>
      <c r="O986" t="s">
        <v>2559</v>
      </c>
      <c r="P986">
        <v>43.84</v>
      </c>
      <c r="Q986">
        <f t="shared" si="15"/>
        <v>239.04</v>
      </c>
      <c r="R986">
        <v>434.24</v>
      </c>
      <c r="S986" s="2">
        <v>45355</v>
      </c>
      <c r="T986" s="2">
        <v>45362</v>
      </c>
      <c r="U986" t="s">
        <v>35</v>
      </c>
      <c r="V986">
        <v>4</v>
      </c>
      <c r="W986">
        <v>3</v>
      </c>
      <c r="X986" t="s">
        <v>44</v>
      </c>
      <c r="Y986">
        <v>2024</v>
      </c>
      <c r="Z986">
        <v>1</v>
      </c>
      <c r="AA986">
        <v>10</v>
      </c>
    </row>
    <row r="987" spans="1:27" x14ac:dyDescent="0.3">
      <c r="A987" s="2">
        <v>45118</v>
      </c>
      <c r="B987" t="s">
        <v>1</v>
      </c>
      <c r="C987" t="s">
        <v>5</v>
      </c>
      <c r="D987">
        <v>14</v>
      </c>
      <c r="E987">
        <v>362.44</v>
      </c>
      <c r="F987" t="s">
        <v>14</v>
      </c>
      <c r="G987" t="s">
        <v>16</v>
      </c>
      <c r="H987">
        <v>0.1</v>
      </c>
      <c r="I987" t="s">
        <v>23</v>
      </c>
      <c r="J987">
        <v>4566.7439999999997</v>
      </c>
      <c r="K987" t="s">
        <v>28</v>
      </c>
      <c r="L987" t="s">
        <v>31</v>
      </c>
      <c r="M987">
        <v>0</v>
      </c>
      <c r="N987" t="s">
        <v>1060</v>
      </c>
      <c r="O987" t="s">
        <v>2560</v>
      </c>
      <c r="P987">
        <v>36.729999999999997</v>
      </c>
      <c r="Q987">
        <f t="shared" si="15"/>
        <v>326.19599999999997</v>
      </c>
      <c r="R987">
        <v>4530.0140000000001</v>
      </c>
      <c r="S987" s="2">
        <v>45118</v>
      </c>
      <c r="T987" s="2">
        <v>45122</v>
      </c>
      <c r="U987" t="s">
        <v>34</v>
      </c>
      <c r="V987">
        <v>11</v>
      </c>
      <c r="W987">
        <v>7</v>
      </c>
      <c r="X987" t="s">
        <v>46</v>
      </c>
      <c r="Y987">
        <v>2023</v>
      </c>
      <c r="Z987">
        <v>3</v>
      </c>
      <c r="AA987">
        <v>28</v>
      </c>
    </row>
    <row r="988" spans="1:27" x14ac:dyDescent="0.3">
      <c r="A988" s="2">
        <v>45555</v>
      </c>
      <c r="B988" t="s">
        <v>4</v>
      </c>
      <c r="C988" t="s">
        <v>9</v>
      </c>
      <c r="D988">
        <v>6</v>
      </c>
      <c r="E988">
        <v>551.13</v>
      </c>
      <c r="F988" t="s">
        <v>15</v>
      </c>
      <c r="G988" t="s">
        <v>17</v>
      </c>
      <c r="H988">
        <v>0</v>
      </c>
      <c r="I988" t="s">
        <v>21</v>
      </c>
      <c r="J988">
        <v>3306.78</v>
      </c>
      <c r="K988" t="s">
        <v>25</v>
      </c>
      <c r="L988" t="s">
        <v>29</v>
      </c>
      <c r="M988">
        <v>0</v>
      </c>
      <c r="N988" t="s">
        <v>1061</v>
      </c>
      <c r="O988" t="s">
        <v>2561</v>
      </c>
      <c r="P988">
        <v>14.67</v>
      </c>
      <c r="Q988">
        <f t="shared" si="15"/>
        <v>551.13</v>
      </c>
      <c r="R988">
        <v>3292.11</v>
      </c>
      <c r="S988" s="2">
        <v>45555</v>
      </c>
      <c r="T988" s="2">
        <v>45564</v>
      </c>
      <c r="U988" t="s">
        <v>37</v>
      </c>
      <c r="V988">
        <v>20</v>
      </c>
      <c r="W988">
        <v>9</v>
      </c>
      <c r="X988" t="s">
        <v>49</v>
      </c>
      <c r="Y988">
        <v>2024</v>
      </c>
      <c r="Z988">
        <v>3</v>
      </c>
      <c r="AA988">
        <v>38</v>
      </c>
    </row>
    <row r="989" spans="1:27" x14ac:dyDescent="0.3">
      <c r="A989" s="2">
        <v>45706</v>
      </c>
      <c r="B989" t="s">
        <v>4</v>
      </c>
      <c r="C989" t="s">
        <v>5</v>
      </c>
      <c r="D989">
        <v>1</v>
      </c>
      <c r="E989">
        <v>82.06</v>
      </c>
      <c r="F989" t="s">
        <v>15</v>
      </c>
      <c r="G989" t="s">
        <v>17</v>
      </c>
      <c r="H989">
        <v>0.1</v>
      </c>
      <c r="I989" t="s">
        <v>18</v>
      </c>
      <c r="J989">
        <v>73.853999999999999</v>
      </c>
      <c r="K989" t="s">
        <v>26</v>
      </c>
      <c r="L989" t="s">
        <v>29</v>
      </c>
      <c r="M989">
        <v>0</v>
      </c>
      <c r="N989" t="s">
        <v>1062</v>
      </c>
      <c r="O989" t="s">
        <v>2562</v>
      </c>
      <c r="P989">
        <v>11.11</v>
      </c>
      <c r="Q989">
        <f t="shared" si="15"/>
        <v>73.853999999999999</v>
      </c>
      <c r="R989">
        <v>62.744</v>
      </c>
      <c r="S989" s="2">
        <v>45706</v>
      </c>
      <c r="T989" s="2">
        <v>45712</v>
      </c>
      <c r="U989" t="s">
        <v>37</v>
      </c>
      <c r="V989">
        <v>18</v>
      </c>
      <c r="W989">
        <v>2</v>
      </c>
      <c r="X989" t="s">
        <v>38</v>
      </c>
      <c r="Y989">
        <v>2025</v>
      </c>
      <c r="Z989">
        <v>1</v>
      </c>
      <c r="AA989">
        <v>8</v>
      </c>
    </row>
    <row r="990" spans="1:27" x14ac:dyDescent="0.3">
      <c r="A990" s="2">
        <v>45489</v>
      </c>
      <c r="B990" t="s">
        <v>0</v>
      </c>
      <c r="C990" t="s">
        <v>10</v>
      </c>
      <c r="D990">
        <v>7</v>
      </c>
      <c r="E990">
        <v>498.46</v>
      </c>
      <c r="F990" t="s">
        <v>14</v>
      </c>
      <c r="G990" t="s">
        <v>16</v>
      </c>
      <c r="H990">
        <v>0.15</v>
      </c>
      <c r="I990" t="s">
        <v>21</v>
      </c>
      <c r="J990">
        <v>2965.837</v>
      </c>
      <c r="K990" t="s">
        <v>25</v>
      </c>
      <c r="L990" t="s">
        <v>32</v>
      </c>
      <c r="M990">
        <v>0</v>
      </c>
      <c r="N990" t="s">
        <v>1063</v>
      </c>
      <c r="O990" t="s">
        <v>2563</v>
      </c>
      <c r="P990">
        <v>42.72</v>
      </c>
      <c r="Q990">
        <f t="shared" si="15"/>
        <v>423.69099999999997</v>
      </c>
      <c r="R990">
        <v>2923.1170000000002</v>
      </c>
      <c r="S990" s="2">
        <v>45489</v>
      </c>
      <c r="T990" s="2">
        <v>45493</v>
      </c>
      <c r="U990" t="s">
        <v>33</v>
      </c>
      <c r="V990">
        <v>16</v>
      </c>
      <c r="W990">
        <v>7</v>
      </c>
      <c r="X990" t="s">
        <v>46</v>
      </c>
      <c r="Y990">
        <v>2024</v>
      </c>
      <c r="Z990">
        <v>3</v>
      </c>
      <c r="AA990">
        <v>29</v>
      </c>
    </row>
    <row r="991" spans="1:27" x14ac:dyDescent="0.3">
      <c r="A991" s="2">
        <v>45253</v>
      </c>
      <c r="B991" t="s">
        <v>0</v>
      </c>
      <c r="C991" t="s">
        <v>8</v>
      </c>
      <c r="D991">
        <v>2</v>
      </c>
      <c r="E991">
        <v>253.41</v>
      </c>
      <c r="F991" t="s">
        <v>15</v>
      </c>
      <c r="G991" t="s">
        <v>17</v>
      </c>
      <c r="H991">
        <v>0.1</v>
      </c>
      <c r="I991" t="s">
        <v>20</v>
      </c>
      <c r="J991">
        <v>456.13799999999998</v>
      </c>
      <c r="K991" t="s">
        <v>28</v>
      </c>
      <c r="L991" t="s">
        <v>29</v>
      </c>
      <c r="M991">
        <v>0</v>
      </c>
      <c r="N991" t="s">
        <v>1064</v>
      </c>
      <c r="O991" t="s">
        <v>2564</v>
      </c>
      <c r="P991">
        <v>49.64</v>
      </c>
      <c r="Q991">
        <f t="shared" si="15"/>
        <v>228.06899999999999</v>
      </c>
      <c r="R991">
        <v>406.49799999999999</v>
      </c>
      <c r="S991" s="2">
        <v>45253</v>
      </c>
      <c r="T991" s="2">
        <v>45255</v>
      </c>
      <c r="U991" t="s">
        <v>33</v>
      </c>
      <c r="V991">
        <v>23</v>
      </c>
      <c r="W991">
        <v>11</v>
      </c>
      <c r="X991" t="s">
        <v>47</v>
      </c>
      <c r="Y991">
        <v>2023</v>
      </c>
      <c r="Z991">
        <v>4</v>
      </c>
      <c r="AA991">
        <v>47</v>
      </c>
    </row>
    <row r="992" spans="1:27" x14ac:dyDescent="0.3">
      <c r="A992" s="2">
        <v>45176</v>
      </c>
      <c r="B992" t="s">
        <v>1</v>
      </c>
      <c r="C992" t="s">
        <v>6</v>
      </c>
      <c r="D992">
        <v>16</v>
      </c>
      <c r="E992">
        <v>144.07</v>
      </c>
      <c r="F992" t="s">
        <v>15</v>
      </c>
      <c r="G992" t="s">
        <v>16</v>
      </c>
      <c r="H992">
        <v>0.1</v>
      </c>
      <c r="I992" t="s">
        <v>18</v>
      </c>
      <c r="J992">
        <v>2074.6080000000002</v>
      </c>
      <c r="K992" t="s">
        <v>27</v>
      </c>
      <c r="L992" t="s">
        <v>29</v>
      </c>
      <c r="M992">
        <v>0</v>
      </c>
      <c r="N992" t="s">
        <v>1065</v>
      </c>
      <c r="O992" t="s">
        <v>2565</v>
      </c>
      <c r="P992">
        <v>7.33</v>
      </c>
      <c r="Q992">
        <f t="shared" si="15"/>
        <v>129.66300000000001</v>
      </c>
      <c r="R992">
        <v>2067.2780000000002</v>
      </c>
      <c r="S992" s="2">
        <v>45176</v>
      </c>
      <c r="T992" s="2">
        <v>45178</v>
      </c>
      <c r="U992" t="s">
        <v>34</v>
      </c>
      <c r="V992">
        <v>7</v>
      </c>
      <c r="W992">
        <v>9</v>
      </c>
      <c r="X992" t="s">
        <v>49</v>
      </c>
      <c r="Y992">
        <v>2023</v>
      </c>
      <c r="Z992">
        <v>3</v>
      </c>
      <c r="AA992">
        <v>36</v>
      </c>
    </row>
    <row r="993" spans="1:27" x14ac:dyDescent="0.3">
      <c r="A993" s="2">
        <v>45323</v>
      </c>
      <c r="B993" t="s">
        <v>4</v>
      </c>
      <c r="C993" t="s">
        <v>9</v>
      </c>
      <c r="D993">
        <v>11</v>
      </c>
      <c r="E993">
        <v>201.09</v>
      </c>
      <c r="F993" t="s">
        <v>14</v>
      </c>
      <c r="G993" t="s">
        <v>17</v>
      </c>
      <c r="H993">
        <v>0.15</v>
      </c>
      <c r="I993" t="s">
        <v>21</v>
      </c>
      <c r="J993">
        <v>1880.1914999999999</v>
      </c>
      <c r="K993" t="s">
        <v>28</v>
      </c>
      <c r="L993" t="s">
        <v>32</v>
      </c>
      <c r="M993">
        <v>1</v>
      </c>
      <c r="N993" t="s">
        <v>1066</v>
      </c>
      <c r="O993" t="s">
        <v>2566</v>
      </c>
      <c r="P993">
        <v>48.42</v>
      </c>
      <c r="Q993">
        <f t="shared" si="15"/>
        <v>170.9265</v>
      </c>
      <c r="R993">
        <v>1831.7714999999998</v>
      </c>
      <c r="S993" s="2">
        <v>45323</v>
      </c>
      <c r="T993" s="2">
        <v>45326</v>
      </c>
      <c r="U993" t="s">
        <v>37</v>
      </c>
      <c r="V993">
        <v>1</v>
      </c>
      <c r="W993">
        <v>2</v>
      </c>
      <c r="X993" t="s">
        <v>38</v>
      </c>
      <c r="Y993">
        <v>2024</v>
      </c>
      <c r="Z993">
        <v>1</v>
      </c>
      <c r="AA993">
        <v>5</v>
      </c>
    </row>
    <row r="994" spans="1:27" x14ac:dyDescent="0.3">
      <c r="A994" s="2">
        <v>45785</v>
      </c>
      <c r="B994" t="s">
        <v>1</v>
      </c>
      <c r="C994" t="s">
        <v>8</v>
      </c>
      <c r="D994">
        <v>11</v>
      </c>
      <c r="E994">
        <v>585.45000000000005</v>
      </c>
      <c r="F994" t="s">
        <v>15</v>
      </c>
      <c r="G994" t="s">
        <v>16</v>
      </c>
      <c r="H994">
        <v>0.1</v>
      </c>
      <c r="I994" t="s">
        <v>19</v>
      </c>
      <c r="J994">
        <v>5795.9550000000008</v>
      </c>
      <c r="K994" t="s">
        <v>26</v>
      </c>
      <c r="L994" t="s">
        <v>31</v>
      </c>
      <c r="M994">
        <v>0</v>
      </c>
      <c r="N994" t="s">
        <v>1067</v>
      </c>
      <c r="O994" t="s">
        <v>2567</v>
      </c>
      <c r="P994">
        <v>36.590000000000003</v>
      </c>
      <c r="Q994">
        <f t="shared" si="15"/>
        <v>526.90500000000009</v>
      </c>
      <c r="R994">
        <v>5759.3650000000007</v>
      </c>
      <c r="S994" s="2">
        <v>45785</v>
      </c>
      <c r="T994" s="2">
        <v>45789</v>
      </c>
      <c r="U994" t="s">
        <v>34</v>
      </c>
      <c r="V994">
        <v>8</v>
      </c>
      <c r="W994">
        <v>5</v>
      </c>
      <c r="X994" t="s">
        <v>40</v>
      </c>
      <c r="Y994">
        <v>2025</v>
      </c>
      <c r="Z994">
        <v>2</v>
      </c>
      <c r="AA994">
        <v>19</v>
      </c>
    </row>
    <row r="995" spans="1:27" x14ac:dyDescent="0.3">
      <c r="A995" s="2">
        <v>45674</v>
      </c>
      <c r="B995" t="s">
        <v>2</v>
      </c>
      <c r="C995" t="s">
        <v>5</v>
      </c>
      <c r="D995">
        <v>3</v>
      </c>
      <c r="E995">
        <v>448.77</v>
      </c>
      <c r="F995" t="s">
        <v>13</v>
      </c>
      <c r="G995" t="s">
        <v>17</v>
      </c>
      <c r="H995">
        <v>0</v>
      </c>
      <c r="I995" t="s">
        <v>19</v>
      </c>
      <c r="J995">
        <v>1346.31</v>
      </c>
      <c r="K995" t="s">
        <v>24</v>
      </c>
      <c r="L995" t="s">
        <v>29</v>
      </c>
      <c r="M995">
        <v>0</v>
      </c>
      <c r="N995" t="s">
        <v>1068</v>
      </c>
      <c r="O995" t="s">
        <v>2568</v>
      </c>
      <c r="P995">
        <v>28.5</v>
      </c>
      <c r="Q995">
        <f t="shared" si="15"/>
        <v>448.77</v>
      </c>
      <c r="R995">
        <v>1317.81</v>
      </c>
      <c r="S995" s="2">
        <v>45674</v>
      </c>
      <c r="T995" s="2">
        <v>45681</v>
      </c>
      <c r="U995" t="s">
        <v>35</v>
      </c>
      <c r="V995">
        <v>17</v>
      </c>
      <c r="W995">
        <v>1</v>
      </c>
      <c r="X995" t="s">
        <v>42</v>
      </c>
      <c r="Y995">
        <v>2025</v>
      </c>
      <c r="Z995">
        <v>1</v>
      </c>
      <c r="AA995">
        <v>3</v>
      </c>
    </row>
    <row r="996" spans="1:27" x14ac:dyDescent="0.3">
      <c r="A996" s="2">
        <v>45171</v>
      </c>
      <c r="B996" t="s">
        <v>0</v>
      </c>
      <c r="C996" t="s">
        <v>9</v>
      </c>
      <c r="D996">
        <v>9</v>
      </c>
      <c r="E996">
        <v>184.43</v>
      </c>
      <c r="F996" t="s">
        <v>15</v>
      </c>
      <c r="G996" t="s">
        <v>16</v>
      </c>
      <c r="H996">
        <v>0</v>
      </c>
      <c r="I996" t="s">
        <v>21</v>
      </c>
      <c r="J996">
        <v>1659.87</v>
      </c>
      <c r="K996" t="s">
        <v>24</v>
      </c>
      <c r="L996" t="s">
        <v>31</v>
      </c>
      <c r="M996">
        <v>0</v>
      </c>
      <c r="N996" t="s">
        <v>1069</v>
      </c>
      <c r="O996" t="s">
        <v>2569</v>
      </c>
      <c r="P996">
        <v>30.78</v>
      </c>
      <c r="Q996">
        <f t="shared" si="15"/>
        <v>184.42999999999998</v>
      </c>
      <c r="R996">
        <v>1629.09</v>
      </c>
      <c r="S996" s="2">
        <v>45171</v>
      </c>
      <c r="T996" s="2">
        <v>45177</v>
      </c>
      <c r="U996" t="s">
        <v>33</v>
      </c>
      <c r="V996">
        <v>2</v>
      </c>
      <c r="W996">
        <v>9</v>
      </c>
      <c r="X996" t="s">
        <v>49</v>
      </c>
      <c r="Y996">
        <v>2023</v>
      </c>
      <c r="Z996">
        <v>3</v>
      </c>
      <c r="AA996">
        <v>35</v>
      </c>
    </row>
    <row r="997" spans="1:27" x14ac:dyDescent="0.3">
      <c r="A997" s="2">
        <v>45100</v>
      </c>
      <c r="B997" t="s">
        <v>3</v>
      </c>
      <c r="C997" t="s">
        <v>5</v>
      </c>
      <c r="D997">
        <v>16</v>
      </c>
      <c r="E997">
        <v>594.1</v>
      </c>
      <c r="F997" t="s">
        <v>15</v>
      </c>
      <c r="G997" t="s">
        <v>17</v>
      </c>
      <c r="H997">
        <v>0</v>
      </c>
      <c r="I997" t="s">
        <v>23</v>
      </c>
      <c r="J997">
        <v>9505.6</v>
      </c>
      <c r="K997" t="s">
        <v>25</v>
      </c>
      <c r="L997" t="s">
        <v>29</v>
      </c>
      <c r="M997">
        <v>0</v>
      </c>
      <c r="N997" t="s">
        <v>1070</v>
      </c>
      <c r="O997" t="s">
        <v>2570</v>
      </c>
      <c r="P997">
        <v>18.2</v>
      </c>
      <c r="Q997">
        <f t="shared" si="15"/>
        <v>594.1</v>
      </c>
      <c r="R997">
        <v>9487.4</v>
      </c>
      <c r="S997" s="2">
        <v>45100</v>
      </c>
      <c r="T997" s="2">
        <v>45108</v>
      </c>
      <c r="U997" t="s">
        <v>36</v>
      </c>
      <c r="V997">
        <v>23</v>
      </c>
      <c r="W997">
        <v>6</v>
      </c>
      <c r="X997" t="s">
        <v>41</v>
      </c>
      <c r="Y997">
        <v>2023</v>
      </c>
      <c r="Z997">
        <v>2</v>
      </c>
      <c r="AA997">
        <v>25</v>
      </c>
    </row>
    <row r="998" spans="1:27" x14ac:dyDescent="0.3">
      <c r="A998" s="2">
        <v>45311</v>
      </c>
      <c r="B998" t="s">
        <v>0</v>
      </c>
      <c r="C998" t="s">
        <v>5</v>
      </c>
      <c r="D998">
        <v>19</v>
      </c>
      <c r="E998">
        <v>482.07</v>
      </c>
      <c r="F998" t="s">
        <v>12</v>
      </c>
      <c r="G998" t="s">
        <v>16</v>
      </c>
      <c r="H998">
        <v>0.1</v>
      </c>
      <c r="I998" t="s">
        <v>23</v>
      </c>
      <c r="J998">
        <v>8243.3970000000008</v>
      </c>
      <c r="K998" t="s">
        <v>26</v>
      </c>
      <c r="L998" t="s">
        <v>32</v>
      </c>
      <c r="M998">
        <v>0</v>
      </c>
      <c r="N998" t="s">
        <v>1071</v>
      </c>
      <c r="O998" t="s">
        <v>2571</v>
      </c>
      <c r="P998">
        <v>25.96</v>
      </c>
      <c r="Q998">
        <f t="shared" si="15"/>
        <v>433.86300000000006</v>
      </c>
      <c r="R998">
        <v>8217.4370000000017</v>
      </c>
      <c r="S998" s="2">
        <v>45311</v>
      </c>
      <c r="T998" s="2">
        <v>45317</v>
      </c>
      <c r="U998" t="s">
        <v>33</v>
      </c>
      <c r="V998">
        <v>20</v>
      </c>
      <c r="W998">
        <v>1</v>
      </c>
      <c r="X998" t="s">
        <v>42</v>
      </c>
      <c r="Y998">
        <v>2024</v>
      </c>
      <c r="Z998">
        <v>1</v>
      </c>
      <c r="AA998">
        <v>3</v>
      </c>
    </row>
    <row r="999" spans="1:27" x14ac:dyDescent="0.3">
      <c r="A999" s="2">
        <v>45469</v>
      </c>
      <c r="B999" t="s">
        <v>0</v>
      </c>
      <c r="C999" t="s">
        <v>8</v>
      </c>
      <c r="D999">
        <v>20</v>
      </c>
      <c r="E999">
        <v>75.45</v>
      </c>
      <c r="F999" t="s">
        <v>12</v>
      </c>
      <c r="G999" t="s">
        <v>16</v>
      </c>
      <c r="H999">
        <v>0.05</v>
      </c>
      <c r="I999" t="s">
        <v>18</v>
      </c>
      <c r="J999">
        <v>1433.55</v>
      </c>
      <c r="K999" t="s">
        <v>26</v>
      </c>
      <c r="L999" t="s">
        <v>30</v>
      </c>
      <c r="M999">
        <v>0</v>
      </c>
      <c r="N999" t="s">
        <v>1072</v>
      </c>
      <c r="O999" t="s">
        <v>2572</v>
      </c>
      <c r="P999">
        <v>44.77</v>
      </c>
      <c r="Q999">
        <f t="shared" si="15"/>
        <v>71.677499999999995</v>
      </c>
      <c r="R999">
        <v>1388.78</v>
      </c>
      <c r="S999" s="2">
        <v>45469</v>
      </c>
      <c r="T999" s="2">
        <v>45479</v>
      </c>
      <c r="U999" t="s">
        <v>33</v>
      </c>
      <c r="V999">
        <v>26</v>
      </c>
      <c r="W999">
        <v>6</v>
      </c>
      <c r="X999" t="s">
        <v>41</v>
      </c>
      <c r="Y999">
        <v>2024</v>
      </c>
      <c r="Z999">
        <v>2</v>
      </c>
      <c r="AA999">
        <v>26</v>
      </c>
    </row>
    <row r="1000" spans="1:27" x14ac:dyDescent="0.3">
      <c r="A1000" s="2">
        <v>45638</v>
      </c>
      <c r="B1000" t="s">
        <v>3</v>
      </c>
      <c r="C1000" t="s">
        <v>9</v>
      </c>
      <c r="D1000">
        <v>2</v>
      </c>
      <c r="E1000">
        <v>494.22</v>
      </c>
      <c r="F1000" t="s">
        <v>14</v>
      </c>
      <c r="G1000" t="s">
        <v>17</v>
      </c>
      <c r="H1000">
        <v>0.1</v>
      </c>
      <c r="I1000" t="s">
        <v>21</v>
      </c>
      <c r="J1000">
        <v>889.59600000000012</v>
      </c>
      <c r="K1000" t="s">
        <v>25</v>
      </c>
      <c r="L1000" t="s">
        <v>29</v>
      </c>
      <c r="M1000">
        <v>0</v>
      </c>
      <c r="N1000" t="s">
        <v>1073</v>
      </c>
      <c r="O1000" t="s">
        <v>2573</v>
      </c>
      <c r="P1000">
        <v>13.45</v>
      </c>
      <c r="Q1000">
        <f t="shared" si="15"/>
        <v>444.79800000000006</v>
      </c>
      <c r="R1000">
        <v>876.14600000000007</v>
      </c>
      <c r="S1000" s="2">
        <v>45638</v>
      </c>
      <c r="T1000" s="2">
        <v>45643</v>
      </c>
      <c r="U1000" t="s">
        <v>36</v>
      </c>
      <c r="V1000">
        <v>12</v>
      </c>
      <c r="W1000">
        <v>12</v>
      </c>
      <c r="X1000" t="s">
        <v>39</v>
      </c>
      <c r="Y1000">
        <v>2024</v>
      </c>
      <c r="Z1000">
        <v>4</v>
      </c>
      <c r="AA1000">
        <v>50</v>
      </c>
    </row>
    <row r="1001" spans="1:27" x14ac:dyDescent="0.3">
      <c r="A1001" s="2">
        <v>45343</v>
      </c>
      <c r="B1001" t="s">
        <v>0</v>
      </c>
      <c r="C1001" t="s">
        <v>5</v>
      </c>
      <c r="D1001">
        <v>15</v>
      </c>
      <c r="E1001">
        <v>112.82</v>
      </c>
      <c r="F1001" t="s">
        <v>12</v>
      </c>
      <c r="G1001" t="s">
        <v>16</v>
      </c>
      <c r="H1001">
        <v>0.05</v>
      </c>
      <c r="I1001" t="s">
        <v>20</v>
      </c>
      <c r="J1001">
        <v>1607.6849999999999</v>
      </c>
      <c r="K1001" t="s">
        <v>26</v>
      </c>
      <c r="L1001" t="s">
        <v>31</v>
      </c>
      <c r="M1001">
        <v>0</v>
      </c>
      <c r="N1001" t="s">
        <v>1074</v>
      </c>
      <c r="O1001" t="s">
        <v>2574</v>
      </c>
      <c r="P1001">
        <v>18.21</v>
      </c>
      <c r="Q1001">
        <f t="shared" si="15"/>
        <v>107.179</v>
      </c>
      <c r="R1001">
        <v>1589.4749999999999</v>
      </c>
      <c r="S1001" s="2">
        <v>45343</v>
      </c>
      <c r="T1001" s="2">
        <v>45352</v>
      </c>
      <c r="U1001" t="s">
        <v>33</v>
      </c>
      <c r="V1001">
        <v>21</v>
      </c>
      <c r="W1001">
        <v>2</v>
      </c>
      <c r="X1001" t="s">
        <v>38</v>
      </c>
      <c r="Y1001">
        <v>2024</v>
      </c>
      <c r="Z1001">
        <v>1</v>
      </c>
      <c r="AA1001">
        <v>8</v>
      </c>
    </row>
    <row r="1002" spans="1:27" x14ac:dyDescent="0.3">
      <c r="A1002" s="2">
        <v>45125</v>
      </c>
      <c r="B1002" t="s">
        <v>0</v>
      </c>
      <c r="C1002" t="s">
        <v>7</v>
      </c>
      <c r="D1002">
        <v>3</v>
      </c>
      <c r="E1002">
        <v>121.56</v>
      </c>
      <c r="F1002" t="s">
        <v>15</v>
      </c>
      <c r="G1002" t="s">
        <v>16</v>
      </c>
      <c r="H1002">
        <v>0</v>
      </c>
      <c r="I1002" t="s">
        <v>18</v>
      </c>
      <c r="J1002">
        <v>364.68</v>
      </c>
      <c r="K1002" t="s">
        <v>27</v>
      </c>
      <c r="L1002" t="s">
        <v>31</v>
      </c>
      <c r="M1002">
        <v>0</v>
      </c>
      <c r="N1002" t="s">
        <v>1075</v>
      </c>
      <c r="O1002" t="s">
        <v>2575</v>
      </c>
      <c r="P1002">
        <v>29.06</v>
      </c>
      <c r="Q1002">
        <f t="shared" si="15"/>
        <v>121.56</v>
      </c>
      <c r="R1002">
        <v>335.62</v>
      </c>
      <c r="S1002" s="2">
        <v>45125</v>
      </c>
      <c r="T1002" s="2">
        <v>45132</v>
      </c>
      <c r="U1002" t="s">
        <v>33</v>
      </c>
      <c r="V1002">
        <v>18</v>
      </c>
      <c r="W1002">
        <v>7</v>
      </c>
      <c r="X1002" t="s">
        <v>46</v>
      </c>
      <c r="Y1002">
        <v>2023</v>
      </c>
      <c r="Z1002">
        <v>3</v>
      </c>
      <c r="AA1002">
        <v>29</v>
      </c>
    </row>
    <row r="1003" spans="1:27" x14ac:dyDescent="0.3">
      <c r="A1003" s="2">
        <v>45567</v>
      </c>
      <c r="B1003" t="s">
        <v>2</v>
      </c>
      <c r="C1003" t="s">
        <v>7</v>
      </c>
      <c r="D1003">
        <v>12</v>
      </c>
      <c r="E1003">
        <v>465.94</v>
      </c>
      <c r="F1003" t="s">
        <v>15</v>
      </c>
      <c r="G1003" t="s">
        <v>16</v>
      </c>
      <c r="H1003">
        <v>0</v>
      </c>
      <c r="I1003" t="s">
        <v>19</v>
      </c>
      <c r="J1003">
        <v>5591.28</v>
      </c>
      <c r="K1003" t="s">
        <v>26</v>
      </c>
      <c r="L1003" t="s">
        <v>31</v>
      </c>
      <c r="M1003">
        <v>0</v>
      </c>
      <c r="N1003" t="s">
        <v>1076</v>
      </c>
      <c r="O1003" t="s">
        <v>2576</v>
      </c>
      <c r="P1003">
        <v>34.159999999999997</v>
      </c>
      <c r="Q1003">
        <f t="shared" si="15"/>
        <v>465.94</v>
      </c>
      <c r="R1003">
        <v>5557.12</v>
      </c>
      <c r="S1003" s="2">
        <v>45567</v>
      </c>
      <c r="T1003" s="2">
        <v>45571</v>
      </c>
      <c r="U1003" t="s">
        <v>35</v>
      </c>
      <c r="V1003">
        <v>2</v>
      </c>
      <c r="W1003">
        <v>10</v>
      </c>
      <c r="X1003" t="s">
        <v>43</v>
      </c>
      <c r="Y1003">
        <v>2024</v>
      </c>
      <c r="Z1003">
        <v>4</v>
      </c>
      <c r="AA1003">
        <v>40</v>
      </c>
    </row>
    <row r="1004" spans="1:27" x14ac:dyDescent="0.3">
      <c r="A1004" s="2">
        <v>45627</v>
      </c>
      <c r="B1004" t="s">
        <v>4</v>
      </c>
      <c r="C1004" t="s">
        <v>6</v>
      </c>
      <c r="D1004">
        <v>12</v>
      </c>
      <c r="E1004">
        <v>187.8</v>
      </c>
      <c r="F1004" t="s">
        <v>15</v>
      </c>
      <c r="G1004" t="s">
        <v>16</v>
      </c>
      <c r="H1004">
        <v>0.15</v>
      </c>
      <c r="I1004" t="s">
        <v>22</v>
      </c>
      <c r="J1004">
        <v>1915.56</v>
      </c>
      <c r="K1004" t="s">
        <v>24</v>
      </c>
      <c r="L1004" t="s">
        <v>29</v>
      </c>
      <c r="M1004">
        <v>0</v>
      </c>
      <c r="N1004" t="s">
        <v>1077</v>
      </c>
      <c r="O1004" t="s">
        <v>2577</v>
      </c>
      <c r="P1004">
        <v>17.739999999999998</v>
      </c>
      <c r="Q1004">
        <f t="shared" si="15"/>
        <v>159.63</v>
      </c>
      <c r="R1004">
        <v>1897.82</v>
      </c>
      <c r="S1004" s="2">
        <v>45627</v>
      </c>
      <c r="T1004" s="2">
        <v>45630</v>
      </c>
      <c r="U1004" t="s">
        <v>37</v>
      </c>
      <c r="V1004">
        <v>1</v>
      </c>
      <c r="W1004">
        <v>12</v>
      </c>
      <c r="X1004" t="s">
        <v>39</v>
      </c>
      <c r="Y1004">
        <v>2024</v>
      </c>
      <c r="Z1004">
        <v>4</v>
      </c>
      <c r="AA1004">
        <v>48</v>
      </c>
    </row>
    <row r="1005" spans="1:27" x14ac:dyDescent="0.3">
      <c r="A1005" s="2">
        <v>45538</v>
      </c>
      <c r="B1005" t="s">
        <v>0</v>
      </c>
      <c r="C1005" t="s">
        <v>7</v>
      </c>
      <c r="D1005">
        <v>1</v>
      </c>
      <c r="E1005">
        <v>561.29999999999995</v>
      </c>
      <c r="F1005" t="s">
        <v>15</v>
      </c>
      <c r="G1005" t="s">
        <v>17</v>
      </c>
      <c r="H1005">
        <v>0.15</v>
      </c>
      <c r="I1005" t="s">
        <v>20</v>
      </c>
      <c r="J1005">
        <v>477.10500000000002</v>
      </c>
      <c r="K1005" t="s">
        <v>25</v>
      </c>
      <c r="L1005" t="s">
        <v>32</v>
      </c>
      <c r="M1005">
        <v>0</v>
      </c>
      <c r="N1005" t="s">
        <v>1078</v>
      </c>
      <c r="O1005" t="s">
        <v>2578</v>
      </c>
      <c r="P1005">
        <v>5.19</v>
      </c>
      <c r="Q1005">
        <f t="shared" si="15"/>
        <v>477.10500000000002</v>
      </c>
      <c r="R1005">
        <v>471.91500000000002</v>
      </c>
      <c r="S1005" s="2">
        <v>45538</v>
      </c>
      <c r="T1005" s="2">
        <v>45547</v>
      </c>
      <c r="U1005" t="s">
        <v>33</v>
      </c>
      <c r="V1005">
        <v>3</v>
      </c>
      <c r="W1005">
        <v>9</v>
      </c>
      <c r="X1005" t="s">
        <v>49</v>
      </c>
      <c r="Y1005">
        <v>2024</v>
      </c>
      <c r="Z1005">
        <v>3</v>
      </c>
      <c r="AA1005">
        <v>36</v>
      </c>
    </row>
    <row r="1006" spans="1:27" x14ac:dyDescent="0.3">
      <c r="A1006" s="2">
        <v>45710</v>
      </c>
      <c r="B1006" t="s">
        <v>4</v>
      </c>
      <c r="C1006" t="s">
        <v>11</v>
      </c>
      <c r="D1006">
        <v>7</v>
      </c>
      <c r="E1006">
        <v>178.26</v>
      </c>
      <c r="F1006" t="s">
        <v>14</v>
      </c>
      <c r="G1006" t="s">
        <v>17</v>
      </c>
      <c r="H1006">
        <v>0.15</v>
      </c>
      <c r="I1006" t="s">
        <v>23</v>
      </c>
      <c r="J1006">
        <v>1060.6469999999999</v>
      </c>
      <c r="K1006" t="s">
        <v>24</v>
      </c>
      <c r="L1006" t="s">
        <v>29</v>
      </c>
      <c r="M1006">
        <v>0</v>
      </c>
      <c r="N1006" t="s">
        <v>1079</v>
      </c>
      <c r="O1006" t="s">
        <v>2579</v>
      </c>
      <c r="P1006">
        <v>44.91</v>
      </c>
      <c r="Q1006">
        <f t="shared" si="15"/>
        <v>151.52099999999999</v>
      </c>
      <c r="R1006">
        <v>1015.737</v>
      </c>
      <c r="S1006" s="2">
        <v>45710</v>
      </c>
      <c r="T1006" s="2">
        <v>45717</v>
      </c>
      <c r="U1006" t="s">
        <v>37</v>
      </c>
      <c r="V1006">
        <v>22</v>
      </c>
      <c r="W1006">
        <v>2</v>
      </c>
      <c r="X1006" t="s">
        <v>38</v>
      </c>
      <c r="Y1006">
        <v>2025</v>
      </c>
      <c r="Z1006">
        <v>1</v>
      </c>
      <c r="AA1006">
        <v>8</v>
      </c>
    </row>
    <row r="1007" spans="1:27" x14ac:dyDescent="0.3">
      <c r="A1007" s="2">
        <v>45788</v>
      </c>
      <c r="B1007" t="s">
        <v>4</v>
      </c>
      <c r="C1007" t="s">
        <v>9</v>
      </c>
      <c r="D1007">
        <v>20</v>
      </c>
      <c r="E1007">
        <v>552.83000000000004</v>
      </c>
      <c r="F1007" t="s">
        <v>15</v>
      </c>
      <c r="G1007" t="s">
        <v>17</v>
      </c>
      <c r="H1007">
        <v>0.15</v>
      </c>
      <c r="I1007" t="s">
        <v>18</v>
      </c>
      <c r="J1007">
        <v>9398.11</v>
      </c>
      <c r="K1007" t="s">
        <v>24</v>
      </c>
      <c r="L1007" t="s">
        <v>29</v>
      </c>
      <c r="M1007">
        <v>1</v>
      </c>
      <c r="N1007" t="s">
        <v>1080</v>
      </c>
      <c r="O1007" t="s">
        <v>2580</v>
      </c>
      <c r="P1007">
        <v>20.5</v>
      </c>
      <c r="Q1007">
        <f t="shared" si="15"/>
        <v>469.90550000000002</v>
      </c>
      <c r="R1007">
        <v>9377.61</v>
      </c>
      <c r="S1007" s="2">
        <v>45788</v>
      </c>
      <c r="T1007" s="2">
        <v>45790</v>
      </c>
      <c r="U1007" t="s">
        <v>37</v>
      </c>
      <c r="V1007">
        <v>11</v>
      </c>
      <c r="W1007">
        <v>5</v>
      </c>
      <c r="X1007" t="s">
        <v>40</v>
      </c>
      <c r="Y1007">
        <v>2025</v>
      </c>
      <c r="Z1007">
        <v>2</v>
      </c>
      <c r="AA1007">
        <v>19</v>
      </c>
    </row>
    <row r="1008" spans="1:27" x14ac:dyDescent="0.3">
      <c r="A1008" s="2">
        <v>45646</v>
      </c>
      <c r="B1008" t="s">
        <v>3</v>
      </c>
      <c r="C1008" t="s">
        <v>10</v>
      </c>
      <c r="D1008">
        <v>2</v>
      </c>
      <c r="E1008">
        <v>458.25</v>
      </c>
      <c r="F1008" t="s">
        <v>12</v>
      </c>
      <c r="G1008" t="s">
        <v>16</v>
      </c>
      <c r="H1008">
        <v>0</v>
      </c>
      <c r="I1008" t="s">
        <v>18</v>
      </c>
      <c r="J1008">
        <v>916.5</v>
      </c>
      <c r="K1008" t="s">
        <v>25</v>
      </c>
      <c r="L1008" t="s">
        <v>30</v>
      </c>
      <c r="M1008">
        <v>0</v>
      </c>
      <c r="N1008" t="s">
        <v>1081</v>
      </c>
      <c r="O1008" t="s">
        <v>2581</v>
      </c>
      <c r="P1008">
        <v>25.94</v>
      </c>
      <c r="Q1008">
        <f t="shared" si="15"/>
        <v>458.25</v>
      </c>
      <c r="R1008">
        <v>890.56</v>
      </c>
      <c r="S1008" s="2">
        <v>45646</v>
      </c>
      <c r="T1008" s="2">
        <v>45655</v>
      </c>
      <c r="U1008" t="s">
        <v>36</v>
      </c>
      <c r="V1008">
        <v>20</v>
      </c>
      <c r="W1008">
        <v>12</v>
      </c>
      <c r="X1008" t="s">
        <v>39</v>
      </c>
      <c r="Y1008">
        <v>2024</v>
      </c>
      <c r="Z1008">
        <v>4</v>
      </c>
      <c r="AA1008">
        <v>51</v>
      </c>
    </row>
    <row r="1009" spans="1:27" x14ac:dyDescent="0.3">
      <c r="A1009" s="2">
        <v>45034</v>
      </c>
      <c r="B1009" t="s">
        <v>0</v>
      </c>
      <c r="C1009" t="s">
        <v>5</v>
      </c>
      <c r="D1009">
        <v>2</v>
      </c>
      <c r="E1009">
        <v>129.43</v>
      </c>
      <c r="F1009" t="s">
        <v>15</v>
      </c>
      <c r="G1009" t="s">
        <v>17</v>
      </c>
      <c r="H1009">
        <v>0.05</v>
      </c>
      <c r="I1009" t="s">
        <v>19</v>
      </c>
      <c r="J1009">
        <v>245.917</v>
      </c>
      <c r="K1009" t="s">
        <v>27</v>
      </c>
      <c r="L1009" t="s">
        <v>29</v>
      </c>
      <c r="M1009">
        <v>0</v>
      </c>
      <c r="N1009" t="s">
        <v>1082</v>
      </c>
      <c r="O1009" t="s">
        <v>2582</v>
      </c>
      <c r="P1009">
        <v>6.91</v>
      </c>
      <c r="Q1009">
        <f t="shared" si="15"/>
        <v>122.9585</v>
      </c>
      <c r="R1009">
        <v>239.00700000000001</v>
      </c>
      <c r="S1009" s="2">
        <v>45034</v>
      </c>
      <c r="T1009" s="2">
        <v>45037</v>
      </c>
      <c r="U1009" t="s">
        <v>33</v>
      </c>
      <c r="V1009">
        <v>18</v>
      </c>
      <c r="W1009">
        <v>4</v>
      </c>
      <c r="X1009" t="s">
        <v>45</v>
      </c>
      <c r="Y1009">
        <v>2023</v>
      </c>
      <c r="Z1009">
        <v>2</v>
      </c>
      <c r="AA1009">
        <v>16</v>
      </c>
    </row>
    <row r="1010" spans="1:27" x14ac:dyDescent="0.3">
      <c r="A1010" s="2">
        <v>45533</v>
      </c>
      <c r="B1010" t="s">
        <v>0</v>
      </c>
      <c r="C1010" t="s">
        <v>11</v>
      </c>
      <c r="D1010">
        <v>19</v>
      </c>
      <c r="E1010">
        <v>448.21</v>
      </c>
      <c r="F1010" t="s">
        <v>14</v>
      </c>
      <c r="G1010" t="s">
        <v>16</v>
      </c>
      <c r="H1010">
        <v>0.1</v>
      </c>
      <c r="I1010" t="s">
        <v>19</v>
      </c>
      <c r="J1010">
        <v>7664.3909999999996</v>
      </c>
      <c r="K1010" t="s">
        <v>27</v>
      </c>
      <c r="L1010" t="s">
        <v>31</v>
      </c>
      <c r="M1010">
        <v>0</v>
      </c>
      <c r="N1010" t="s">
        <v>1083</v>
      </c>
      <c r="O1010" t="s">
        <v>2583</v>
      </c>
      <c r="P1010">
        <v>30.71</v>
      </c>
      <c r="Q1010">
        <f t="shared" si="15"/>
        <v>403.38899999999995</v>
      </c>
      <c r="R1010">
        <v>7633.6809999999996</v>
      </c>
      <c r="S1010" s="2">
        <v>45533</v>
      </c>
      <c r="T1010" s="2">
        <v>45538</v>
      </c>
      <c r="U1010" t="s">
        <v>33</v>
      </c>
      <c r="V1010">
        <v>29</v>
      </c>
      <c r="W1010">
        <v>8</v>
      </c>
      <c r="X1010" t="s">
        <v>48</v>
      </c>
      <c r="Y1010">
        <v>2024</v>
      </c>
      <c r="Z1010">
        <v>3</v>
      </c>
      <c r="AA1010">
        <v>35</v>
      </c>
    </row>
    <row r="1011" spans="1:27" x14ac:dyDescent="0.3">
      <c r="A1011" s="2">
        <v>45172</v>
      </c>
      <c r="B1011" t="s">
        <v>2</v>
      </c>
      <c r="C1011" t="s">
        <v>7</v>
      </c>
      <c r="D1011">
        <v>16</v>
      </c>
      <c r="E1011">
        <v>440.48</v>
      </c>
      <c r="F1011" t="s">
        <v>12</v>
      </c>
      <c r="G1011" t="s">
        <v>17</v>
      </c>
      <c r="H1011">
        <v>0.05</v>
      </c>
      <c r="I1011" t="s">
        <v>20</v>
      </c>
      <c r="J1011">
        <v>6695.2960000000003</v>
      </c>
      <c r="K1011" t="s">
        <v>28</v>
      </c>
      <c r="L1011" t="s">
        <v>29</v>
      </c>
      <c r="M1011">
        <v>1</v>
      </c>
      <c r="N1011" t="s">
        <v>1084</v>
      </c>
      <c r="O1011" t="s">
        <v>2584</v>
      </c>
      <c r="P1011">
        <v>26.87</v>
      </c>
      <c r="Q1011">
        <f t="shared" si="15"/>
        <v>418.45600000000002</v>
      </c>
      <c r="R1011">
        <v>6668.4260000000004</v>
      </c>
      <c r="S1011" s="2">
        <v>45172</v>
      </c>
      <c r="T1011" s="2">
        <v>45179</v>
      </c>
      <c r="U1011" t="s">
        <v>35</v>
      </c>
      <c r="V1011">
        <v>3</v>
      </c>
      <c r="W1011">
        <v>9</v>
      </c>
      <c r="X1011" t="s">
        <v>49</v>
      </c>
      <c r="Y1011">
        <v>2023</v>
      </c>
      <c r="Z1011">
        <v>3</v>
      </c>
      <c r="AA1011">
        <v>35</v>
      </c>
    </row>
    <row r="1012" spans="1:27" x14ac:dyDescent="0.3">
      <c r="A1012" s="2">
        <v>45796</v>
      </c>
      <c r="B1012" t="s">
        <v>0</v>
      </c>
      <c r="C1012" t="s">
        <v>5</v>
      </c>
      <c r="D1012">
        <v>8</v>
      </c>
      <c r="E1012">
        <v>262.62</v>
      </c>
      <c r="F1012" t="s">
        <v>14</v>
      </c>
      <c r="G1012" t="s">
        <v>16</v>
      </c>
      <c r="H1012">
        <v>0</v>
      </c>
      <c r="I1012" t="s">
        <v>19</v>
      </c>
      <c r="J1012">
        <v>2100.96</v>
      </c>
      <c r="K1012" t="s">
        <v>28</v>
      </c>
      <c r="L1012" t="s">
        <v>29</v>
      </c>
      <c r="M1012">
        <v>1</v>
      </c>
      <c r="N1012" t="s">
        <v>1085</v>
      </c>
      <c r="O1012" t="s">
        <v>2585</v>
      </c>
      <c r="P1012">
        <v>36.729999999999997</v>
      </c>
      <c r="Q1012">
        <f t="shared" si="15"/>
        <v>262.62</v>
      </c>
      <c r="R1012">
        <v>2064.23</v>
      </c>
      <c r="S1012" s="2">
        <v>45796</v>
      </c>
      <c r="T1012" s="2">
        <v>45801</v>
      </c>
      <c r="U1012" t="s">
        <v>33</v>
      </c>
      <c r="V1012">
        <v>19</v>
      </c>
      <c r="W1012">
        <v>5</v>
      </c>
      <c r="X1012" t="s">
        <v>40</v>
      </c>
      <c r="Y1012">
        <v>2025</v>
      </c>
      <c r="Z1012">
        <v>2</v>
      </c>
      <c r="AA1012">
        <v>21</v>
      </c>
    </row>
    <row r="1013" spans="1:27" x14ac:dyDescent="0.3">
      <c r="A1013" s="2">
        <v>45095</v>
      </c>
      <c r="B1013" t="s">
        <v>0</v>
      </c>
      <c r="C1013" t="s">
        <v>10</v>
      </c>
      <c r="D1013">
        <v>15</v>
      </c>
      <c r="E1013">
        <v>124.91</v>
      </c>
      <c r="F1013" t="s">
        <v>13</v>
      </c>
      <c r="G1013" t="s">
        <v>16</v>
      </c>
      <c r="H1013">
        <v>0.1</v>
      </c>
      <c r="I1013" t="s">
        <v>18</v>
      </c>
      <c r="J1013">
        <v>1686.2850000000001</v>
      </c>
      <c r="K1013" t="s">
        <v>25</v>
      </c>
      <c r="L1013" t="s">
        <v>29</v>
      </c>
      <c r="M1013">
        <v>0</v>
      </c>
      <c r="N1013" t="s">
        <v>1086</v>
      </c>
      <c r="O1013" t="s">
        <v>2586</v>
      </c>
      <c r="P1013">
        <v>31.95</v>
      </c>
      <c r="Q1013">
        <f t="shared" si="15"/>
        <v>112.41900000000001</v>
      </c>
      <c r="R1013">
        <v>1654.335</v>
      </c>
      <c r="S1013" s="2">
        <v>45095</v>
      </c>
      <c r="T1013" s="2">
        <v>45103</v>
      </c>
      <c r="U1013" t="s">
        <v>33</v>
      </c>
      <c r="V1013">
        <v>18</v>
      </c>
      <c r="W1013">
        <v>6</v>
      </c>
      <c r="X1013" t="s">
        <v>41</v>
      </c>
      <c r="Y1013">
        <v>2023</v>
      </c>
      <c r="Z1013">
        <v>2</v>
      </c>
      <c r="AA1013">
        <v>24</v>
      </c>
    </row>
    <row r="1014" spans="1:27" x14ac:dyDescent="0.3">
      <c r="A1014" s="2">
        <v>45826</v>
      </c>
      <c r="B1014" t="s">
        <v>4</v>
      </c>
      <c r="C1014" t="s">
        <v>9</v>
      </c>
      <c r="D1014">
        <v>9</v>
      </c>
      <c r="E1014">
        <v>391</v>
      </c>
      <c r="F1014" t="s">
        <v>15</v>
      </c>
      <c r="G1014" t="s">
        <v>16</v>
      </c>
      <c r="H1014">
        <v>0.1</v>
      </c>
      <c r="I1014" t="s">
        <v>18</v>
      </c>
      <c r="J1014">
        <v>3167.1</v>
      </c>
      <c r="K1014" t="s">
        <v>27</v>
      </c>
      <c r="L1014" t="s">
        <v>31</v>
      </c>
      <c r="M1014">
        <v>0</v>
      </c>
      <c r="N1014" t="s">
        <v>1087</v>
      </c>
      <c r="O1014" t="s">
        <v>2587</v>
      </c>
      <c r="P1014">
        <v>46.76</v>
      </c>
      <c r="Q1014">
        <f t="shared" si="15"/>
        <v>351.9</v>
      </c>
      <c r="R1014">
        <v>3120.3399999999997</v>
      </c>
      <c r="S1014" s="2">
        <v>45826</v>
      </c>
      <c r="T1014" s="2">
        <v>45830</v>
      </c>
      <c r="U1014" t="s">
        <v>37</v>
      </c>
      <c r="V1014">
        <v>18</v>
      </c>
      <c r="W1014">
        <v>6</v>
      </c>
      <c r="X1014" t="s">
        <v>41</v>
      </c>
      <c r="Y1014">
        <v>2025</v>
      </c>
      <c r="Z1014">
        <v>2</v>
      </c>
      <c r="AA1014">
        <v>25</v>
      </c>
    </row>
    <row r="1015" spans="1:27" x14ac:dyDescent="0.3">
      <c r="A1015" s="2">
        <v>45564</v>
      </c>
      <c r="B1015" t="s">
        <v>1</v>
      </c>
      <c r="C1015" t="s">
        <v>5</v>
      </c>
      <c r="D1015">
        <v>12</v>
      </c>
      <c r="E1015">
        <v>204.15</v>
      </c>
      <c r="F1015" t="s">
        <v>14</v>
      </c>
      <c r="G1015" t="s">
        <v>17</v>
      </c>
      <c r="H1015">
        <v>0.05</v>
      </c>
      <c r="I1015" t="s">
        <v>19</v>
      </c>
      <c r="J1015">
        <v>2327.31</v>
      </c>
      <c r="K1015" t="s">
        <v>27</v>
      </c>
      <c r="L1015" t="s">
        <v>29</v>
      </c>
      <c r="M1015">
        <v>1</v>
      </c>
      <c r="N1015" t="s">
        <v>1088</v>
      </c>
      <c r="O1015" t="s">
        <v>2588</v>
      </c>
      <c r="P1015">
        <v>26.4</v>
      </c>
      <c r="Q1015">
        <f t="shared" si="15"/>
        <v>193.9425</v>
      </c>
      <c r="R1015">
        <v>2300.91</v>
      </c>
      <c r="S1015" s="2">
        <v>45564</v>
      </c>
      <c r="T1015" s="2">
        <v>45572</v>
      </c>
      <c r="U1015" t="s">
        <v>34</v>
      </c>
      <c r="V1015">
        <v>29</v>
      </c>
      <c r="W1015">
        <v>9</v>
      </c>
      <c r="X1015" t="s">
        <v>49</v>
      </c>
      <c r="Y1015">
        <v>2024</v>
      </c>
      <c r="Z1015">
        <v>3</v>
      </c>
      <c r="AA1015">
        <v>39</v>
      </c>
    </row>
    <row r="1016" spans="1:27" x14ac:dyDescent="0.3">
      <c r="A1016" s="2">
        <v>45347</v>
      </c>
      <c r="B1016" t="s">
        <v>0</v>
      </c>
      <c r="C1016" t="s">
        <v>5</v>
      </c>
      <c r="D1016">
        <v>20</v>
      </c>
      <c r="E1016">
        <v>13.64</v>
      </c>
      <c r="F1016" t="s">
        <v>14</v>
      </c>
      <c r="G1016" t="s">
        <v>17</v>
      </c>
      <c r="H1016">
        <v>0.15</v>
      </c>
      <c r="I1016" t="s">
        <v>20</v>
      </c>
      <c r="J1016">
        <v>231.88</v>
      </c>
      <c r="K1016" t="s">
        <v>26</v>
      </c>
      <c r="L1016" t="s">
        <v>30</v>
      </c>
      <c r="M1016">
        <v>0</v>
      </c>
      <c r="N1016" t="s">
        <v>1089</v>
      </c>
      <c r="O1016" t="s">
        <v>2589</v>
      </c>
      <c r="P1016">
        <v>33.6</v>
      </c>
      <c r="Q1016">
        <f t="shared" si="15"/>
        <v>11.593999999999999</v>
      </c>
      <c r="R1016">
        <v>198.28</v>
      </c>
      <c r="S1016" s="2">
        <v>45347</v>
      </c>
      <c r="T1016" s="2">
        <v>45355</v>
      </c>
      <c r="U1016" t="s">
        <v>33</v>
      </c>
      <c r="V1016">
        <v>25</v>
      </c>
      <c r="W1016">
        <v>2</v>
      </c>
      <c r="X1016" t="s">
        <v>38</v>
      </c>
      <c r="Y1016">
        <v>2024</v>
      </c>
      <c r="Z1016">
        <v>1</v>
      </c>
      <c r="AA1016">
        <v>8</v>
      </c>
    </row>
    <row r="1017" spans="1:27" x14ac:dyDescent="0.3">
      <c r="A1017" s="2">
        <v>45372</v>
      </c>
      <c r="B1017" t="s">
        <v>2</v>
      </c>
      <c r="C1017" t="s">
        <v>11</v>
      </c>
      <c r="D1017">
        <v>14</v>
      </c>
      <c r="E1017">
        <v>524.9</v>
      </c>
      <c r="F1017" t="s">
        <v>14</v>
      </c>
      <c r="G1017" t="s">
        <v>16</v>
      </c>
      <c r="H1017">
        <v>0.05</v>
      </c>
      <c r="I1017" t="s">
        <v>19</v>
      </c>
      <c r="J1017">
        <v>6981.1699999999992</v>
      </c>
      <c r="K1017" t="s">
        <v>28</v>
      </c>
      <c r="L1017" t="s">
        <v>29</v>
      </c>
      <c r="M1017">
        <v>1</v>
      </c>
      <c r="N1017" t="s">
        <v>1090</v>
      </c>
      <c r="O1017" t="s">
        <v>2590</v>
      </c>
      <c r="P1017">
        <v>20.23</v>
      </c>
      <c r="Q1017">
        <f t="shared" si="15"/>
        <v>498.65499999999992</v>
      </c>
      <c r="R1017">
        <v>6960.94</v>
      </c>
      <c r="S1017" s="2">
        <v>45372</v>
      </c>
      <c r="T1017" s="2">
        <v>45381</v>
      </c>
      <c r="U1017" t="s">
        <v>35</v>
      </c>
      <c r="V1017">
        <v>21</v>
      </c>
      <c r="W1017">
        <v>3</v>
      </c>
      <c r="X1017" t="s">
        <v>44</v>
      </c>
      <c r="Y1017">
        <v>2024</v>
      </c>
      <c r="Z1017">
        <v>1</v>
      </c>
      <c r="AA1017">
        <v>12</v>
      </c>
    </row>
    <row r="1018" spans="1:27" x14ac:dyDescent="0.3">
      <c r="A1018" s="2">
        <v>45325</v>
      </c>
      <c r="B1018" t="s">
        <v>2</v>
      </c>
      <c r="C1018" t="s">
        <v>5</v>
      </c>
      <c r="D1018">
        <v>8</v>
      </c>
      <c r="E1018">
        <v>143.94999999999999</v>
      </c>
      <c r="F1018" t="s">
        <v>12</v>
      </c>
      <c r="G1018" t="s">
        <v>17</v>
      </c>
      <c r="H1018">
        <v>0.1</v>
      </c>
      <c r="I1018" t="s">
        <v>22</v>
      </c>
      <c r="J1018">
        <v>1036.44</v>
      </c>
      <c r="K1018" t="s">
        <v>28</v>
      </c>
      <c r="L1018" t="s">
        <v>30</v>
      </c>
      <c r="M1018">
        <v>0</v>
      </c>
      <c r="N1018" t="s">
        <v>1091</v>
      </c>
      <c r="O1018" t="s">
        <v>2591</v>
      </c>
      <c r="P1018">
        <v>28.09</v>
      </c>
      <c r="Q1018">
        <f t="shared" si="15"/>
        <v>129.55500000000001</v>
      </c>
      <c r="R1018">
        <v>1008.35</v>
      </c>
      <c r="S1018" s="2">
        <v>45325</v>
      </c>
      <c r="T1018" s="2">
        <v>45331</v>
      </c>
      <c r="U1018" t="s">
        <v>35</v>
      </c>
      <c r="V1018">
        <v>3</v>
      </c>
      <c r="W1018">
        <v>2</v>
      </c>
      <c r="X1018" t="s">
        <v>38</v>
      </c>
      <c r="Y1018">
        <v>2024</v>
      </c>
      <c r="Z1018">
        <v>1</v>
      </c>
      <c r="AA1018">
        <v>5</v>
      </c>
    </row>
    <row r="1019" spans="1:27" x14ac:dyDescent="0.3">
      <c r="A1019" s="2">
        <v>45251</v>
      </c>
      <c r="B1019" t="s">
        <v>1</v>
      </c>
      <c r="C1019" t="s">
        <v>5</v>
      </c>
      <c r="D1019">
        <v>2</v>
      </c>
      <c r="E1019">
        <v>576.84</v>
      </c>
      <c r="F1019" t="s">
        <v>15</v>
      </c>
      <c r="G1019" t="s">
        <v>17</v>
      </c>
      <c r="H1019">
        <v>0.1</v>
      </c>
      <c r="I1019" t="s">
        <v>20</v>
      </c>
      <c r="J1019">
        <v>1038.3119999999999</v>
      </c>
      <c r="K1019" t="s">
        <v>26</v>
      </c>
      <c r="L1019" t="s">
        <v>29</v>
      </c>
      <c r="M1019">
        <v>0</v>
      </c>
      <c r="N1019" t="s">
        <v>1092</v>
      </c>
      <c r="O1019" t="s">
        <v>2592</v>
      </c>
      <c r="P1019">
        <v>43.32</v>
      </c>
      <c r="Q1019">
        <f t="shared" si="15"/>
        <v>519.15599999999995</v>
      </c>
      <c r="R1019">
        <v>994.99199999999985</v>
      </c>
      <c r="S1019" s="2">
        <v>45251</v>
      </c>
      <c r="T1019" s="2">
        <v>45254</v>
      </c>
      <c r="U1019" t="s">
        <v>34</v>
      </c>
      <c r="V1019">
        <v>21</v>
      </c>
      <c r="W1019">
        <v>11</v>
      </c>
      <c r="X1019" t="s">
        <v>47</v>
      </c>
      <c r="Y1019">
        <v>2023</v>
      </c>
      <c r="Z1019">
        <v>4</v>
      </c>
      <c r="AA1019">
        <v>47</v>
      </c>
    </row>
    <row r="1020" spans="1:27" x14ac:dyDescent="0.3">
      <c r="A1020" s="2">
        <v>44936</v>
      </c>
      <c r="B1020" t="s">
        <v>4</v>
      </c>
      <c r="C1020" t="s">
        <v>8</v>
      </c>
      <c r="D1020">
        <v>14</v>
      </c>
      <c r="E1020">
        <v>250.98</v>
      </c>
      <c r="F1020" t="s">
        <v>14</v>
      </c>
      <c r="G1020" t="s">
        <v>17</v>
      </c>
      <c r="H1020">
        <v>0</v>
      </c>
      <c r="I1020" t="s">
        <v>18</v>
      </c>
      <c r="J1020">
        <v>3513.72</v>
      </c>
      <c r="K1020" t="s">
        <v>27</v>
      </c>
      <c r="L1020" t="s">
        <v>32</v>
      </c>
      <c r="M1020">
        <v>0</v>
      </c>
      <c r="N1020" t="s">
        <v>1093</v>
      </c>
      <c r="O1020" t="s">
        <v>2593</v>
      </c>
      <c r="P1020">
        <v>14.94</v>
      </c>
      <c r="Q1020">
        <f t="shared" si="15"/>
        <v>250.98</v>
      </c>
      <c r="R1020">
        <v>3498.7799999999997</v>
      </c>
      <c r="S1020" s="2">
        <v>44936</v>
      </c>
      <c r="T1020" s="2">
        <v>44944</v>
      </c>
      <c r="U1020" t="s">
        <v>37</v>
      </c>
      <c r="V1020">
        <v>10</v>
      </c>
      <c r="W1020">
        <v>1</v>
      </c>
      <c r="X1020" t="s">
        <v>42</v>
      </c>
      <c r="Y1020">
        <v>2023</v>
      </c>
      <c r="Z1020">
        <v>1</v>
      </c>
      <c r="AA1020">
        <v>2</v>
      </c>
    </row>
    <row r="1021" spans="1:27" x14ac:dyDescent="0.3">
      <c r="A1021" s="2">
        <v>44963</v>
      </c>
      <c r="B1021" t="s">
        <v>3</v>
      </c>
      <c r="C1021" t="s">
        <v>6</v>
      </c>
      <c r="D1021">
        <v>7</v>
      </c>
      <c r="E1021">
        <v>335.41</v>
      </c>
      <c r="F1021" t="s">
        <v>14</v>
      </c>
      <c r="G1021" t="s">
        <v>17</v>
      </c>
      <c r="H1021">
        <v>0</v>
      </c>
      <c r="I1021" t="s">
        <v>23</v>
      </c>
      <c r="J1021">
        <v>2347.87</v>
      </c>
      <c r="K1021" t="s">
        <v>24</v>
      </c>
      <c r="L1021" t="s">
        <v>30</v>
      </c>
      <c r="M1021">
        <v>0</v>
      </c>
      <c r="N1021" t="s">
        <v>1094</v>
      </c>
      <c r="O1021" t="s">
        <v>2594</v>
      </c>
      <c r="P1021">
        <v>18.91</v>
      </c>
      <c r="Q1021">
        <f t="shared" si="15"/>
        <v>335.40999999999997</v>
      </c>
      <c r="R1021">
        <v>2328.96</v>
      </c>
      <c r="S1021" s="2">
        <v>44963</v>
      </c>
      <c r="T1021" s="2">
        <v>44967</v>
      </c>
      <c r="U1021" t="s">
        <v>36</v>
      </c>
      <c r="V1021">
        <v>6</v>
      </c>
      <c r="W1021">
        <v>2</v>
      </c>
      <c r="X1021" t="s">
        <v>38</v>
      </c>
      <c r="Y1021">
        <v>2023</v>
      </c>
      <c r="Z1021">
        <v>1</v>
      </c>
      <c r="AA1021">
        <v>6</v>
      </c>
    </row>
    <row r="1022" spans="1:27" x14ac:dyDescent="0.3">
      <c r="A1022" s="2">
        <v>45757</v>
      </c>
      <c r="B1022" t="s">
        <v>2</v>
      </c>
      <c r="C1022" t="s">
        <v>11</v>
      </c>
      <c r="D1022">
        <v>11</v>
      </c>
      <c r="E1022">
        <v>204.5</v>
      </c>
      <c r="F1022" t="s">
        <v>13</v>
      </c>
      <c r="G1022" t="s">
        <v>17</v>
      </c>
      <c r="H1022">
        <v>0</v>
      </c>
      <c r="I1022" t="s">
        <v>18</v>
      </c>
      <c r="J1022">
        <v>2249.5</v>
      </c>
      <c r="K1022" t="s">
        <v>27</v>
      </c>
      <c r="L1022" t="s">
        <v>31</v>
      </c>
      <c r="M1022">
        <v>0</v>
      </c>
      <c r="N1022" t="s">
        <v>1095</v>
      </c>
      <c r="O1022" t="s">
        <v>2595</v>
      </c>
      <c r="P1022">
        <v>13.82</v>
      </c>
      <c r="Q1022">
        <f t="shared" si="15"/>
        <v>204.5</v>
      </c>
      <c r="R1022">
        <v>2235.6799999999998</v>
      </c>
      <c r="S1022" s="2">
        <v>45757</v>
      </c>
      <c r="T1022" s="2">
        <v>45767</v>
      </c>
      <c r="U1022" t="s">
        <v>35</v>
      </c>
      <c r="V1022">
        <v>10</v>
      </c>
      <c r="W1022">
        <v>4</v>
      </c>
      <c r="X1022" t="s">
        <v>45</v>
      </c>
      <c r="Y1022">
        <v>2025</v>
      </c>
      <c r="Z1022">
        <v>2</v>
      </c>
      <c r="AA1022">
        <v>15</v>
      </c>
    </row>
    <row r="1023" spans="1:27" x14ac:dyDescent="0.3">
      <c r="A1023" s="2">
        <v>45336</v>
      </c>
      <c r="B1023" t="s">
        <v>0</v>
      </c>
      <c r="C1023" t="s">
        <v>10</v>
      </c>
      <c r="D1023">
        <v>1</v>
      </c>
      <c r="E1023">
        <v>542.63</v>
      </c>
      <c r="F1023" t="s">
        <v>13</v>
      </c>
      <c r="G1023" t="s">
        <v>17</v>
      </c>
      <c r="H1023">
        <v>0.05</v>
      </c>
      <c r="I1023" t="s">
        <v>21</v>
      </c>
      <c r="J1023">
        <v>515.49849999999992</v>
      </c>
      <c r="K1023" t="s">
        <v>26</v>
      </c>
      <c r="L1023" t="s">
        <v>32</v>
      </c>
      <c r="M1023">
        <v>0</v>
      </c>
      <c r="N1023" t="s">
        <v>1096</v>
      </c>
      <c r="O1023" t="s">
        <v>2596</v>
      </c>
      <c r="P1023">
        <v>33.200000000000003</v>
      </c>
      <c r="Q1023">
        <f t="shared" si="15"/>
        <v>515.49849999999992</v>
      </c>
      <c r="R1023">
        <v>482.29849999999993</v>
      </c>
      <c r="S1023" s="2">
        <v>45336</v>
      </c>
      <c r="T1023" s="2">
        <v>45343</v>
      </c>
      <c r="U1023" t="s">
        <v>33</v>
      </c>
      <c r="V1023">
        <v>14</v>
      </c>
      <c r="W1023">
        <v>2</v>
      </c>
      <c r="X1023" t="s">
        <v>38</v>
      </c>
      <c r="Y1023">
        <v>2024</v>
      </c>
      <c r="Z1023">
        <v>1</v>
      </c>
      <c r="AA1023">
        <v>7</v>
      </c>
    </row>
    <row r="1024" spans="1:27" x14ac:dyDescent="0.3">
      <c r="A1024" s="2">
        <v>45803</v>
      </c>
      <c r="B1024" t="s">
        <v>0</v>
      </c>
      <c r="C1024" t="s">
        <v>6</v>
      </c>
      <c r="D1024">
        <v>1</v>
      </c>
      <c r="E1024">
        <v>204.54</v>
      </c>
      <c r="F1024" t="s">
        <v>15</v>
      </c>
      <c r="G1024" t="s">
        <v>17</v>
      </c>
      <c r="H1024">
        <v>0.1</v>
      </c>
      <c r="I1024" t="s">
        <v>21</v>
      </c>
      <c r="J1024">
        <v>184.08600000000001</v>
      </c>
      <c r="K1024" t="s">
        <v>24</v>
      </c>
      <c r="L1024" t="s">
        <v>32</v>
      </c>
      <c r="M1024">
        <v>1</v>
      </c>
      <c r="N1024" t="s">
        <v>1097</v>
      </c>
      <c r="O1024" t="s">
        <v>2597</v>
      </c>
      <c r="P1024">
        <v>17.760000000000002</v>
      </c>
      <c r="Q1024">
        <f t="shared" si="15"/>
        <v>184.08600000000001</v>
      </c>
      <c r="R1024">
        <v>166.32600000000002</v>
      </c>
      <c r="S1024" s="2">
        <v>45803</v>
      </c>
      <c r="T1024" s="2">
        <v>45806</v>
      </c>
      <c r="U1024" t="s">
        <v>33</v>
      </c>
      <c r="V1024">
        <v>26</v>
      </c>
      <c r="W1024">
        <v>5</v>
      </c>
      <c r="X1024" t="s">
        <v>40</v>
      </c>
      <c r="Y1024">
        <v>2025</v>
      </c>
      <c r="Z1024">
        <v>2</v>
      </c>
      <c r="AA1024">
        <v>22</v>
      </c>
    </row>
    <row r="1025" spans="1:27" x14ac:dyDescent="0.3">
      <c r="A1025" s="2">
        <v>45181</v>
      </c>
      <c r="B1025" t="s">
        <v>4</v>
      </c>
      <c r="C1025" t="s">
        <v>8</v>
      </c>
      <c r="D1025">
        <v>10</v>
      </c>
      <c r="E1025">
        <v>419.58</v>
      </c>
      <c r="F1025" t="s">
        <v>13</v>
      </c>
      <c r="G1025" t="s">
        <v>16</v>
      </c>
      <c r="H1025">
        <v>0.15</v>
      </c>
      <c r="I1025" t="s">
        <v>18</v>
      </c>
      <c r="J1025">
        <v>3566.43</v>
      </c>
      <c r="K1025" t="s">
        <v>27</v>
      </c>
      <c r="L1025" t="s">
        <v>29</v>
      </c>
      <c r="M1025">
        <v>0</v>
      </c>
      <c r="N1025" t="s">
        <v>1098</v>
      </c>
      <c r="O1025" t="s">
        <v>2598</v>
      </c>
      <c r="P1025">
        <v>13.09</v>
      </c>
      <c r="Q1025">
        <f t="shared" si="15"/>
        <v>356.64299999999997</v>
      </c>
      <c r="R1025">
        <v>3553.3399999999997</v>
      </c>
      <c r="S1025" s="2">
        <v>45181</v>
      </c>
      <c r="T1025" s="2">
        <v>45188</v>
      </c>
      <c r="U1025" t="s">
        <v>37</v>
      </c>
      <c r="V1025">
        <v>12</v>
      </c>
      <c r="W1025">
        <v>9</v>
      </c>
      <c r="X1025" t="s">
        <v>49</v>
      </c>
      <c r="Y1025">
        <v>2023</v>
      </c>
      <c r="Z1025">
        <v>3</v>
      </c>
      <c r="AA1025">
        <v>37</v>
      </c>
    </row>
    <row r="1026" spans="1:27" x14ac:dyDescent="0.3">
      <c r="A1026" s="2">
        <v>45063</v>
      </c>
      <c r="B1026" t="s">
        <v>0</v>
      </c>
      <c r="C1026" t="s">
        <v>7</v>
      </c>
      <c r="D1026">
        <v>7</v>
      </c>
      <c r="E1026">
        <v>87.88</v>
      </c>
      <c r="F1026" t="s">
        <v>14</v>
      </c>
      <c r="G1026" t="s">
        <v>16</v>
      </c>
      <c r="H1026">
        <v>0.15</v>
      </c>
      <c r="I1026" t="s">
        <v>19</v>
      </c>
      <c r="J1026">
        <v>522.88599999999997</v>
      </c>
      <c r="K1026" t="s">
        <v>24</v>
      </c>
      <c r="L1026" t="s">
        <v>31</v>
      </c>
      <c r="M1026">
        <v>1</v>
      </c>
      <c r="N1026" t="s">
        <v>1099</v>
      </c>
      <c r="O1026" t="s">
        <v>2599</v>
      </c>
      <c r="P1026">
        <v>22.2</v>
      </c>
      <c r="Q1026">
        <f t="shared" si="15"/>
        <v>74.697999999999993</v>
      </c>
      <c r="R1026">
        <v>500.68599999999998</v>
      </c>
      <c r="S1026" s="2">
        <v>45063</v>
      </c>
      <c r="T1026" s="2">
        <v>45072</v>
      </c>
      <c r="U1026" t="s">
        <v>33</v>
      </c>
      <c r="V1026">
        <v>17</v>
      </c>
      <c r="W1026">
        <v>5</v>
      </c>
      <c r="X1026" t="s">
        <v>40</v>
      </c>
      <c r="Y1026">
        <v>2023</v>
      </c>
      <c r="Z1026">
        <v>2</v>
      </c>
      <c r="AA1026">
        <v>20</v>
      </c>
    </row>
    <row r="1027" spans="1:27" x14ac:dyDescent="0.3">
      <c r="A1027" s="2">
        <v>45320</v>
      </c>
      <c r="B1027" t="s">
        <v>4</v>
      </c>
      <c r="C1027" t="s">
        <v>11</v>
      </c>
      <c r="D1027">
        <v>7</v>
      </c>
      <c r="E1027">
        <v>386.88</v>
      </c>
      <c r="F1027" t="s">
        <v>12</v>
      </c>
      <c r="G1027" t="s">
        <v>16</v>
      </c>
      <c r="H1027">
        <v>0.05</v>
      </c>
      <c r="I1027" t="s">
        <v>21</v>
      </c>
      <c r="J1027">
        <v>2572.752</v>
      </c>
      <c r="K1027" t="s">
        <v>28</v>
      </c>
      <c r="L1027" t="s">
        <v>30</v>
      </c>
      <c r="M1027">
        <v>0</v>
      </c>
      <c r="N1027" t="s">
        <v>1100</v>
      </c>
      <c r="O1027" t="s">
        <v>2600</v>
      </c>
      <c r="P1027">
        <v>38.46</v>
      </c>
      <c r="Q1027">
        <f t="shared" ref="Q1027:Q1090" si="16">J1027/D1027</f>
        <v>367.536</v>
      </c>
      <c r="R1027">
        <v>2534.2919999999999</v>
      </c>
      <c r="S1027" s="2">
        <v>45320</v>
      </c>
      <c r="T1027" s="2">
        <v>45322</v>
      </c>
      <c r="U1027" t="s">
        <v>37</v>
      </c>
      <c r="V1027">
        <v>29</v>
      </c>
      <c r="W1027">
        <v>1</v>
      </c>
      <c r="X1027" t="s">
        <v>42</v>
      </c>
      <c r="Y1027">
        <v>2024</v>
      </c>
      <c r="Z1027">
        <v>1</v>
      </c>
      <c r="AA1027">
        <v>5</v>
      </c>
    </row>
    <row r="1028" spans="1:27" x14ac:dyDescent="0.3">
      <c r="A1028" s="2">
        <v>45786</v>
      </c>
      <c r="B1028" t="s">
        <v>2</v>
      </c>
      <c r="C1028" t="s">
        <v>7</v>
      </c>
      <c r="D1028">
        <v>4</v>
      </c>
      <c r="E1028">
        <v>242.8</v>
      </c>
      <c r="F1028" t="s">
        <v>15</v>
      </c>
      <c r="G1028" t="s">
        <v>16</v>
      </c>
      <c r="H1028">
        <v>0.05</v>
      </c>
      <c r="I1028" t="s">
        <v>22</v>
      </c>
      <c r="J1028">
        <v>922.64</v>
      </c>
      <c r="K1028" t="s">
        <v>27</v>
      </c>
      <c r="L1028" t="s">
        <v>29</v>
      </c>
      <c r="M1028">
        <v>0</v>
      </c>
      <c r="N1028" t="s">
        <v>1101</v>
      </c>
      <c r="O1028" t="s">
        <v>2601</v>
      </c>
      <c r="P1028">
        <v>30.03</v>
      </c>
      <c r="Q1028">
        <f t="shared" si="16"/>
        <v>230.66</v>
      </c>
      <c r="R1028">
        <v>892.61</v>
      </c>
      <c r="S1028" s="2">
        <v>45786</v>
      </c>
      <c r="T1028" s="2">
        <v>45795</v>
      </c>
      <c r="U1028" t="s">
        <v>35</v>
      </c>
      <c r="V1028">
        <v>9</v>
      </c>
      <c r="W1028">
        <v>5</v>
      </c>
      <c r="X1028" t="s">
        <v>40</v>
      </c>
      <c r="Y1028">
        <v>2025</v>
      </c>
      <c r="Z1028">
        <v>2</v>
      </c>
      <c r="AA1028">
        <v>19</v>
      </c>
    </row>
    <row r="1029" spans="1:27" x14ac:dyDescent="0.3">
      <c r="A1029" s="2">
        <v>45387</v>
      </c>
      <c r="B1029" t="s">
        <v>0</v>
      </c>
      <c r="C1029" t="s">
        <v>11</v>
      </c>
      <c r="D1029">
        <v>4</v>
      </c>
      <c r="E1029">
        <v>410.59</v>
      </c>
      <c r="F1029" t="s">
        <v>13</v>
      </c>
      <c r="G1029" t="s">
        <v>17</v>
      </c>
      <c r="H1029">
        <v>0</v>
      </c>
      <c r="I1029" t="s">
        <v>18</v>
      </c>
      <c r="J1029">
        <v>1642.36</v>
      </c>
      <c r="K1029" t="s">
        <v>28</v>
      </c>
      <c r="L1029" t="s">
        <v>32</v>
      </c>
      <c r="M1029">
        <v>0</v>
      </c>
      <c r="N1029" t="s">
        <v>1102</v>
      </c>
      <c r="O1029" t="s">
        <v>2602</v>
      </c>
      <c r="P1029">
        <v>17.36</v>
      </c>
      <c r="Q1029">
        <f t="shared" si="16"/>
        <v>410.59</v>
      </c>
      <c r="R1029">
        <v>1625</v>
      </c>
      <c r="S1029" s="2">
        <v>45387</v>
      </c>
      <c r="T1029" s="2">
        <v>45391</v>
      </c>
      <c r="U1029" t="s">
        <v>33</v>
      </c>
      <c r="V1029">
        <v>5</v>
      </c>
      <c r="W1029">
        <v>4</v>
      </c>
      <c r="X1029" t="s">
        <v>45</v>
      </c>
      <c r="Y1029">
        <v>2024</v>
      </c>
      <c r="Z1029">
        <v>2</v>
      </c>
      <c r="AA1029">
        <v>14</v>
      </c>
    </row>
    <row r="1030" spans="1:27" x14ac:dyDescent="0.3">
      <c r="A1030" s="2">
        <v>45505</v>
      </c>
      <c r="B1030" t="s">
        <v>1</v>
      </c>
      <c r="C1030" t="s">
        <v>8</v>
      </c>
      <c r="D1030">
        <v>3</v>
      </c>
      <c r="E1030">
        <v>10.93</v>
      </c>
      <c r="F1030" t="s">
        <v>15</v>
      </c>
      <c r="G1030" t="s">
        <v>16</v>
      </c>
      <c r="H1030">
        <v>0.15</v>
      </c>
      <c r="I1030" t="s">
        <v>18</v>
      </c>
      <c r="J1030">
        <v>27.871500000000001</v>
      </c>
      <c r="K1030" t="s">
        <v>28</v>
      </c>
      <c r="L1030" t="s">
        <v>29</v>
      </c>
      <c r="M1030">
        <v>0</v>
      </c>
      <c r="N1030" t="s">
        <v>1103</v>
      </c>
      <c r="O1030" t="s">
        <v>2603</v>
      </c>
      <c r="P1030">
        <v>19.010000000000002</v>
      </c>
      <c r="Q1030">
        <f t="shared" si="16"/>
        <v>9.2904999999999998</v>
      </c>
      <c r="R1030">
        <v>8.8614999999999995</v>
      </c>
      <c r="S1030" s="2">
        <v>45505</v>
      </c>
      <c r="T1030" s="2">
        <v>45514</v>
      </c>
      <c r="U1030" t="s">
        <v>34</v>
      </c>
      <c r="V1030">
        <v>1</v>
      </c>
      <c r="W1030">
        <v>8</v>
      </c>
      <c r="X1030" t="s">
        <v>48</v>
      </c>
      <c r="Y1030">
        <v>2024</v>
      </c>
      <c r="Z1030">
        <v>3</v>
      </c>
      <c r="AA1030">
        <v>31</v>
      </c>
    </row>
    <row r="1031" spans="1:27" x14ac:dyDescent="0.3">
      <c r="A1031" s="2">
        <v>45483</v>
      </c>
      <c r="B1031" t="s">
        <v>1</v>
      </c>
      <c r="C1031" t="s">
        <v>8</v>
      </c>
      <c r="D1031">
        <v>20</v>
      </c>
      <c r="E1031">
        <v>150.16</v>
      </c>
      <c r="F1031" t="s">
        <v>14</v>
      </c>
      <c r="G1031" t="s">
        <v>16</v>
      </c>
      <c r="H1031">
        <v>0</v>
      </c>
      <c r="I1031" t="s">
        <v>23</v>
      </c>
      <c r="J1031">
        <v>3003.2</v>
      </c>
      <c r="K1031" t="s">
        <v>28</v>
      </c>
      <c r="L1031" t="s">
        <v>32</v>
      </c>
      <c r="M1031">
        <v>0</v>
      </c>
      <c r="N1031" t="s">
        <v>1104</v>
      </c>
      <c r="O1031" t="s">
        <v>2604</v>
      </c>
      <c r="P1031">
        <v>41.66</v>
      </c>
      <c r="Q1031">
        <f t="shared" si="16"/>
        <v>150.16</v>
      </c>
      <c r="R1031">
        <v>2961.54</v>
      </c>
      <c r="S1031" s="2">
        <v>45483</v>
      </c>
      <c r="T1031" s="2">
        <v>45485</v>
      </c>
      <c r="U1031" t="s">
        <v>34</v>
      </c>
      <c r="V1031">
        <v>10</v>
      </c>
      <c r="W1031">
        <v>7</v>
      </c>
      <c r="X1031" t="s">
        <v>46</v>
      </c>
      <c r="Y1031">
        <v>2024</v>
      </c>
      <c r="Z1031">
        <v>3</v>
      </c>
      <c r="AA1031">
        <v>28</v>
      </c>
    </row>
    <row r="1032" spans="1:27" x14ac:dyDescent="0.3">
      <c r="A1032" s="2">
        <v>45458</v>
      </c>
      <c r="B1032" t="s">
        <v>0</v>
      </c>
      <c r="C1032" t="s">
        <v>8</v>
      </c>
      <c r="D1032">
        <v>1</v>
      </c>
      <c r="E1032">
        <v>394.41</v>
      </c>
      <c r="F1032" t="s">
        <v>12</v>
      </c>
      <c r="G1032" t="s">
        <v>17</v>
      </c>
      <c r="H1032">
        <v>0.1</v>
      </c>
      <c r="I1032" t="s">
        <v>19</v>
      </c>
      <c r="J1032">
        <v>354.96900000000011</v>
      </c>
      <c r="K1032" t="s">
        <v>25</v>
      </c>
      <c r="L1032" t="s">
        <v>31</v>
      </c>
      <c r="M1032">
        <v>0</v>
      </c>
      <c r="N1032" t="s">
        <v>1105</v>
      </c>
      <c r="O1032" t="s">
        <v>2605</v>
      </c>
      <c r="P1032">
        <v>6.37</v>
      </c>
      <c r="Q1032">
        <f t="shared" si="16"/>
        <v>354.96900000000011</v>
      </c>
      <c r="R1032">
        <v>348.5990000000001</v>
      </c>
      <c r="S1032" s="2">
        <v>45458</v>
      </c>
      <c r="T1032" s="2">
        <v>45463</v>
      </c>
      <c r="U1032" t="s">
        <v>33</v>
      </c>
      <c r="V1032">
        <v>15</v>
      </c>
      <c r="W1032">
        <v>6</v>
      </c>
      <c r="X1032" t="s">
        <v>41</v>
      </c>
      <c r="Y1032">
        <v>2024</v>
      </c>
      <c r="Z1032">
        <v>2</v>
      </c>
      <c r="AA1032">
        <v>24</v>
      </c>
    </row>
    <row r="1033" spans="1:27" x14ac:dyDescent="0.3">
      <c r="A1033" s="2">
        <v>45434</v>
      </c>
      <c r="B1033" t="s">
        <v>0</v>
      </c>
      <c r="C1033" t="s">
        <v>9</v>
      </c>
      <c r="D1033">
        <v>6</v>
      </c>
      <c r="E1033">
        <v>535.38</v>
      </c>
      <c r="F1033" t="s">
        <v>14</v>
      </c>
      <c r="G1033" t="s">
        <v>16</v>
      </c>
      <c r="H1033">
        <v>0.15</v>
      </c>
      <c r="I1033" t="s">
        <v>19</v>
      </c>
      <c r="J1033">
        <v>2730.4380000000001</v>
      </c>
      <c r="K1033" t="s">
        <v>24</v>
      </c>
      <c r="L1033" t="s">
        <v>32</v>
      </c>
      <c r="M1033">
        <v>0</v>
      </c>
      <c r="N1033" t="s">
        <v>1106</v>
      </c>
      <c r="O1033" t="s">
        <v>2606</v>
      </c>
      <c r="P1033">
        <v>48.66</v>
      </c>
      <c r="Q1033">
        <f t="shared" si="16"/>
        <v>455.07300000000004</v>
      </c>
      <c r="R1033">
        <v>2681.7780000000002</v>
      </c>
      <c r="S1033" s="2">
        <v>45434</v>
      </c>
      <c r="T1033" s="2">
        <v>45441</v>
      </c>
      <c r="U1033" t="s">
        <v>33</v>
      </c>
      <c r="V1033">
        <v>22</v>
      </c>
      <c r="W1033">
        <v>5</v>
      </c>
      <c r="X1033" t="s">
        <v>40</v>
      </c>
      <c r="Y1033">
        <v>2024</v>
      </c>
      <c r="Z1033">
        <v>2</v>
      </c>
      <c r="AA1033">
        <v>21</v>
      </c>
    </row>
    <row r="1034" spans="1:27" x14ac:dyDescent="0.3">
      <c r="A1034" s="2">
        <v>45305</v>
      </c>
      <c r="B1034" t="s">
        <v>0</v>
      </c>
      <c r="C1034" t="s">
        <v>9</v>
      </c>
      <c r="D1034">
        <v>19</v>
      </c>
      <c r="E1034">
        <v>407.82</v>
      </c>
      <c r="F1034" t="s">
        <v>15</v>
      </c>
      <c r="G1034" t="s">
        <v>17</v>
      </c>
      <c r="H1034">
        <v>0.05</v>
      </c>
      <c r="I1034" t="s">
        <v>22</v>
      </c>
      <c r="J1034">
        <v>7361.1509999999998</v>
      </c>
      <c r="K1034" t="s">
        <v>25</v>
      </c>
      <c r="L1034" t="s">
        <v>29</v>
      </c>
      <c r="M1034">
        <v>0</v>
      </c>
      <c r="N1034" t="s">
        <v>1107</v>
      </c>
      <c r="O1034" t="s">
        <v>2607</v>
      </c>
      <c r="P1034">
        <v>38.979999999999997</v>
      </c>
      <c r="Q1034">
        <f t="shared" si="16"/>
        <v>387.42899999999997</v>
      </c>
      <c r="R1034">
        <v>7322.1710000000003</v>
      </c>
      <c r="S1034" s="2">
        <v>45305</v>
      </c>
      <c r="T1034" s="2">
        <v>45309</v>
      </c>
      <c r="U1034" t="s">
        <v>33</v>
      </c>
      <c r="V1034">
        <v>14</v>
      </c>
      <c r="W1034">
        <v>1</v>
      </c>
      <c r="X1034" t="s">
        <v>42</v>
      </c>
      <c r="Y1034">
        <v>2024</v>
      </c>
      <c r="Z1034">
        <v>1</v>
      </c>
      <c r="AA1034">
        <v>2</v>
      </c>
    </row>
    <row r="1035" spans="1:27" x14ac:dyDescent="0.3">
      <c r="A1035" s="2">
        <v>45596</v>
      </c>
      <c r="B1035" t="s">
        <v>2</v>
      </c>
      <c r="C1035" t="s">
        <v>10</v>
      </c>
      <c r="D1035">
        <v>16</v>
      </c>
      <c r="E1035">
        <v>120.83</v>
      </c>
      <c r="F1035" t="s">
        <v>12</v>
      </c>
      <c r="G1035" t="s">
        <v>17</v>
      </c>
      <c r="H1035">
        <v>0.05</v>
      </c>
      <c r="I1035" t="s">
        <v>21</v>
      </c>
      <c r="J1035">
        <v>1836.616</v>
      </c>
      <c r="K1035" t="s">
        <v>28</v>
      </c>
      <c r="L1035" t="s">
        <v>31</v>
      </c>
      <c r="M1035">
        <v>1</v>
      </c>
      <c r="N1035" t="s">
        <v>1108</v>
      </c>
      <c r="O1035" t="s">
        <v>2608</v>
      </c>
      <c r="P1035">
        <v>39.64</v>
      </c>
      <c r="Q1035">
        <f t="shared" si="16"/>
        <v>114.7885</v>
      </c>
      <c r="R1035">
        <v>1796.9759999999999</v>
      </c>
      <c r="S1035" s="2">
        <v>45596</v>
      </c>
      <c r="T1035" s="2">
        <v>45598</v>
      </c>
      <c r="U1035" t="s">
        <v>35</v>
      </c>
      <c r="V1035">
        <v>31</v>
      </c>
      <c r="W1035">
        <v>10</v>
      </c>
      <c r="X1035" t="s">
        <v>43</v>
      </c>
      <c r="Y1035">
        <v>2024</v>
      </c>
      <c r="Z1035">
        <v>4</v>
      </c>
      <c r="AA1035">
        <v>44</v>
      </c>
    </row>
    <row r="1036" spans="1:27" x14ac:dyDescent="0.3">
      <c r="A1036" s="2">
        <v>45405</v>
      </c>
      <c r="B1036" t="s">
        <v>4</v>
      </c>
      <c r="C1036" t="s">
        <v>11</v>
      </c>
      <c r="D1036">
        <v>7</v>
      </c>
      <c r="E1036">
        <v>39.53</v>
      </c>
      <c r="F1036" t="s">
        <v>15</v>
      </c>
      <c r="G1036" t="s">
        <v>17</v>
      </c>
      <c r="H1036">
        <v>0.1</v>
      </c>
      <c r="I1036" t="s">
        <v>21</v>
      </c>
      <c r="J1036">
        <v>249.03899999999999</v>
      </c>
      <c r="K1036" t="s">
        <v>27</v>
      </c>
      <c r="L1036" t="s">
        <v>31</v>
      </c>
      <c r="M1036">
        <v>0</v>
      </c>
      <c r="N1036" t="s">
        <v>1109</v>
      </c>
      <c r="O1036" t="s">
        <v>2609</v>
      </c>
      <c r="P1036">
        <v>18.16</v>
      </c>
      <c r="Q1036">
        <f t="shared" si="16"/>
        <v>35.576999999999998</v>
      </c>
      <c r="R1036">
        <v>230.87899999999999</v>
      </c>
      <c r="S1036" s="2">
        <v>45405</v>
      </c>
      <c r="T1036" s="2">
        <v>45411</v>
      </c>
      <c r="U1036" t="s">
        <v>37</v>
      </c>
      <c r="V1036">
        <v>23</v>
      </c>
      <c r="W1036">
        <v>4</v>
      </c>
      <c r="X1036" t="s">
        <v>45</v>
      </c>
      <c r="Y1036">
        <v>2024</v>
      </c>
      <c r="Z1036">
        <v>2</v>
      </c>
      <c r="AA1036">
        <v>17</v>
      </c>
    </row>
    <row r="1037" spans="1:27" x14ac:dyDescent="0.3">
      <c r="A1037" s="2">
        <v>45091</v>
      </c>
      <c r="B1037" t="s">
        <v>1</v>
      </c>
      <c r="C1037" t="s">
        <v>10</v>
      </c>
      <c r="D1037">
        <v>2</v>
      </c>
      <c r="E1037">
        <v>224.08</v>
      </c>
      <c r="F1037" t="s">
        <v>13</v>
      </c>
      <c r="G1037" t="s">
        <v>17</v>
      </c>
      <c r="H1037">
        <v>0.05</v>
      </c>
      <c r="I1037" t="s">
        <v>20</v>
      </c>
      <c r="J1037">
        <v>425.75200000000001</v>
      </c>
      <c r="K1037" t="s">
        <v>26</v>
      </c>
      <c r="L1037" t="s">
        <v>31</v>
      </c>
      <c r="M1037">
        <v>0</v>
      </c>
      <c r="N1037" t="s">
        <v>1110</v>
      </c>
      <c r="O1037" t="s">
        <v>2610</v>
      </c>
      <c r="P1037">
        <v>47.35</v>
      </c>
      <c r="Q1037">
        <f t="shared" si="16"/>
        <v>212.876</v>
      </c>
      <c r="R1037">
        <v>378.40199999999999</v>
      </c>
      <c r="S1037" s="2">
        <v>45091</v>
      </c>
      <c r="T1037" s="2">
        <v>45097</v>
      </c>
      <c r="U1037" t="s">
        <v>34</v>
      </c>
      <c r="V1037">
        <v>14</v>
      </c>
      <c r="W1037">
        <v>6</v>
      </c>
      <c r="X1037" t="s">
        <v>41</v>
      </c>
      <c r="Y1037">
        <v>2023</v>
      </c>
      <c r="Z1037">
        <v>2</v>
      </c>
      <c r="AA1037">
        <v>24</v>
      </c>
    </row>
    <row r="1038" spans="1:27" x14ac:dyDescent="0.3">
      <c r="A1038" s="2">
        <v>45350</v>
      </c>
      <c r="B1038" t="s">
        <v>2</v>
      </c>
      <c r="C1038" t="s">
        <v>11</v>
      </c>
      <c r="D1038">
        <v>11</v>
      </c>
      <c r="E1038">
        <v>382.08</v>
      </c>
      <c r="F1038" t="s">
        <v>15</v>
      </c>
      <c r="G1038" t="s">
        <v>16</v>
      </c>
      <c r="H1038">
        <v>0.05</v>
      </c>
      <c r="I1038" t="s">
        <v>20</v>
      </c>
      <c r="J1038">
        <v>3992.7359999999999</v>
      </c>
      <c r="K1038" t="s">
        <v>28</v>
      </c>
      <c r="L1038" t="s">
        <v>31</v>
      </c>
      <c r="M1038">
        <v>0</v>
      </c>
      <c r="N1038" t="s">
        <v>1111</v>
      </c>
      <c r="O1038" t="s">
        <v>2611</v>
      </c>
      <c r="P1038">
        <v>5.95</v>
      </c>
      <c r="Q1038">
        <f t="shared" si="16"/>
        <v>362.976</v>
      </c>
      <c r="R1038">
        <v>3986.7860000000001</v>
      </c>
      <c r="S1038" s="2">
        <v>45350</v>
      </c>
      <c r="T1038" s="2">
        <v>45353</v>
      </c>
      <c r="U1038" t="s">
        <v>35</v>
      </c>
      <c r="V1038">
        <v>28</v>
      </c>
      <c r="W1038">
        <v>2</v>
      </c>
      <c r="X1038" t="s">
        <v>38</v>
      </c>
      <c r="Y1038">
        <v>2024</v>
      </c>
      <c r="Z1038">
        <v>1</v>
      </c>
      <c r="AA1038">
        <v>9</v>
      </c>
    </row>
    <row r="1039" spans="1:27" x14ac:dyDescent="0.3">
      <c r="A1039" s="2">
        <v>45462</v>
      </c>
      <c r="B1039" t="s">
        <v>1</v>
      </c>
      <c r="C1039" t="s">
        <v>11</v>
      </c>
      <c r="D1039">
        <v>9</v>
      </c>
      <c r="E1039">
        <v>88.49</v>
      </c>
      <c r="F1039" t="s">
        <v>15</v>
      </c>
      <c r="G1039" t="s">
        <v>16</v>
      </c>
      <c r="H1039">
        <v>0.05</v>
      </c>
      <c r="I1039" t="s">
        <v>22</v>
      </c>
      <c r="J1039">
        <v>756.58949999999993</v>
      </c>
      <c r="K1039" t="s">
        <v>24</v>
      </c>
      <c r="L1039" t="s">
        <v>32</v>
      </c>
      <c r="M1039">
        <v>0</v>
      </c>
      <c r="N1039" t="s">
        <v>1112</v>
      </c>
      <c r="O1039" t="s">
        <v>2612</v>
      </c>
      <c r="P1039">
        <v>35.6</v>
      </c>
      <c r="Q1039">
        <f t="shared" si="16"/>
        <v>84.065499999999986</v>
      </c>
      <c r="R1039">
        <v>720.98949999999991</v>
      </c>
      <c r="S1039" s="2">
        <v>45462</v>
      </c>
      <c r="T1039" s="2">
        <v>45469</v>
      </c>
      <c r="U1039" t="s">
        <v>34</v>
      </c>
      <c r="V1039">
        <v>19</v>
      </c>
      <c r="W1039">
        <v>6</v>
      </c>
      <c r="X1039" t="s">
        <v>41</v>
      </c>
      <c r="Y1039">
        <v>2024</v>
      </c>
      <c r="Z1039">
        <v>2</v>
      </c>
      <c r="AA1039">
        <v>25</v>
      </c>
    </row>
    <row r="1040" spans="1:27" x14ac:dyDescent="0.3">
      <c r="A1040" s="2">
        <v>45003</v>
      </c>
      <c r="B1040" t="s">
        <v>3</v>
      </c>
      <c r="C1040" t="s">
        <v>10</v>
      </c>
      <c r="D1040">
        <v>20</v>
      </c>
      <c r="E1040">
        <v>139.1</v>
      </c>
      <c r="F1040" t="s">
        <v>14</v>
      </c>
      <c r="G1040" t="s">
        <v>16</v>
      </c>
      <c r="H1040">
        <v>0.05</v>
      </c>
      <c r="I1040" t="s">
        <v>21</v>
      </c>
      <c r="J1040">
        <v>2642.9</v>
      </c>
      <c r="K1040" t="s">
        <v>24</v>
      </c>
      <c r="L1040" t="s">
        <v>29</v>
      </c>
      <c r="M1040">
        <v>0</v>
      </c>
      <c r="N1040" t="s">
        <v>1113</v>
      </c>
      <c r="O1040" t="s">
        <v>2613</v>
      </c>
      <c r="P1040">
        <v>30.22</v>
      </c>
      <c r="Q1040">
        <f t="shared" si="16"/>
        <v>132.14500000000001</v>
      </c>
      <c r="R1040">
        <v>2612.6800000000003</v>
      </c>
      <c r="S1040" s="2">
        <v>45003</v>
      </c>
      <c r="T1040" s="2">
        <v>45005</v>
      </c>
      <c r="U1040" t="s">
        <v>36</v>
      </c>
      <c r="V1040">
        <v>18</v>
      </c>
      <c r="W1040">
        <v>3</v>
      </c>
      <c r="X1040" t="s">
        <v>44</v>
      </c>
      <c r="Y1040">
        <v>2023</v>
      </c>
      <c r="Z1040">
        <v>1</v>
      </c>
      <c r="AA1040">
        <v>11</v>
      </c>
    </row>
    <row r="1041" spans="1:27" x14ac:dyDescent="0.3">
      <c r="A1041" s="2">
        <v>45006</v>
      </c>
      <c r="B1041" t="s">
        <v>4</v>
      </c>
      <c r="C1041" t="s">
        <v>7</v>
      </c>
      <c r="D1041">
        <v>19</v>
      </c>
      <c r="E1041">
        <v>322.35000000000002</v>
      </c>
      <c r="F1041" t="s">
        <v>15</v>
      </c>
      <c r="G1041" t="s">
        <v>16</v>
      </c>
      <c r="H1041">
        <v>0.1</v>
      </c>
      <c r="I1041" t="s">
        <v>19</v>
      </c>
      <c r="J1041">
        <v>5512.1850000000004</v>
      </c>
      <c r="K1041" t="s">
        <v>27</v>
      </c>
      <c r="L1041" t="s">
        <v>31</v>
      </c>
      <c r="M1041">
        <v>0</v>
      </c>
      <c r="N1041" t="s">
        <v>1114</v>
      </c>
      <c r="O1041" t="s">
        <v>2614</v>
      </c>
      <c r="P1041">
        <v>30.06</v>
      </c>
      <c r="Q1041">
        <f t="shared" si="16"/>
        <v>290.11500000000001</v>
      </c>
      <c r="R1041">
        <v>5482.125</v>
      </c>
      <c r="S1041" s="2">
        <v>45006</v>
      </c>
      <c r="T1041" s="2">
        <v>45016</v>
      </c>
      <c r="U1041" t="s">
        <v>37</v>
      </c>
      <c r="V1041">
        <v>21</v>
      </c>
      <c r="W1041">
        <v>3</v>
      </c>
      <c r="X1041" t="s">
        <v>44</v>
      </c>
      <c r="Y1041">
        <v>2023</v>
      </c>
      <c r="Z1041">
        <v>1</v>
      </c>
      <c r="AA1041">
        <v>12</v>
      </c>
    </row>
    <row r="1042" spans="1:27" x14ac:dyDescent="0.3">
      <c r="A1042" s="2">
        <v>45440</v>
      </c>
      <c r="B1042" t="s">
        <v>0</v>
      </c>
      <c r="C1042" t="s">
        <v>11</v>
      </c>
      <c r="D1042">
        <v>16</v>
      </c>
      <c r="E1042">
        <v>334.55</v>
      </c>
      <c r="F1042" t="s">
        <v>12</v>
      </c>
      <c r="G1042" t="s">
        <v>16</v>
      </c>
      <c r="H1042">
        <v>0.1</v>
      </c>
      <c r="I1042" t="s">
        <v>18</v>
      </c>
      <c r="J1042">
        <v>4817.5200000000004</v>
      </c>
      <c r="K1042" t="s">
        <v>26</v>
      </c>
      <c r="L1042" t="s">
        <v>30</v>
      </c>
      <c r="M1042">
        <v>0</v>
      </c>
      <c r="N1042" t="s">
        <v>1115</v>
      </c>
      <c r="O1042" t="s">
        <v>2615</v>
      </c>
      <c r="P1042">
        <v>37.42</v>
      </c>
      <c r="Q1042">
        <f t="shared" si="16"/>
        <v>301.09500000000003</v>
      </c>
      <c r="R1042">
        <v>4780.1000000000004</v>
      </c>
      <c r="S1042" s="2">
        <v>45440</v>
      </c>
      <c r="T1042" s="2">
        <v>45444</v>
      </c>
      <c r="U1042" t="s">
        <v>33</v>
      </c>
      <c r="V1042">
        <v>28</v>
      </c>
      <c r="W1042">
        <v>5</v>
      </c>
      <c r="X1042" t="s">
        <v>40</v>
      </c>
      <c r="Y1042">
        <v>2024</v>
      </c>
      <c r="Z1042">
        <v>2</v>
      </c>
      <c r="AA1042">
        <v>22</v>
      </c>
    </row>
    <row r="1043" spans="1:27" x14ac:dyDescent="0.3">
      <c r="A1043" s="2">
        <v>45012</v>
      </c>
      <c r="B1043" t="s">
        <v>4</v>
      </c>
      <c r="C1043" t="s">
        <v>7</v>
      </c>
      <c r="D1043">
        <v>20</v>
      </c>
      <c r="E1043">
        <v>332.48</v>
      </c>
      <c r="F1043" t="s">
        <v>12</v>
      </c>
      <c r="G1043" t="s">
        <v>16</v>
      </c>
      <c r="H1043">
        <v>0</v>
      </c>
      <c r="I1043" t="s">
        <v>18</v>
      </c>
      <c r="J1043">
        <v>6649.6</v>
      </c>
      <c r="K1043" t="s">
        <v>24</v>
      </c>
      <c r="L1043" t="s">
        <v>30</v>
      </c>
      <c r="M1043">
        <v>1</v>
      </c>
      <c r="N1043" t="s">
        <v>1116</v>
      </c>
      <c r="O1043" t="s">
        <v>2616</v>
      </c>
      <c r="P1043">
        <v>7.79</v>
      </c>
      <c r="Q1043">
        <f t="shared" si="16"/>
        <v>332.48</v>
      </c>
      <c r="R1043">
        <v>6641.81</v>
      </c>
      <c r="S1043" s="2">
        <v>45012</v>
      </c>
      <c r="T1043" s="2">
        <v>45015</v>
      </c>
      <c r="U1043" t="s">
        <v>37</v>
      </c>
      <c r="V1043">
        <v>27</v>
      </c>
      <c r="W1043">
        <v>3</v>
      </c>
      <c r="X1043" t="s">
        <v>44</v>
      </c>
      <c r="Y1043">
        <v>2023</v>
      </c>
      <c r="Z1043">
        <v>1</v>
      </c>
      <c r="AA1043">
        <v>13</v>
      </c>
    </row>
    <row r="1044" spans="1:27" x14ac:dyDescent="0.3">
      <c r="A1044" s="2">
        <v>45096</v>
      </c>
      <c r="B1044" t="s">
        <v>3</v>
      </c>
      <c r="C1044" t="s">
        <v>11</v>
      </c>
      <c r="D1044">
        <v>1</v>
      </c>
      <c r="E1044">
        <v>123.4</v>
      </c>
      <c r="F1044" t="s">
        <v>13</v>
      </c>
      <c r="G1044" t="s">
        <v>17</v>
      </c>
      <c r="H1044">
        <v>0</v>
      </c>
      <c r="I1044" t="s">
        <v>18</v>
      </c>
      <c r="J1044">
        <v>123.4</v>
      </c>
      <c r="K1044" t="s">
        <v>28</v>
      </c>
      <c r="L1044" t="s">
        <v>32</v>
      </c>
      <c r="M1044">
        <v>1</v>
      </c>
      <c r="N1044" t="s">
        <v>1117</v>
      </c>
      <c r="O1044" t="s">
        <v>2617</v>
      </c>
      <c r="P1044">
        <v>12.63</v>
      </c>
      <c r="Q1044">
        <f t="shared" si="16"/>
        <v>123.4</v>
      </c>
      <c r="R1044">
        <v>110.77000000000001</v>
      </c>
      <c r="S1044" s="2">
        <v>45096</v>
      </c>
      <c r="T1044" s="2">
        <v>45102</v>
      </c>
      <c r="U1044" t="s">
        <v>36</v>
      </c>
      <c r="V1044">
        <v>19</v>
      </c>
      <c r="W1044">
        <v>6</v>
      </c>
      <c r="X1044" t="s">
        <v>41</v>
      </c>
      <c r="Y1044">
        <v>2023</v>
      </c>
      <c r="Z1044">
        <v>2</v>
      </c>
      <c r="AA1044">
        <v>25</v>
      </c>
    </row>
    <row r="1045" spans="1:27" x14ac:dyDescent="0.3">
      <c r="A1045" s="2">
        <v>45230</v>
      </c>
      <c r="B1045" t="s">
        <v>1</v>
      </c>
      <c r="C1045" t="s">
        <v>5</v>
      </c>
      <c r="D1045">
        <v>3</v>
      </c>
      <c r="E1045">
        <v>88.26</v>
      </c>
      <c r="F1045" t="s">
        <v>15</v>
      </c>
      <c r="G1045" t="s">
        <v>16</v>
      </c>
      <c r="H1045">
        <v>0.05</v>
      </c>
      <c r="I1045" t="s">
        <v>23</v>
      </c>
      <c r="J1045">
        <v>251.541</v>
      </c>
      <c r="K1045" t="s">
        <v>27</v>
      </c>
      <c r="L1045" t="s">
        <v>29</v>
      </c>
      <c r="M1045">
        <v>0</v>
      </c>
      <c r="N1045" t="s">
        <v>1118</v>
      </c>
      <c r="O1045" t="s">
        <v>2618</v>
      </c>
      <c r="P1045">
        <v>46.45</v>
      </c>
      <c r="Q1045">
        <f t="shared" si="16"/>
        <v>83.846999999999994</v>
      </c>
      <c r="R1045">
        <v>205.09100000000001</v>
      </c>
      <c r="S1045" s="2">
        <v>45230</v>
      </c>
      <c r="T1045" s="2">
        <v>45237</v>
      </c>
      <c r="U1045" t="s">
        <v>34</v>
      </c>
      <c r="V1045">
        <v>31</v>
      </c>
      <c r="W1045">
        <v>10</v>
      </c>
      <c r="X1045" t="s">
        <v>43</v>
      </c>
      <c r="Y1045">
        <v>2023</v>
      </c>
      <c r="Z1045">
        <v>4</v>
      </c>
      <c r="AA1045">
        <v>44</v>
      </c>
    </row>
    <row r="1046" spans="1:27" x14ac:dyDescent="0.3">
      <c r="A1046" s="2">
        <v>45118</v>
      </c>
      <c r="B1046" t="s">
        <v>4</v>
      </c>
      <c r="C1046" t="s">
        <v>6</v>
      </c>
      <c r="D1046">
        <v>13</v>
      </c>
      <c r="E1046">
        <v>50.51</v>
      </c>
      <c r="F1046" t="s">
        <v>15</v>
      </c>
      <c r="G1046" t="s">
        <v>16</v>
      </c>
      <c r="H1046">
        <v>0.1</v>
      </c>
      <c r="I1046" t="s">
        <v>19</v>
      </c>
      <c r="J1046">
        <v>590.96699999999998</v>
      </c>
      <c r="K1046" t="s">
        <v>27</v>
      </c>
      <c r="L1046" t="s">
        <v>31</v>
      </c>
      <c r="M1046">
        <v>0</v>
      </c>
      <c r="N1046" t="s">
        <v>1119</v>
      </c>
      <c r="O1046" t="s">
        <v>2619</v>
      </c>
      <c r="P1046">
        <v>40.57</v>
      </c>
      <c r="Q1046">
        <f t="shared" si="16"/>
        <v>45.458999999999996</v>
      </c>
      <c r="R1046">
        <v>550.39699999999993</v>
      </c>
      <c r="S1046" s="2">
        <v>45118</v>
      </c>
      <c r="T1046" s="2">
        <v>45125</v>
      </c>
      <c r="U1046" t="s">
        <v>37</v>
      </c>
      <c r="V1046">
        <v>11</v>
      </c>
      <c r="W1046">
        <v>7</v>
      </c>
      <c r="X1046" t="s">
        <v>46</v>
      </c>
      <c r="Y1046">
        <v>2023</v>
      </c>
      <c r="Z1046">
        <v>3</v>
      </c>
      <c r="AA1046">
        <v>28</v>
      </c>
    </row>
    <row r="1047" spans="1:27" x14ac:dyDescent="0.3">
      <c r="A1047" s="2">
        <v>45065</v>
      </c>
      <c r="B1047" t="s">
        <v>1</v>
      </c>
      <c r="C1047" t="s">
        <v>9</v>
      </c>
      <c r="D1047">
        <v>11</v>
      </c>
      <c r="E1047">
        <v>237.99</v>
      </c>
      <c r="F1047" t="s">
        <v>15</v>
      </c>
      <c r="G1047" t="s">
        <v>16</v>
      </c>
      <c r="H1047">
        <v>0.05</v>
      </c>
      <c r="I1047" t="s">
        <v>23</v>
      </c>
      <c r="J1047">
        <v>2486.9955</v>
      </c>
      <c r="K1047" t="s">
        <v>27</v>
      </c>
      <c r="L1047" t="s">
        <v>29</v>
      </c>
      <c r="M1047">
        <v>0</v>
      </c>
      <c r="N1047" t="s">
        <v>1120</v>
      </c>
      <c r="O1047" t="s">
        <v>2620</v>
      </c>
      <c r="P1047">
        <v>44.7</v>
      </c>
      <c r="Q1047">
        <f t="shared" si="16"/>
        <v>226.09049999999999</v>
      </c>
      <c r="R1047">
        <v>2442.2955000000002</v>
      </c>
      <c r="S1047" s="2">
        <v>45065</v>
      </c>
      <c r="T1047" s="2">
        <v>45074</v>
      </c>
      <c r="U1047" t="s">
        <v>34</v>
      </c>
      <c r="V1047">
        <v>19</v>
      </c>
      <c r="W1047">
        <v>5</v>
      </c>
      <c r="X1047" t="s">
        <v>40</v>
      </c>
      <c r="Y1047">
        <v>2023</v>
      </c>
      <c r="Z1047">
        <v>2</v>
      </c>
      <c r="AA1047">
        <v>20</v>
      </c>
    </row>
    <row r="1048" spans="1:27" x14ac:dyDescent="0.3">
      <c r="A1048" s="2">
        <v>45143</v>
      </c>
      <c r="B1048" t="s">
        <v>2</v>
      </c>
      <c r="C1048" t="s">
        <v>8</v>
      </c>
      <c r="D1048">
        <v>7</v>
      </c>
      <c r="E1048">
        <v>294.95</v>
      </c>
      <c r="F1048" t="s">
        <v>15</v>
      </c>
      <c r="G1048" t="s">
        <v>16</v>
      </c>
      <c r="H1048">
        <v>0</v>
      </c>
      <c r="I1048" t="s">
        <v>20</v>
      </c>
      <c r="J1048">
        <v>2064.65</v>
      </c>
      <c r="K1048" t="s">
        <v>24</v>
      </c>
      <c r="L1048" t="s">
        <v>29</v>
      </c>
      <c r="M1048">
        <v>0</v>
      </c>
      <c r="N1048" t="s">
        <v>1121</v>
      </c>
      <c r="O1048" t="s">
        <v>2621</v>
      </c>
      <c r="P1048">
        <v>15.78</v>
      </c>
      <c r="Q1048">
        <f t="shared" si="16"/>
        <v>294.95</v>
      </c>
      <c r="R1048">
        <v>2048.87</v>
      </c>
      <c r="S1048" s="2">
        <v>45143</v>
      </c>
      <c r="T1048" s="2">
        <v>45148</v>
      </c>
      <c r="U1048" t="s">
        <v>35</v>
      </c>
      <c r="V1048">
        <v>5</v>
      </c>
      <c r="W1048">
        <v>8</v>
      </c>
      <c r="X1048" t="s">
        <v>48</v>
      </c>
      <c r="Y1048">
        <v>2023</v>
      </c>
      <c r="Z1048">
        <v>3</v>
      </c>
      <c r="AA1048">
        <v>31</v>
      </c>
    </row>
    <row r="1049" spans="1:27" x14ac:dyDescent="0.3">
      <c r="A1049" s="2">
        <v>45009</v>
      </c>
      <c r="B1049" t="s">
        <v>4</v>
      </c>
      <c r="C1049" t="s">
        <v>7</v>
      </c>
      <c r="D1049">
        <v>8</v>
      </c>
      <c r="E1049">
        <v>384.3</v>
      </c>
      <c r="F1049" t="s">
        <v>14</v>
      </c>
      <c r="G1049" t="s">
        <v>16</v>
      </c>
      <c r="H1049">
        <v>0.1</v>
      </c>
      <c r="I1049" t="s">
        <v>20</v>
      </c>
      <c r="J1049">
        <v>2766.96</v>
      </c>
      <c r="K1049" t="s">
        <v>25</v>
      </c>
      <c r="L1049" t="s">
        <v>29</v>
      </c>
      <c r="M1049">
        <v>0</v>
      </c>
      <c r="N1049" t="s">
        <v>1122</v>
      </c>
      <c r="O1049" t="s">
        <v>2622</v>
      </c>
      <c r="P1049">
        <v>48.83</v>
      </c>
      <c r="Q1049">
        <f t="shared" si="16"/>
        <v>345.87</v>
      </c>
      <c r="R1049">
        <v>2718.13</v>
      </c>
      <c r="S1049" s="2">
        <v>45009</v>
      </c>
      <c r="T1049" s="2">
        <v>45019</v>
      </c>
      <c r="U1049" t="s">
        <v>37</v>
      </c>
      <c r="V1049">
        <v>24</v>
      </c>
      <c r="W1049">
        <v>3</v>
      </c>
      <c r="X1049" t="s">
        <v>44</v>
      </c>
      <c r="Y1049">
        <v>2023</v>
      </c>
      <c r="Z1049">
        <v>1</v>
      </c>
      <c r="AA1049">
        <v>12</v>
      </c>
    </row>
    <row r="1050" spans="1:27" x14ac:dyDescent="0.3">
      <c r="A1050" s="2">
        <v>45702</v>
      </c>
      <c r="B1050" t="s">
        <v>4</v>
      </c>
      <c r="C1050" t="s">
        <v>9</v>
      </c>
      <c r="D1050">
        <v>1</v>
      </c>
      <c r="E1050">
        <v>378.35</v>
      </c>
      <c r="F1050" t="s">
        <v>14</v>
      </c>
      <c r="G1050" t="s">
        <v>16</v>
      </c>
      <c r="H1050">
        <v>0.05</v>
      </c>
      <c r="I1050" t="s">
        <v>22</v>
      </c>
      <c r="J1050">
        <v>359.4325</v>
      </c>
      <c r="K1050" t="s">
        <v>28</v>
      </c>
      <c r="L1050" t="s">
        <v>29</v>
      </c>
      <c r="M1050">
        <v>0</v>
      </c>
      <c r="N1050" t="s">
        <v>1123</v>
      </c>
      <c r="O1050" t="s">
        <v>2623</v>
      </c>
      <c r="P1050">
        <v>20.97</v>
      </c>
      <c r="Q1050">
        <f t="shared" si="16"/>
        <v>359.4325</v>
      </c>
      <c r="R1050">
        <v>338.46249999999998</v>
      </c>
      <c r="S1050" s="2">
        <v>45702</v>
      </c>
      <c r="T1050" s="2">
        <v>45705</v>
      </c>
      <c r="U1050" t="s">
        <v>37</v>
      </c>
      <c r="V1050">
        <v>14</v>
      </c>
      <c r="W1050">
        <v>2</v>
      </c>
      <c r="X1050" t="s">
        <v>38</v>
      </c>
      <c r="Y1050">
        <v>2025</v>
      </c>
      <c r="Z1050">
        <v>1</v>
      </c>
      <c r="AA1050">
        <v>7</v>
      </c>
    </row>
    <row r="1051" spans="1:27" x14ac:dyDescent="0.3">
      <c r="A1051" s="2">
        <v>45640</v>
      </c>
      <c r="B1051" t="s">
        <v>2</v>
      </c>
      <c r="C1051" t="s">
        <v>7</v>
      </c>
      <c r="D1051">
        <v>1</v>
      </c>
      <c r="E1051">
        <v>461.35</v>
      </c>
      <c r="F1051" t="s">
        <v>15</v>
      </c>
      <c r="G1051" t="s">
        <v>17</v>
      </c>
      <c r="H1051">
        <v>0</v>
      </c>
      <c r="I1051" t="s">
        <v>23</v>
      </c>
      <c r="J1051">
        <v>461.35</v>
      </c>
      <c r="K1051" t="s">
        <v>27</v>
      </c>
      <c r="L1051" t="s">
        <v>29</v>
      </c>
      <c r="M1051">
        <v>1</v>
      </c>
      <c r="N1051" t="s">
        <v>1124</v>
      </c>
      <c r="O1051" t="s">
        <v>2624</v>
      </c>
      <c r="P1051">
        <v>43.74</v>
      </c>
      <c r="Q1051">
        <f t="shared" si="16"/>
        <v>461.35</v>
      </c>
      <c r="R1051">
        <v>417.61</v>
      </c>
      <c r="S1051" s="2">
        <v>45640</v>
      </c>
      <c r="T1051" s="2">
        <v>45642</v>
      </c>
      <c r="U1051" t="s">
        <v>35</v>
      </c>
      <c r="V1051">
        <v>14</v>
      </c>
      <c r="W1051">
        <v>12</v>
      </c>
      <c r="X1051" t="s">
        <v>39</v>
      </c>
      <c r="Y1051">
        <v>2024</v>
      </c>
      <c r="Z1051">
        <v>4</v>
      </c>
      <c r="AA1051">
        <v>50</v>
      </c>
    </row>
    <row r="1052" spans="1:27" x14ac:dyDescent="0.3">
      <c r="A1052" s="2">
        <v>45105</v>
      </c>
      <c r="B1052" t="s">
        <v>1</v>
      </c>
      <c r="C1052" t="s">
        <v>11</v>
      </c>
      <c r="D1052">
        <v>20</v>
      </c>
      <c r="E1052">
        <v>354.9</v>
      </c>
      <c r="F1052" t="s">
        <v>13</v>
      </c>
      <c r="G1052" t="s">
        <v>16</v>
      </c>
      <c r="H1052">
        <v>0</v>
      </c>
      <c r="I1052" t="s">
        <v>23</v>
      </c>
      <c r="J1052">
        <v>7098</v>
      </c>
      <c r="K1052" t="s">
        <v>25</v>
      </c>
      <c r="L1052" t="s">
        <v>31</v>
      </c>
      <c r="M1052">
        <v>0</v>
      </c>
      <c r="N1052" t="s">
        <v>1125</v>
      </c>
      <c r="O1052" t="s">
        <v>2625</v>
      </c>
      <c r="P1052">
        <v>43.24</v>
      </c>
      <c r="Q1052">
        <f t="shared" si="16"/>
        <v>354.9</v>
      </c>
      <c r="R1052">
        <v>7054.76</v>
      </c>
      <c r="S1052" s="2">
        <v>45105</v>
      </c>
      <c r="T1052" s="2">
        <v>45108</v>
      </c>
      <c r="U1052" t="s">
        <v>34</v>
      </c>
      <c r="V1052">
        <v>28</v>
      </c>
      <c r="W1052">
        <v>6</v>
      </c>
      <c r="X1052" t="s">
        <v>41</v>
      </c>
      <c r="Y1052">
        <v>2023</v>
      </c>
      <c r="Z1052">
        <v>2</v>
      </c>
      <c r="AA1052">
        <v>26</v>
      </c>
    </row>
    <row r="1053" spans="1:27" x14ac:dyDescent="0.3">
      <c r="A1053" s="2">
        <v>44950</v>
      </c>
      <c r="B1053" t="s">
        <v>4</v>
      </c>
      <c r="C1053" t="s">
        <v>7</v>
      </c>
      <c r="D1053">
        <v>7</v>
      </c>
      <c r="E1053">
        <v>438.41</v>
      </c>
      <c r="F1053" t="s">
        <v>14</v>
      </c>
      <c r="G1053" t="s">
        <v>17</v>
      </c>
      <c r="H1053">
        <v>0.1</v>
      </c>
      <c r="I1053" t="s">
        <v>22</v>
      </c>
      <c r="J1053">
        <v>2761.9830000000002</v>
      </c>
      <c r="K1053" t="s">
        <v>27</v>
      </c>
      <c r="L1053" t="s">
        <v>30</v>
      </c>
      <c r="M1053">
        <v>1</v>
      </c>
      <c r="N1053" t="s">
        <v>1126</v>
      </c>
      <c r="O1053" t="s">
        <v>2626</v>
      </c>
      <c r="P1053">
        <v>47.77</v>
      </c>
      <c r="Q1053">
        <f t="shared" si="16"/>
        <v>394.56900000000002</v>
      </c>
      <c r="R1053">
        <v>2714.2130000000002</v>
      </c>
      <c r="S1053" s="2">
        <v>44950</v>
      </c>
      <c r="T1053" s="2">
        <v>44954</v>
      </c>
      <c r="U1053" t="s">
        <v>37</v>
      </c>
      <c r="V1053">
        <v>24</v>
      </c>
      <c r="W1053">
        <v>1</v>
      </c>
      <c r="X1053" t="s">
        <v>42</v>
      </c>
      <c r="Y1053">
        <v>2023</v>
      </c>
      <c r="Z1053">
        <v>1</v>
      </c>
      <c r="AA1053">
        <v>4</v>
      </c>
    </row>
    <row r="1054" spans="1:27" x14ac:dyDescent="0.3">
      <c r="A1054" s="2">
        <v>45464</v>
      </c>
      <c r="B1054" t="s">
        <v>3</v>
      </c>
      <c r="C1054" t="s">
        <v>10</v>
      </c>
      <c r="D1054">
        <v>14</v>
      </c>
      <c r="E1054">
        <v>542.6</v>
      </c>
      <c r="F1054" t="s">
        <v>14</v>
      </c>
      <c r="G1054" t="s">
        <v>17</v>
      </c>
      <c r="H1054">
        <v>0.05</v>
      </c>
      <c r="I1054" t="s">
        <v>18</v>
      </c>
      <c r="J1054">
        <v>7216.58</v>
      </c>
      <c r="K1054" t="s">
        <v>27</v>
      </c>
      <c r="L1054" t="s">
        <v>32</v>
      </c>
      <c r="M1054">
        <v>0</v>
      </c>
      <c r="N1054" t="s">
        <v>1127</v>
      </c>
      <c r="O1054" t="s">
        <v>2627</v>
      </c>
      <c r="P1054">
        <v>44.76</v>
      </c>
      <c r="Q1054">
        <f t="shared" si="16"/>
        <v>515.47</v>
      </c>
      <c r="R1054">
        <v>7171.82</v>
      </c>
      <c r="S1054" s="2">
        <v>45464</v>
      </c>
      <c r="T1054" s="2">
        <v>45473</v>
      </c>
      <c r="U1054" t="s">
        <v>36</v>
      </c>
      <c r="V1054">
        <v>21</v>
      </c>
      <c r="W1054">
        <v>6</v>
      </c>
      <c r="X1054" t="s">
        <v>41</v>
      </c>
      <c r="Y1054">
        <v>2024</v>
      </c>
      <c r="Z1054">
        <v>2</v>
      </c>
      <c r="AA1054">
        <v>25</v>
      </c>
    </row>
    <row r="1055" spans="1:27" x14ac:dyDescent="0.3">
      <c r="A1055" s="2">
        <v>45756</v>
      </c>
      <c r="B1055" t="s">
        <v>2</v>
      </c>
      <c r="C1055" t="s">
        <v>11</v>
      </c>
      <c r="D1055">
        <v>3</v>
      </c>
      <c r="E1055">
        <v>238.82</v>
      </c>
      <c r="F1055" t="s">
        <v>14</v>
      </c>
      <c r="G1055" t="s">
        <v>17</v>
      </c>
      <c r="H1055">
        <v>0.1</v>
      </c>
      <c r="I1055" t="s">
        <v>23</v>
      </c>
      <c r="J1055">
        <v>644.81400000000008</v>
      </c>
      <c r="K1055" t="s">
        <v>25</v>
      </c>
      <c r="L1055" t="s">
        <v>31</v>
      </c>
      <c r="M1055">
        <v>0</v>
      </c>
      <c r="N1055" t="s">
        <v>1128</v>
      </c>
      <c r="O1055" t="s">
        <v>2628</v>
      </c>
      <c r="P1055">
        <v>37.07</v>
      </c>
      <c r="Q1055">
        <f t="shared" si="16"/>
        <v>214.93800000000002</v>
      </c>
      <c r="R1055">
        <v>607.74400000000003</v>
      </c>
      <c r="S1055" s="2">
        <v>45756</v>
      </c>
      <c r="T1055" s="2">
        <v>45765</v>
      </c>
      <c r="U1055" t="s">
        <v>35</v>
      </c>
      <c r="V1055">
        <v>9</v>
      </c>
      <c r="W1055">
        <v>4</v>
      </c>
      <c r="X1055" t="s">
        <v>45</v>
      </c>
      <c r="Y1055">
        <v>2025</v>
      </c>
      <c r="Z1055">
        <v>2</v>
      </c>
      <c r="AA1055">
        <v>15</v>
      </c>
    </row>
    <row r="1056" spans="1:27" x14ac:dyDescent="0.3">
      <c r="A1056" s="2">
        <v>45668</v>
      </c>
      <c r="B1056" t="s">
        <v>2</v>
      </c>
      <c r="C1056" t="s">
        <v>10</v>
      </c>
      <c r="D1056">
        <v>16</v>
      </c>
      <c r="E1056">
        <v>332.19</v>
      </c>
      <c r="F1056" t="s">
        <v>14</v>
      </c>
      <c r="G1056" t="s">
        <v>17</v>
      </c>
      <c r="H1056">
        <v>0.1</v>
      </c>
      <c r="I1056" t="s">
        <v>18</v>
      </c>
      <c r="J1056">
        <v>4783.5360000000001</v>
      </c>
      <c r="K1056" t="s">
        <v>26</v>
      </c>
      <c r="L1056" t="s">
        <v>30</v>
      </c>
      <c r="M1056">
        <v>1</v>
      </c>
      <c r="N1056" t="s">
        <v>1129</v>
      </c>
      <c r="O1056" t="s">
        <v>2629</v>
      </c>
      <c r="P1056">
        <v>34.97</v>
      </c>
      <c r="Q1056">
        <f t="shared" si="16"/>
        <v>298.971</v>
      </c>
      <c r="R1056">
        <v>4748.5659999999998</v>
      </c>
      <c r="S1056" s="2">
        <v>45668</v>
      </c>
      <c r="T1056" s="2">
        <v>45676</v>
      </c>
      <c r="U1056" t="s">
        <v>35</v>
      </c>
      <c r="V1056">
        <v>11</v>
      </c>
      <c r="W1056">
        <v>1</v>
      </c>
      <c r="X1056" t="s">
        <v>42</v>
      </c>
      <c r="Y1056">
        <v>2025</v>
      </c>
      <c r="Z1056">
        <v>1</v>
      </c>
      <c r="AA1056">
        <v>2</v>
      </c>
    </row>
    <row r="1057" spans="1:27" x14ac:dyDescent="0.3">
      <c r="A1057" s="2">
        <v>45486</v>
      </c>
      <c r="B1057" t="s">
        <v>3</v>
      </c>
      <c r="C1057" t="s">
        <v>11</v>
      </c>
      <c r="D1057">
        <v>9</v>
      </c>
      <c r="E1057">
        <v>454.6</v>
      </c>
      <c r="F1057" t="s">
        <v>15</v>
      </c>
      <c r="G1057" t="s">
        <v>16</v>
      </c>
      <c r="H1057">
        <v>0.05</v>
      </c>
      <c r="I1057" t="s">
        <v>21</v>
      </c>
      <c r="J1057">
        <v>3886.83</v>
      </c>
      <c r="K1057" t="s">
        <v>27</v>
      </c>
      <c r="L1057" t="s">
        <v>32</v>
      </c>
      <c r="M1057">
        <v>0</v>
      </c>
      <c r="N1057" t="s">
        <v>1130</v>
      </c>
      <c r="O1057" t="s">
        <v>2630</v>
      </c>
      <c r="P1057">
        <v>32.86</v>
      </c>
      <c r="Q1057">
        <f t="shared" si="16"/>
        <v>431.87</v>
      </c>
      <c r="R1057">
        <v>3853.97</v>
      </c>
      <c r="S1057" s="2">
        <v>45486</v>
      </c>
      <c r="T1057" s="2">
        <v>45493</v>
      </c>
      <c r="U1057" t="s">
        <v>36</v>
      </c>
      <c r="V1057">
        <v>13</v>
      </c>
      <c r="W1057">
        <v>7</v>
      </c>
      <c r="X1057" t="s">
        <v>46</v>
      </c>
      <c r="Y1057">
        <v>2024</v>
      </c>
      <c r="Z1057">
        <v>3</v>
      </c>
      <c r="AA1057">
        <v>28</v>
      </c>
    </row>
    <row r="1058" spans="1:27" x14ac:dyDescent="0.3">
      <c r="A1058" s="2">
        <v>45661</v>
      </c>
      <c r="B1058" t="s">
        <v>4</v>
      </c>
      <c r="C1058" t="s">
        <v>11</v>
      </c>
      <c r="D1058">
        <v>6</v>
      </c>
      <c r="E1058">
        <v>540.54</v>
      </c>
      <c r="F1058" t="s">
        <v>13</v>
      </c>
      <c r="G1058" t="s">
        <v>17</v>
      </c>
      <c r="H1058">
        <v>0.05</v>
      </c>
      <c r="I1058" t="s">
        <v>21</v>
      </c>
      <c r="J1058">
        <v>3081.078</v>
      </c>
      <c r="K1058" t="s">
        <v>27</v>
      </c>
      <c r="L1058" t="s">
        <v>30</v>
      </c>
      <c r="M1058">
        <v>0</v>
      </c>
      <c r="N1058" t="s">
        <v>1131</v>
      </c>
      <c r="O1058" t="s">
        <v>2631</v>
      </c>
      <c r="P1058">
        <v>19.77</v>
      </c>
      <c r="Q1058">
        <f t="shared" si="16"/>
        <v>513.51300000000003</v>
      </c>
      <c r="R1058">
        <v>3061.308</v>
      </c>
      <c r="S1058" s="2">
        <v>45661</v>
      </c>
      <c r="T1058" s="2">
        <v>45667</v>
      </c>
      <c r="U1058" t="s">
        <v>37</v>
      </c>
      <c r="V1058">
        <v>4</v>
      </c>
      <c r="W1058">
        <v>1</v>
      </c>
      <c r="X1058" t="s">
        <v>42</v>
      </c>
      <c r="Y1058">
        <v>2025</v>
      </c>
      <c r="Z1058">
        <v>1</v>
      </c>
      <c r="AA1058">
        <v>1</v>
      </c>
    </row>
    <row r="1059" spans="1:27" x14ac:dyDescent="0.3">
      <c r="A1059" s="2">
        <v>45224</v>
      </c>
      <c r="B1059" t="s">
        <v>4</v>
      </c>
      <c r="C1059" t="s">
        <v>7</v>
      </c>
      <c r="D1059">
        <v>14</v>
      </c>
      <c r="E1059">
        <v>147.37</v>
      </c>
      <c r="F1059" t="s">
        <v>15</v>
      </c>
      <c r="G1059" t="s">
        <v>16</v>
      </c>
      <c r="H1059">
        <v>0.15</v>
      </c>
      <c r="I1059" t="s">
        <v>20</v>
      </c>
      <c r="J1059">
        <v>1753.703</v>
      </c>
      <c r="K1059" t="s">
        <v>27</v>
      </c>
      <c r="L1059" t="s">
        <v>31</v>
      </c>
      <c r="M1059">
        <v>1</v>
      </c>
      <c r="N1059" t="s">
        <v>1132</v>
      </c>
      <c r="O1059" t="s">
        <v>2632</v>
      </c>
      <c r="P1059">
        <v>45.75</v>
      </c>
      <c r="Q1059">
        <f t="shared" si="16"/>
        <v>125.2645</v>
      </c>
      <c r="R1059">
        <v>1707.953</v>
      </c>
      <c r="S1059" s="2">
        <v>45224</v>
      </c>
      <c r="T1059" s="2">
        <v>45230</v>
      </c>
      <c r="U1059" t="s">
        <v>37</v>
      </c>
      <c r="V1059">
        <v>25</v>
      </c>
      <c r="W1059">
        <v>10</v>
      </c>
      <c r="X1059" t="s">
        <v>43</v>
      </c>
      <c r="Y1059">
        <v>2023</v>
      </c>
      <c r="Z1059">
        <v>4</v>
      </c>
      <c r="AA1059">
        <v>43</v>
      </c>
    </row>
    <row r="1060" spans="1:27" x14ac:dyDescent="0.3">
      <c r="A1060" s="2">
        <v>45199</v>
      </c>
      <c r="B1060" t="s">
        <v>1</v>
      </c>
      <c r="C1060" t="s">
        <v>5</v>
      </c>
      <c r="D1060">
        <v>7</v>
      </c>
      <c r="E1060">
        <v>421.12</v>
      </c>
      <c r="F1060" t="s">
        <v>15</v>
      </c>
      <c r="G1060" t="s">
        <v>16</v>
      </c>
      <c r="H1060">
        <v>0.15</v>
      </c>
      <c r="I1060" t="s">
        <v>22</v>
      </c>
      <c r="J1060">
        <v>2505.6640000000002</v>
      </c>
      <c r="K1060" t="s">
        <v>25</v>
      </c>
      <c r="L1060" t="s">
        <v>32</v>
      </c>
      <c r="M1060">
        <v>0</v>
      </c>
      <c r="N1060" t="s">
        <v>1133</v>
      </c>
      <c r="O1060" t="s">
        <v>2633</v>
      </c>
      <c r="P1060">
        <v>44.49</v>
      </c>
      <c r="Q1060">
        <f t="shared" si="16"/>
        <v>357.95200000000006</v>
      </c>
      <c r="R1060">
        <v>2461.1740000000004</v>
      </c>
      <c r="S1060" s="2">
        <v>45199</v>
      </c>
      <c r="T1060" s="2">
        <v>45201</v>
      </c>
      <c r="U1060" t="s">
        <v>34</v>
      </c>
      <c r="V1060">
        <v>30</v>
      </c>
      <c r="W1060">
        <v>9</v>
      </c>
      <c r="X1060" t="s">
        <v>49</v>
      </c>
      <c r="Y1060">
        <v>2023</v>
      </c>
      <c r="Z1060">
        <v>3</v>
      </c>
      <c r="AA1060">
        <v>39</v>
      </c>
    </row>
    <row r="1061" spans="1:27" x14ac:dyDescent="0.3">
      <c r="A1061" s="2">
        <v>45001</v>
      </c>
      <c r="B1061" t="s">
        <v>2</v>
      </c>
      <c r="C1061" t="s">
        <v>6</v>
      </c>
      <c r="D1061">
        <v>20</v>
      </c>
      <c r="E1061">
        <v>436.32</v>
      </c>
      <c r="F1061" t="s">
        <v>15</v>
      </c>
      <c r="G1061" t="s">
        <v>17</v>
      </c>
      <c r="H1061">
        <v>0</v>
      </c>
      <c r="I1061" t="s">
        <v>22</v>
      </c>
      <c r="J1061">
        <v>8726.4</v>
      </c>
      <c r="K1061" t="s">
        <v>26</v>
      </c>
      <c r="L1061" t="s">
        <v>29</v>
      </c>
      <c r="M1061">
        <v>1</v>
      </c>
      <c r="N1061" t="s">
        <v>1134</v>
      </c>
      <c r="O1061" t="s">
        <v>2634</v>
      </c>
      <c r="P1061">
        <v>37.49</v>
      </c>
      <c r="Q1061">
        <f t="shared" si="16"/>
        <v>436.32</v>
      </c>
      <c r="R1061">
        <v>8688.91</v>
      </c>
      <c r="S1061" s="2">
        <v>45001</v>
      </c>
      <c r="T1061" s="2">
        <v>45011</v>
      </c>
      <c r="U1061" t="s">
        <v>35</v>
      </c>
      <c r="V1061">
        <v>16</v>
      </c>
      <c r="W1061">
        <v>3</v>
      </c>
      <c r="X1061" t="s">
        <v>44</v>
      </c>
      <c r="Y1061">
        <v>2023</v>
      </c>
      <c r="Z1061">
        <v>1</v>
      </c>
      <c r="AA1061">
        <v>11</v>
      </c>
    </row>
    <row r="1062" spans="1:27" x14ac:dyDescent="0.3">
      <c r="A1062" s="2">
        <v>45133</v>
      </c>
      <c r="B1062" t="s">
        <v>2</v>
      </c>
      <c r="C1062" t="s">
        <v>5</v>
      </c>
      <c r="D1062">
        <v>18</v>
      </c>
      <c r="E1062">
        <v>436.83</v>
      </c>
      <c r="F1062" t="s">
        <v>13</v>
      </c>
      <c r="G1062" t="s">
        <v>16</v>
      </c>
      <c r="H1062">
        <v>0.1</v>
      </c>
      <c r="I1062" t="s">
        <v>23</v>
      </c>
      <c r="J1062">
        <v>7076.6459999999997</v>
      </c>
      <c r="K1062" t="s">
        <v>26</v>
      </c>
      <c r="L1062" t="s">
        <v>30</v>
      </c>
      <c r="M1062">
        <v>0</v>
      </c>
      <c r="N1062" t="s">
        <v>1135</v>
      </c>
      <c r="O1062" t="s">
        <v>2635</v>
      </c>
      <c r="P1062">
        <v>28.8</v>
      </c>
      <c r="Q1062">
        <f t="shared" si="16"/>
        <v>393.14699999999999</v>
      </c>
      <c r="R1062">
        <v>7047.8459999999995</v>
      </c>
      <c r="S1062" s="2">
        <v>45133</v>
      </c>
      <c r="T1062" s="2">
        <v>45140</v>
      </c>
      <c r="U1062" t="s">
        <v>35</v>
      </c>
      <c r="V1062">
        <v>26</v>
      </c>
      <c r="W1062">
        <v>7</v>
      </c>
      <c r="X1062" t="s">
        <v>46</v>
      </c>
      <c r="Y1062">
        <v>2023</v>
      </c>
      <c r="Z1062">
        <v>3</v>
      </c>
      <c r="AA1062">
        <v>30</v>
      </c>
    </row>
    <row r="1063" spans="1:27" x14ac:dyDescent="0.3">
      <c r="A1063" s="2">
        <v>45117</v>
      </c>
      <c r="B1063" t="s">
        <v>0</v>
      </c>
      <c r="C1063" t="s">
        <v>9</v>
      </c>
      <c r="D1063">
        <v>2</v>
      </c>
      <c r="E1063">
        <v>327.57</v>
      </c>
      <c r="F1063" t="s">
        <v>13</v>
      </c>
      <c r="G1063" t="s">
        <v>17</v>
      </c>
      <c r="H1063">
        <v>0.05</v>
      </c>
      <c r="I1063" t="s">
        <v>22</v>
      </c>
      <c r="J1063">
        <v>622.38299999999992</v>
      </c>
      <c r="K1063" t="s">
        <v>27</v>
      </c>
      <c r="L1063" t="s">
        <v>32</v>
      </c>
      <c r="M1063">
        <v>0</v>
      </c>
      <c r="N1063" t="s">
        <v>1136</v>
      </c>
      <c r="O1063" t="s">
        <v>2636</v>
      </c>
      <c r="P1063">
        <v>19.489999999999998</v>
      </c>
      <c r="Q1063">
        <f t="shared" si="16"/>
        <v>311.19149999999996</v>
      </c>
      <c r="R1063">
        <v>602.89299999999992</v>
      </c>
      <c r="S1063" s="2">
        <v>45117</v>
      </c>
      <c r="T1063" s="2">
        <v>45126</v>
      </c>
      <c r="U1063" t="s">
        <v>33</v>
      </c>
      <c r="V1063">
        <v>10</v>
      </c>
      <c r="W1063">
        <v>7</v>
      </c>
      <c r="X1063" t="s">
        <v>46</v>
      </c>
      <c r="Y1063">
        <v>2023</v>
      </c>
      <c r="Z1063">
        <v>3</v>
      </c>
      <c r="AA1063">
        <v>28</v>
      </c>
    </row>
    <row r="1064" spans="1:27" x14ac:dyDescent="0.3">
      <c r="A1064" s="2">
        <v>45510</v>
      </c>
      <c r="B1064" t="s">
        <v>0</v>
      </c>
      <c r="C1064" t="s">
        <v>11</v>
      </c>
      <c r="D1064">
        <v>18</v>
      </c>
      <c r="E1064">
        <v>166.92</v>
      </c>
      <c r="F1064" t="s">
        <v>14</v>
      </c>
      <c r="G1064" t="s">
        <v>16</v>
      </c>
      <c r="H1064">
        <v>0.05</v>
      </c>
      <c r="I1064" t="s">
        <v>19</v>
      </c>
      <c r="J1064">
        <v>2854.3319999999999</v>
      </c>
      <c r="K1064" t="s">
        <v>25</v>
      </c>
      <c r="L1064" t="s">
        <v>31</v>
      </c>
      <c r="M1064">
        <v>0</v>
      </c>
      <c r="N1064" t="s">
        <v>1137</v>
      </c>
      <c r="O1064" t="s">
        <v>2637</v>
      </c>
      <c r="P1064">
        <v>9.35</v>
      </c>
      <c r="Q1064">
        <f t="shared" si="16"/>
        <v>158.57399999999998</v>
      </c>
      <c r="R1064">
        <v>2844.982</v>
      </c>
      <c r="S1064" s="2">
        <v>45510</v>
      </c>
      <c r="T1064" s="2">
        <v>45520</v>
      </c>
      <c r="U1064" t="s">
        <v>33</v>
      </c>
      <c r="V1064">
        <v>6</v>
      </c>
      <c r="W1064">
        <v>8</v>
      </c>
      <c r="X1064" t="s">
        <v>48</v>
      </c>
      <c r="Y1064">
        <v>2024</v>
      </c>
      <c r="Z1064">
        <v>3</v>
      </c>
      <c r="AA1064">
        <v>32</v>
      </c>
    </row>
    <row r="1065" spans="1:27" x14ac:dyDescent="0.3">
      <c r="A1065" s="2">
        <v>45489</v>
      </c>
      <c r="B1065" t="s">
        <v>3</v>
      </c>
      <c r="C1065" t="s">
        <v>6</v>
      </c>
      <c r="D1065">
        <v>14</v>
      </c>
      <c r="E1065">
        <v>300.38</v>
      </c>
      <c r="F1065" t="s">
        <v>13</v>
      </c>
      <c r="G1065" t="s">
        <v>17</v>
      </c>
      <c r="H1065">
        <v>0.1</v>
      </c>
      <c r="I1065" t="s">
        <v>19</v>
      </c>
      <c r="J1065">
        <v>3784.788</v>
      </c>
      <c r="K1065" t="s">
        <v>24</v>
      </c>
      <c r="L1065" t="s">
        <v>32</v>
      </c>
      <c r="M1065">
        <v>0</v>
      </c>
      <c r="N1065" t="s">
        <v>1138</v>
      </c>
      <c r="O1065" t="s">
        <v>2638</v>
      </c>
      <c r="P1065">
        <v>38.6</v>
      </c>
      <c r="Q1065">
        <f t="shared" si="16"/>
        <v>270.34199999999998</v>
      </c>
      <c r="R1065">
        <v>3746.1880000000001</v>
      </c>
      <c r="S1065" s="2">
        <v>45489</v>
      </c>
      <c r="T1065" s="2">
        <v>45492</v>
      </c>
      <c r="U1065" t="s">
        <v>36</v>
      </c>
      <c r="V1065">
        <v>16</v>
      </c>
      <c r="W1065">
        <v>7</v>
      </c>
      <c r="X1065" t="s">
        <v>46</v>
      </c>
      <c r="Y1065">
        <v>2024</v>
      </c>
      <c r="Z1065">
        <v>3</v>
      </c>
      <c r="AA1065">
        <v>29</v>
      </c>
    </row>
    <row r="1066" spans="1:27" x14ac:dyDescent="0.3">
      <c r="A1066" s="2">
        <v>45322</v>
      </c>
      <c r="B1066" t="s">
        <v>2</v>
      </c>
      <c r="C1066" t="s">
        <v>11</v>
      </c>
      <c r="D1066">
        <v>5</v>
      </c>
      <c r="E1066">
        <v>232.29</v>
      </c>
      <c r="F1066" t="s">
        <v>13</v>
      </c>
      <c r="G1066" t="s">
        <v>16</v>
      </c>
      <c r="H1066">
        <v>0</v>
      </c>
      <c r="I1066" t="s">
        <v>19</v>
      </c>
      <c r="J1066">
        <v>1161.45</v>
      </c>
      <c r="K1066" t="s">
        <v>24</v>
      </c>
      <c r="L1066" t="s">
        <v>32</v>
      </c>
      <c r="M1066">
        <v>1</v>
      </c>
      <c r="N1066" t="s">
        <v>1139</v>
      </c>
      <c r="O1066" t="s">
        <v>2639</v>
      </c>
      <c r="P1066">
        <v>42.38</v>
      </c>
      <c r="Q1066">
        <f t="shared" si="16"/>
        <v>232.29000000000002</v>
      </c>
      <c r="R1066">
        <v>1119.07</v>
      </c>
      <c r="S1066" s="2">
        <v>45322</v>
      </c>
      <c r="T1066" s="2">
        <v>45331</v>
      </c>
      <c r="U1066" t="s">
        <v>35</v>
      </c>
      <c r="V1066">
        <v>31</v>
      </c>
      <c r="W1066">
        <v>1</v>
      </c>
      <c r="X1066" t="s">
        <v>42</v>
      </c>
      <c r="Y1066">
        <v>2024</v>
      </c>
      <c r="Z1066">
        <v>1</v>
      </c>
      <c r="AA1066">
        <v>5</v>
      </c>
    </row>
    <row r="1067" spans="1:27" x14ac:dyDescent="0.3">
      <c r="A1067" s="2">
        <v>45038</v>
      </c>
      <c r="B1067" t="s">
        <v>3</v>
      </c>
      <c r="C1067" t="s">
        <v>10</v>
      </c>
      <c r="D1067">
        <v>1</v>
      </c>
      <c r="E1067">
        <v>173.44</v>
      </c>
      <c r="F1067" t="s">
        <v>13</v>
      </c>
      <c r="G1067" t="s">
        <v>17</v>
      </c>
      <c r="H1067">
        <v>0</v>
      </c>
      <c r="I1067" t="s">
        <v>23</v>
      </c>
      <c r="J1067">
        <v>173.44</v>
      </c>
      <c r="K1067" t="s">
        <v>25</v>
      </c>
      <c r="L1067" t="s">
        <v>29</v>
      </c>
      <c r="M1067">
        <v>0</v>
      </c>
      <c r="N1067" t="s">
        <v>1140</v>
      </c>
      <c r="O1067" t="s">
        <v>2640</v>
      </c>
      <c r="P1067">
        <v>32.83</v>
      </c>
      <c r="Q1067">
        <f t="shared" si="16"/>
        <v>173.44</v>
      </c>
      <c r="R1067">
        <v>140.61000000000001</v>
      </c>
      <c r="S1067" s="2">
        <v>45038</v>
      </c>
      <c r="T1067" s="2">
        <v>45040</v>
      </c>
      <c r="U1067" t="s">
        <v>36</v>
      </c>
      <c r="V1067">
        <v>22</v>
      </c>
      <c r="W1067">
        <v>4</v>
      </c>
      <c r="X1067" t="s">
        <v>45</v>
      </c>
      <c r="Y1067">
        <v>2023</v>
      </c>
      <c r="Z1067">
        <v>2</v>
      </c>
      <c r="AA1067">
        <v>16</v>
      </c>
    </row>
    <row r="1068" spans="1:27" x14ac:dyDescent="0.3">
      <c r="A1068" s="2">
        <v>45692</v>
      </c>
      <c r="B1068" t="s">
        <v>0</v>
      </c>
      <c r="C1068" t="s">
        <v>6</v>
      </c>
      <c r="D1068">
        <v>9</v>
      </c>
      <c r="E1068">
        <v>256.14</v>
      </c>
      <c r="F1068" t="s">
        <v>13</v>
      </c>
      <c r="G1068" t="s">
        <v>17</v>
      </c>
      <c r="H1068">
        <v>0.15</v>
      </c>
      <c r="I1068" t="s">
        <v>20</v>
      </c>
      <c r="J1068">
        <v>1959.471</v>
      </c>
      <c r="K1068" t="s">
        <v>26</v>
      </c>
      <c r="L1068" t="s">
        <v>30</v>
      </c>
      <c r="M1068">
        <v>1</v>
      </c>
      <c r="N1068" t="s">
        <v>1141</v>
      </c>
      <c r="O1068" t="s">
        <v>2641</v>
      </c>
      <c r="P1068">
        <v>5.21</v>
      </c>
      <c r="Q1068">
        <f t="shared" si="16"/>
        <v>217.71899999999999</v>
      </c>
      <c r="R1068">
        <v>1954.261</v>
      </c>
      <c r="S1068" s="2">
        <v>45692</v>
      </c>
      <c r="T1068" s="2">
        <v>45695</v>
      </c>
      <c r="U1068" t="s">
        <v>33</v>
      </c>
      <c r="V1068">
        <v>4</v>
      </c>
      <c r="W1068">
        <v>2</v>
      </c>
      <c r="X1068" t="s">
        <v>38</v>
      </c>
      <c r="Y1068">
        <v>2025</v>
      </c>
      <c r="Z1068">
        <v>1</v>
      </c>
      <c r="AA1068">
        <v>6</v>
      </c>
    </row>
    <row r="1069" spans="1:27" x14ac:dyDescent="0.3">
      <c r="A1069" s="2">
        <v>45529</v>
      </c>
      <c r="B1069" t="s">
        <v>3</v>
      </c>
      <c r="C1069" t="s">
        <v>5</v>
      </c>
      <c r="D1069">
        <v>12</v>
      </c>
      <c r="E1069">
        <v>461.3</v>
      </c>
      <c r="F1069" t="s">
        <v>15</v>
      </c>
      <c r="G1069" t="s">
        <v>16</v>
      </c>
      <c r="H1069">
        <v>0.15</v>
      </c>
      <c r="I1069" t="s">
        <v>22</v>
      </c>
      <c r="J1069">
        <v>4705.26</v>
      </c>
      <c r="K1069" t="s">
        <v>25</v>
      </c>
      <c r="L1069" t="s">
        <v>29</v>
      </c>
      <c r="M1069">
        <v>0</v>
      </c>
      <c r="N1069" t="s">
        <v>1142</v>
      </c>
      <c r="O1069" t="s">
        <v>2642</v>
      </c>
      <c r="P1069">
        <v>8.6</v>
      </c>
      <c r="Q1069">
        <f t="shared" si="16"/>
        <v>392.10500000000002</v>
      </c>
      <c r="R1069">
        <v>4696.66</v>
      </c>
      <c r="S1069" s="2">
        <v>45529</v>
      </c>
      <c r="T1069" s="2">
        <v>45538</v>
      </c>
      <c r="U1069" t="s">
        <v>36</v>
      </c>
      <c r="V1069">
        <v>25</v>
      </c>
      <c r="W1069">
        <v>8</v>
      </c>
      <c r="X1069" t="s">
        <v>48</v>
      </c>
      <c r="Y1069">
        <v>2024</v>
      </c>
      <c r="Z1069">
        <v>3</v>
      </c>
      <c r="AA1069">
        <v>34</v>
      </c>
    </row>
    <row r="1070" spans="1:27" x14ac:dyDescent="0.3">
      <c r="A1070" s="2">
        <v>45168</v>
      </c>
      <c r="B1070" t="s">
        <v>0</v>
      </c>
      <c r="C1070" t="s">
        <v>6</v>
      </c>
      <c r="D1070">
        <v>1</v>
      </c>
      <c r="E1070">
        <v>193.08</v>
      </c>
      <c r="F1070" t="s">
        <v>13</v>
      </c>
      <c r="G1070" t="s">
        <v>16</v>
      </c>
      <c r="H1070">
        <v>0.05</v>
      </c>
      <c r="I1070" t="s">
        <v>20</v>
      </c>
      <c r="J1070">
        <v>183.42599999999999</v>
      </c>
      <c r="K1070" t="s">
        <v>24</v>
      </c>
      <c r="L1070" t="s">
        <v>30</v>
      </c>
      <c r="M1070">
        <v>0</v>
      </c>
      <c r="N1070" t="s">
        <v>1143</v>
      </c>
      <c r="O1070" t="s">
        <v>2643</v>
      </c>
      <c r="P1070">
        <v>23.99</v>
      </c>
      <c r="Q1070">
        <f t="shared" si="16"/>
        <v>183.42599999999999</v>
      </c>
      <c r="R1070">
        <v>159.43599999999998</v>
      </c>
      <c r="S1070" s="2">
        <v>45168</v>
      </c>
      <c r="T1070" s="2">
        <v>45174</v>
      </c>
      <c r="U1070" t="s">
        <v>33</v>
      </c>
      <c r="V1070">
        <v>30</v>
      </c>
      <c r="W1070">
        <v>8</v>
      </c>
      <c r="X1070" t="s">
        <v>48</v>
      </c>
      <c r="Y1070">
        <v>2023</v>
      </c>
      <c r="Z1070">
        <v>3</v>
      </c>
      <c r="AA1070">
        <v>35</v>
      </c>
    </row>
    <row r="1071" spans="1:27" x14ac:dyDescent="0.3">
      <c r="A1071" s="2">
        <v>45175</v>
      </c>
      <c r="B1071" t="s">
        <v>4</v>
      </c>
      <c r="C1071" t="s">
        <v>8</v>
      </c>
      <c r="D1071">
        <v>3</v>
      </c>
      <c r="E1071">
        <v>312.97000000000003</v>
      </c>
      <c r="F1071" t="s">
        <v>14</v>
      </c>
      <c r="G1071" t="s">
        <v>17</v>
      </c>
      <c r="H1071">
        <v>0.05</v>
      </c>
      <c r="I1071" t="s">
        <v>18</v>
      </c>
      <c r="J1071">
        <v>891.96450000000004</v>
      </c>
      <c r="K1071" t="s">
        <v>26</v>
      </c>
      <c r="L1071" t="s">
        <v>32</v>
      </c>
      <c r="M1071">
        <v>1</v>
      </c>
      <c r="N1071" t="s">
        <v>1144</v>
      </c>
      <c r="O1071" t="s">
        <v>2644</v>
      </c>
      <c r="P1071">
        <v>20.059999999999999</v>
      </c>
      <c r="Q1071">
        <f t="shared" si="16"/>
        <v>297.32150000000001</v>
      </c>
      <c r="R1071">
        <v>871.9045000000001</v>
      </c>
      <c r="S1071" s="2">
        <v>45175</v>
      </c>
      <c r="T1071" s="2">
        <v>45181</v>
      </c>
      <c r="U1071" t="s">
        <v>37</v>
      </c>
      <c r="V1071">
        <v>6</v>
      </c>
      <c r="W1071">
        <v>9</v>
      </c>
      <c r="X1071" t="s">
        <v>49</v>
      </c>
      <c r="Y1071">
        <v>2023</v>
      </c>
      <c r="Z1071">
        <v>3</v>
      </c>
      <c r="AA1071">
        <v>36</v>
      </c>
    </row>
    <row r="1072" spans="1:27" x14ac:dyDescent="0.3">
      <c r="A1072" s="2">
        <v>45790</v>
      </c>
      <c r="B1072" t="s">
        <v>1</v>
      </c>
      <c r="C1072" t="s">
        <v>5</v>
      </c>
      <c r="D1072">
        <v>6</v>
      </c>
      <c r="E1072">
        <v>214.14</v>
      </c>
      <c r="F1072" t="s">
        <v>15</v>
      </c>
      <c r="G1072" t="s">
        <v>16</v>
      </c>
      <c r="H1072">
        <v>0.05</v>
      </c>
      <c r="I1072" t="s">
        <v>22</v>
      </c>
      <c r="J1072">
        <v>1220.598</v>
      </c>
      <c r="K1072" t="s">
        <v>28</v>
      </c>
      <c r="L1072" t="s">
        <v>29</v>
      </c>
      <c r="M1072">
        <v>0</v>
      </c>
      <c r="N1072" t="s">
        <v>1145</v>
      </c>
      <c r="O1072" t="s">
        <v>2645</v>
      </c>
      <c r="P1072">
        <v>44.86</v>
      </c>
      <c r="Q1072">
        <f t="shared" si="16"/>
        <v>203.43299999999999</v>
      </c>
      <c r="R1072">
        <v>1175.7380000000001</v>
      </c>
      <c r="S1072" s="2">
        <v>45790</v>
      </c>
      <c r="T1072" s="2">
        <v>45798</v>
      </c>
      <c r="U1072" t="s">
        <v>34</v>
      </c>
      <c r="V1072">
        <v>13</v>
      </c>
      <c r="W1072">
        <v>5</v>
      </c>
      <c r="X1072" t="s">
        <v>40</v>
      </c>
      <c r="Y1072">
        <v>2025</v>
      </c>
      <c r="Z1072">
        <v>2</v>
      </c>
      <c r="AA1072">
        <v>20</v>
      </c>
    </row>
    <row r="1073" spans="1:27" x14ac:dyDescent="0.3">
      <c r="A1073" s="2">
        <v>45228</v>
      </c>
      <c r="B1073" t="s">
        <v>2</v>
      </c>
      <c r="C1073" t="s">
        <v>6</v>
      </c>
      <c r="D1073">
        <v>4</v>
      </c>
      <c r="E1073">
        <v>59.8</v>
      </c>
      <c r="F1073" t="s">
        <v>15</v>
      </c>
      <c r="G1073" t="s">
        <v>17</v>
      </c>
      <c r="H1073">
        <v>0.1</v>
      </c>
      <c r="I1073" t="s">
        <v>20</v>
      </c>
      <c r="J1073">
        <v>215.28</v>
      </c>
      <c r="K1073" t="s">
        <v>24</v>
      </c>
      <c r="L1073" t="s">
        <v>29</v>
      </c>
      <c r="M1073">
        <v>0</v>
      </c>
      <c r="N1073" t="s">
        <v>1146</v>
      </c>
      <c r="O1073" t="s">
        <v>2646</v>
      </c>
      <c r="P1073">
        <v>42.59</v>
      </c>
      <c r="Q1073">
        <f t="shared" si="16"/>
        <v>53.82</v>
      </c>
      <c r="R1073">
        <v>172.69</v>
      </c>
      <c r="S1073" s="2">
        <v>45228</v>
      </c>
      <c r="T1073" s="2">
        <v>45236</v>
      </c>
      <c r="U1073" t="s">
        <v>35</v>
      </c>
      <c r="V1073">
        <v>29</v>
      </c>
      <c r="W1073">
        <v>10</v>
      </c>
      <c r="X1073" t="s">
        <v>43</v>
      </c>
      <c r="Y1073">
        <v>2023</v>
      </c>
      <c r="Z1073">
        <v>4</v>
      </c>
      <c r="AA1073">
        <v>43</v>
      </c>
    </row>
    <row r="1074" spans="1:27" x14ac:dyDescent="0.3">
      <c r="A1074" s="2">
        <v>45455</v>
      </c>
      <c r="B1074" t="s">
        <v>0</v>
      </c>
      <c r="C1074" t="s">
        <v>5</v>
      </c>
      <c r="D1074">
        <v>9</v>
      </c>
      <c r="E1074">
        <v>418</v>
      </c>
      <c r="F1074" t="s">
        <v>14</v>
      </c>
      <c r="G1074" t="s">
        <v>16</v>
      </c>
      <c r="H1074">
        <v>0</v>
      </c>
      <c r="I1074" t="s">
        <v>23</v>
      </c>
      <c r="J1074">
        <v>3762</v>
      </c>
      <c r="K1074" t="s">
        <v>26</v>
      </c>
      <c r="L1074" t="s">
        <v>31</v>
      </c>
      <c r="M1074">
        <v>0</v>
      </c>
      <c r="N1074" t="s">
        <v>1147</v>
      </c>
      <c r="O1074" t="s">
        <v>2647</v>
      </c>
      <c r="P1074">
        <v>30.45</v>
      </c>
      <c r="Q1074">
        <f t="shared" si="16"/>
        <v>418</v>
      </c>
      <c r="R1074">
        <v>3731.55</v>
      </c>
      <c r="S1074" s="2">
        <v>45455</v>
      </c>
      <c r="T1074" s="2">
        <v>45461</v>
      </c>
      <c r="U1074" t="s">
        <v>33</v>
      </c>
      <c r="V1074">
        <v>12</v>
      </c>
      <c r="W1074">
        <v>6</v>
      </c>
      <c r="X1074" t="s">
        <v>41</v>
      </c>
      <c r="Y1074">
        <v>2024</v>
      </c>
      <c r="Z1074">
        <v>2</v>
      </c>
      <c r="AA1074">
        <v>24</v>
      </c>
    </row>
    <row r="1075" spans="1:27" x14ac:dyDescent="0.3">
      <c r="A1075" s="2">
        <v>44959</v>
      </c>
      <c r="B1075" t="s">
        <v>1</v>
      </c>
      <c r="C1075" t="s">
        <v>8</v>
      </c>
      <c r="D1075">
        <v>1</v>
      </c>
      <c r="E1075">
        <v>80.959999999999994</v>
      </c>
      <c r="F1075" t="s">
        <v>13</v>
      </c>
      <c r="G1075" t="s">
        <v>16</v>
      </c>
      <c r="H1075">
        <v>0</v>
      </c>
      <c r="I1075" t="s">
        <v>23</v>
      </c>
      <c r="J1075">
        <v>80.959999999999994</v>
      </c>
      <c r="K1075" t="s">
        <v>26</v>
      </c>
      <c r="L1075" t="s">
        <v>29</v>
      </c>
      <c r="M1075">
        <v>0</v>
      </c>
      <c r="N1075" t="s">
        <v>1148</v>
      </c>
      <c r="O1075" t="s">
        <v>2648</v>
      </c>
      <c r="P1075">
        <v>48.07</v>
      </c>
      <c r="Q1075">
        <f t="shared" si="16"/>
        <v>80.959999999999994</v>
      </c>
      <c r="R1075">
        <v>32.889999999999993</v>
      </c>
      <c r="S1075" s="2">
        <v>44959</v>
      </c>
      <c r="T1075" s="2">
        <v>44962</v>
      </c>
      <c r="U1075" t="s">
        <v>34</v>
      </c>
      <c r="V1075">
        <v>2</v>
      </c>
      <c r="W1075">
        <v>2</v>
      </c>
      <c r="X1075" t="s">
        <v>38</v>
      </c>
      <c r="Y1075">
        <v>2023</v>
      </c>
      <c r="Z1075">
        <v>1</v>
      </c>
      <c r="AA1075">
        <v>5</v>
      </c>
    </row>
    <row r="1076" spans="1:27" x14ac:dyDescent="0.3">
      <c r="A1076" s="2">
        <v>45050</v>
      </c>
      <c r="B1076" t="s">
        <v>0</v>
      </c>
      <c r="C1076" t="s">
        <v>6</v>
      </c>
      <c r="D1076">
        <v>20</v>
      </c>
      <c r="E1076">
        <v>42.12</v>
      </c>
      <c r="F1076" t="s">
        <v>12</v>
      </c>
      <c r="G1076" t="s">
        <v>16</v>
      </c>
      <c r="H1076">
        <v>0.15</v>
      </c>
      <c r="I1076" t="s">
        <v>19</v>
      </c>
      <c r="J1076">
        <v>716.04</v>
      </c>
      <c r="K1076" t="s">
        <v>26</v>
      </c>
      <c r="L1076" t="s">
        <v>32</v>
      </c>
      <c r="M1076">
        <v>0</v>
      </c>
      <c r="N1076" t="s">
        <v>1149</v>
      </c>
      <c r="O1076" t="s">
        <v>2649</v>
      </c>
      <c r="P1076">
        <v>43.22</v>
      </c>
      <c r="Q1076">
        <f t="shared" si="16"/>
        <v>35.802</v>
      </c>
      <c r="R1076">
        <v>672.81999999999994</v>
      </c>
      <c r="S1076" s="2">
        <v>45050</v>
      </c>
      <c r="T1076" s="2">
        <v>45058</v>
      </c>
      <c r="U1076" t="s">
        <v>33</v>
      </c>
      <c r="V1076">
        <v>4</v>
      </c>
      <c r="W1076">
        <v>5</v>
      </c>
      <c r="X1076" t="s">
        <v>40</v>
      </c>
      <c r="Y1076">
        <v>2023</v>
      </c>
      <c r="Z1076">
        <v>2</v>
      </c>
      <c r="AA1076">
        <v>18</v>
      </c>
    </row>
    <row r="1077" spans="1:27" x14ac:dyDescent="0.3">
      <c r="A1077" s="2">
        <v>45070</v>
      </c>
      <c r="B1077" t="s">
        <v>4</v>
      </c>
      <c r="C1077" t="s">
        <v>9</v>
      </c>
      <c r="D1077">
        <v>3</v>
      </c>
      <c r="E1077">
        <v>366.65</v>
      </c>
      <c r="F1077" t="s">
        <v>15</v>
      </c>
      <c r="G1077" t="s">
        <v>16</v>
      </c>
      <c r="H1077">
        <v>0</v>
      </c>
      <c r="I1077" t="s">
        <v>21</v>
      </c>
      <c r="J1077">
        <v>1099.95</v>
      </c>
      <c r="K1077" t="s">
        <v>26</v>
      </c>
      <c r="L1077" t="s">
        <v>30</v>
      </c>
      <c r="M1077">
        <v>0</v>
      </c>
      <c r="N1077" t="s">
        <v>1150</v>
      </c>
      <c r="O1077" t="s">
        <v>2650</v>
      </c>
      <c r="P1077">
        <v>33.6</v>
      </c>
      <c r="Q1077">
        <f t="shared" si="16"/>
        <v>366.65000000000003</v>
      </c>
      <c r="R1077">
        <v>1066.3500000000001</v>
      </c>
      <c r="S1077" s="2">
        <v>45070</v>
      </c>
      <c r="T1077" s="2">
        <v>45077</v>
      </c>
      <c r="U1077" t="s">
        <v>37</v>
      </c>
      <c r="V1077">
        <v>24</v>
      </c>
      <c r="W1077">
        <v>5</v>
      </c>
      <c r="X1077" t="s">
        <v>40</v>
      </c>
      <c r="Y1077">
        <v>2023</v>
      </c>
      <c r="Z1077">
        <v>2</v>
      </c>
      <c r="AA1077">
        <v>21</v>
      </c>
    </row>
    <row r="1078" spans="1:27" x14ac:dyDescent="0.3">
      <c r="A1078" s="2">
        <v>44960</v>
      </c>
      <c r="B1078" t="s">
        <v>4</v>
      </c>
      <c r="C1078" t="s">
        <v>9</v>
      </c>
      <c r="D1078">
        <v>19</v>
      </c>
      <c r="E1078">
        <v>534.91999999999996</v>
      </c>
      <c r="F1078" t="s">
        <v>15</v>
      </c>
      <c r="G1078" t="s">
        <v>17</v>
      </c>
      <c r="H1078">
        <v>0</v>
      </c>
      <c r="I1078" t="s">
        <v>22</v>
      </c>
      <c r="J1078">
        <v>10163.48</v>
      </c>
      <c r="K1078" t="s">
        <v>24</v>
      </c>
      <c r="L1078" t="s">
        <v>32</v>
      </c>
      <c r="M1078">
        <v>0</v>
      </c>
      <c r="N1078" t="s">
        <v>1151</v>
      </c>
      <c r="O1078" t="s">
        <v>2651</v>
      </c>
      <c r="P1078">
        <v>26.97</v>
      </c>
      <c r="Q1078">
        <f t="shared" si="16"/>
        <v>534.91999999999996</v>
      </c>
      <c r="R1078">
        <v>10136.51</v>
      </c>
      <c r="S1078" s="2">
        <v>44960</v>
      </c>
      <c r="T1078" s="2">
        <v>44970</v>
      </c>
      <c r="U1078" t="s">
        <v>37</v>
      </c>
      <c r="V1078">
        <v>3</v>
      </c>
      <c r="W1078">
        <v>2</v>
      </c>
      <c r="X1078" t="s">
        <v>38</v>
      </c>
      <c r="Y1078">
        <v>2023</v>
      </c>
      <c r="Z1078">
        <v>1</v>
      </c>
      <c r="AA1078">
        <v>5</v>
      </c>
    </row>
    <row r="1079" spans="1:27" x14ac:dyDescent="0.3">
      <c r="A1079" s="2">
        <v>45285</v>
      </c>
      <c r="B1079" t="s">
        <v>0</v>
      </c>
      <c r="C1079" t="s">
        <v>8</v>
      </c>
      <c r="D1079">
        <v>1</v>
      </c>
      <c r="E1079">
        <v>494.52</v>
      </c>
      <c r="F1079" t="s">
        <v>15</v>
      </c>
      <c r="G1079" t="s">
        <v>17</v>
      </c>
      <c r="H1079">
        <v>0</v>
      </c>
      <c r="I1079" t="s">
        <v>23</v>
      </c>
      <c r="J1079">
        <v>494.52</v>
      </c>
      <c r="K1079" t="s">
        <v>26</v>
      </c>
      <c r="L1079" t="s">
        <v>32</v>
      </c>
      <c r="M1079">
        <v>0</v>
      </c>
      <c r="N1079" t="s">
        <v>1152</v>
      </c>
      <c r="O1079" t="s">
        <v>2652</v>
      </c>
      <c r="P1079">
        <v>43.02</v>
      </c>
      <c r="Q1079">
        <f t="shared" si="16"/>
        <v>494.52</v>
      </c>
      <c r="R1079">
        <v>451.5</v>
      </c>
      <c r="S1079" s="2">
        <v>45285</v>
      </c>
      <c r="T1079" s="2">
        <v>45293</v>
      </c>
      <c r="U1079" t="s">
        <v>33</v>
      </c>
      <c r="V1079">
        <v>25</v>
      </c>
      <c r="W1079">
        <v>12</v>
      </c>
      <c r="X1079" t="s">
        <v>39</v>
      </c>
      <c r="Y1079">
        <v>2023</v>
      </c>
      <c r="Z1079">
        <v>4</v>
      </c>
      <c r="AA1079">
        <v>52</v>
      </c>
    </row>
    <row r="1080" spans="1:27" x14ac:dyDescent="0.3">
      <c r="A1080" s="2">
        <v>45133</v>
      </c>
      <c r="B1080" t="s">
        <v>0</v>
      </c>
      <c r="C1080" t="s">
        <v>9</v>
      </c>
      <c r="D1080">
        <v>6</v>
      </c>
      <c r="E1080">
        <v>344.67</v>
      </c>
      <c r="F1080" t="s">
        <v>15</v>
      </c>
      <c r="G1080" t="s">
        <v>16</v>
      </c>
      <c r="H1080">
        <v>0.1</v>
      </c>
      <c r="I1080" t="s">
        <v>22</v>
      </c>
      <c r="J1080">
        <v>1861.2180000000001</v>
      </c>
      <c r="K1080" t="s">
        <v>24</v>
      </c>
      <c r="L1080" t="s">
        <v>30</v>
      </c>
      <c r="M1080">
        <v>1</v>
      </c>
      <c r="N1080" t="s">
        <v>1153</v>
      </c>
      <c r="O1080" t="s">
        <v>2653</v>
      </c>
      <c r="P1080">
        <v>31.13</v>
      </c>
      <c r="Q1080">
        <f t="shared" si="16"/>
        <v>310.20300000000003</v>
      </c>
      <c r="R1080">
        <v>1830.088</v>
      </c>
      <c r="S1080" s="2">
        <v>45133</v>
      </c>
      <c r="T1080" s="2">
        <v>45139</v>
      </c>
      <c r="U1080" t="s">
        <v>33</v>
      </c>
      <c r="V1080">
        <v>26</v>
      </c>
      <c r="W1080">
        <v>7</v>
      </c>
      <c r="X1080" t="s">
        <v>46</v>
      </c>
      <c r="Y1080">
        <v>2023</v>
      </c>
      <c r="Z1080">
        <v>3</v>
      </c>
      <c r="AA1080">
        <v>30</v>
      </c>
    </row>
    <row r="1081" spans="1:27" x14ac:dyDescent="0.3">
      <c r="A1081" s="2">
        <v>45449</v>
      </c>
      <c r="B1081" t="s">
        <v>3</v>
      </c>
      <c r="C1081" t="s">
        <v>9</v>
      </c>
      <c r="D1081">
        <v>12</v>
      </c>
      <c r="E1081">
        <v>489.14</v>
      </c>
      <c r="F1081" t="s">
        <v>15</v>
      </c>
      <c r="G1081" t="s">
        <v>17</v>
      </c>
      <c r="H1081">
        <v>0.15</v>
      </c>
      <c r="I1081" t="s">
        <v>23</v>
      </c>
      <c r="J1081">
        <v>4989.2280000000001</v>
      </c>
      <c r="K1081" t="s">
        <v>24</v>
      </c>
      <c r="L1081" t="s">
        <v>30</v>
      </c>
      <c r="M1081">
        <v>0</v>
      </c>
      <c r="N1081" t="s">
        <v>1154</v>
      </c>
      <c r="O1081" t="s">
        <v>2654</v>
      </c>
      <c r="P1081">
        <v>29.31</v>
      </c>
      <c r="Q1081">
        <f t="shared" si="16"/>
        <v>415.76900000000001</v>
      </c>
      <c r="R1081">
        <v>4959.9179999999997</v>
      </c>
      <c r="S1081" s="2">
        <v>45449</v>
      </c>
      <c r="T1081" s="2">
        <v>45458</v>
      </c>
      <c r="U1081" t="s">
        <v>36</v>
      </c>
      <c r="V1081">
        <v>6</v>
      </c>
      <c r="W1081">
        <v>6</v>
      </c>
      <c r="X1081" t="s">
        <v>41</v>
      </c>
      <c r="Y1081">
        <v>2024</v>
      </c>
      <c r="Z1081">
        <v>2</v>
      </c>
      <c r="AA1081">
        <v>23</v>
      </c>
    </row>
    <row r="1082" spans="1:27" x14ac:dyDescent="0.3">
      <c r="A1082" s="2">
        <v>45578</v>
      </c>
      <c r="B1082" t="s">
        <v>1</v>
      </c>
      <c r="C1082" t="s">
        <v>11</v>
      </c>
      <c r="D1082">
        <v>18</v>
      </c>
      <c r="E1082">
        <v>256.23</v>
      </c>
      <c r="F1082" t="s">
        <v>12</v>
      </c>
      <c r="G1082" t="s">
        <v>16</v>
      </c>
      <c r="H1082">
        <v>0.05</v>
      </c>
      <c r="I1082" t="s">
        <v>18</v>
      </c>
      <c r="J1082">
        <v>4381.5330000000004</v>
      </c>
      <c r="K1082" t="s">
        <v>27</v>
      </c>
      <c r="L1082" t="s">
        <v>32</v>
      </c>
      <c r="M1082">
        <v>0</v>
      </c>
      <c r="N1082" t="s">
        <v>1155</v>
      </c>
      <c r="O1082" t="s">
        <v>2655</v>
      </c>
      <c r="P1082">
        <v>11.21</v>
      </c>
      <c r="Q1082">
        <f t="shared" si="16"/>
        <v>243.41850000000002</v>
      </c>
      <c r="R1082">
        <v>4370.3230000000003</v>
      </c>
      <c r="S1082" s="2">
        <v>45578</v>
      </c>
      <c r="T1082" s="2">
        <v>45583</v>
      </c>
      <c r="U1082" t="s">
        <v>34</v>
      </c>
      <c r="V1082">
        <v>13</v>
      </c>
      <c r="W1082">
        <v>10</v>
      </c>
      <c r="X1082" t="s">
        <v>43</v>
      </c>
      <c r="Y1082">
        <v>2024</v>
      </c>
      <c r="Z1082">
        <v>4</v>
      </c>
      <c r="AA1082">
        <v>41</v>
      </c>
    </row>
    <row r="1083" spans="1:27" x14ac:dyDescent="0.3">
      <c r="A1083" s="2">
        <v>45599</v>
      </c>
      <c r="B1083" t="s">
        <v>2</v>
      </c>
      <c r="C1083" t="s">
        <v>11</v>
      </c>
      <c r="D1083">
        <v>17</v>
      </c>
      <c r="E1083">
        <v>99.76</v>
      </c>
      <c r="F1083" t="s">
        <v>14</v>
      </c>
      <c r="G1083" t="s">
        <v>16</v>
      </c>
      <c r="H1083">
        <v>0</v>
      </c>
      <c r="I1083" t="s">
        <v>22</v>
      </c>
      <c r="J1083">
        <v>1695.92</v>
      </c>
      <c r="K1083" t="s">
        <v>24</v>
      </c>
      <c r="L1083" t="s">
        <v>29</v>
      </c>
      <c r="M1083">
        <v>1</v>
      </c>
      <c r="N1083" t="s">
        <v>1156</v>
      </c>
      <c r="O1083" t="s">
        <v>2656</v>
      </c>
      <c r="P1083">
        <v>21.89</v>
      </c>
      <c r="Q1083">
        <f t="shared" si="16"/>
        <v>99.76</v>
      </c>
      <c r="R1083">
        <v>1674.03</v>
      </c>
      <c r="S1083" s="2">
        <v>45599</v>
      </c>
      <c r="T1083" s="2">
        <v>45609</v>
      </c>
      <c r="U1083" t="s">
        <v>35</v>
      </c>
      <c r="V1083">
        <v>3</v>
      </c>
      <c r="W1083">
        <v>11</v>
      </c>
      <c r="X1083" t="s">
        <v>47</v>
      </c>
      <c r="Y1083">
        <v>2024</v>
      </c>
      <c r="Z1083">
        <v>4</v>
      </c>
      <c r="AA1083">
        <v>44</v>
      </c>
    </row>
    <row r="1084" spans="1:27" x14ac:dyDescent="0.3">
      <c r="A1084" s="2">
        <v>45325</v>
      </c>
      <c r="B1084" t="s">
        <v>2</v>
      </c>
      <c r="C1084" t="s">
        <v>11</v>
      </c>
      <c r="D1084">
        <v>14</v>
      </c>
      <c r="E1084">
        <v>575.66</v>
      </c>
      <c r="F1084" t="s">
        <v>14</v>
      </c>
      <c r="G1084" t="s">
        <v>16</v>
      </c>
      <c r="H1084">
        <v>0.1</v>
      </c>
      <c r="I1084" t="s">
        <v>20</v>
      </c>
      <c r="J1084">
        <v>7253.3159999999998</v>
      </c>
      <c r="K1084" t="s">
        <v>26</v>
      </c>
      <c r="L1084" t="s">
        <v>32</v>
      </c>
      <c r="M1084">
        <v>0</v>
      </c>
      <c r="N1084" t="s">
        <v>1157</v>
      </c>
      <c r="O1084" t="s">
        <v>2657</v>
      </c>
      <c r="P1084">
        <v>32.53</v>
      </c>
      <c r="Q1084">
        <f t="shared" si="16"/>
        <v>518.09399999999994</v>
      </c>
      <c r="R1084">
        <v>7220.7860000000001</v>
      </c>
      <c r="S1084" s="2">
        <v>45325</v>
      </c>
      <c r="T1084" s="2">
        <v>45333</v>
      </c>
      <c r="U1084" t="s">
        <v>35</v>
      </c>
      <c r="V1084">
        <v>3</v>
      </c>
      <c r="W1084">
        <v>2</v>
      </c>
      <c r="X1084" t="s">
        <v>38</v>
      </c>
      <c r="Y1084">
        <v>2024</v>
      </c>
      <c r="Z1084">
        <v>1</v>
      </c>
      <c r="AA1084">
        <v>5</v>
      </c>
    </row>
    <row r="1085" spans="1:27" x14ac:dyDescent="0.3">
      <c r="A1085" s="2">
        <v>44936</v>
      </c>
      <c r="B1085" t="s">
        <v>0</v>
      </c>
      <c r="C1085" t="s">
        <v>8</v>
      </c>
      <c r="D1085">
        <v>6</v>
      </c>
      <c r="E1085">
        <v>176.52</v>
      </c>
      <c r="F1085" t="s">
        <v>15</v>
      </c>
      <c r="G1085" t="s">
        <v>16</v>
      </c>
      <c r="H1085">
        <v>0.15</v>
      </c>
      <c r="I1085" t="s">
        <v>19</v>
      </c>
      <c r="J1085">
        <v>900.25200000000007</v>
      </c>
      <c r="K1085" t="s">
        <v>24</v>
      </c>
      <c r="L1085" t="s">
        <v>29</v>
      </c>
      <c r="M1085">
        <v>0</v>
      </c>
      <c r="N1085" t="s">
        <v>1158</v>
      </c>
      <c r="O1085" t="s">
        <v>2658</v>
      </c>
      <c r="P1085">
        <v>16.98</v>
      </c>
      <c r="Q1085">
        <f t="shared" si="16"/>
        <v>150.042</v>
      </c>
      <c r="R1085">
        <v>883.27200000000005</v>
      </c>
      <c r="S1085" s="2">
        <v>44936</v>
      </c>
      <c r="T1085" s="2">
        <v>44939</v>
      </c>
      <c r="U1085" t="s">
        <v>33</v>
      </c>
      <c r="V1085">
        <v>10</v>
      </c>
      <c r="W1085">
        <v>1</v>
      </c>
      <c r="X1085" t="s">
        <v>42</v>
      </c>
      <c r="Y1085">
        <v>2023</v>
      </c>
      <c r="Z1085">
        <v>1</v>
      </c>
      <c r="AA1085">
        <v>2</v>
      </c>
    </row>
    <row r="1086" spans="1:27" x14ac:dyDescent="0.3">
      <c r="A1086" s="2">
        <v>45215</v>
      </c>
      <c r="B1086" t="s">
        <v>0</v>
      </c>
      <c r="C1086" t="s">
        <v>10</v>
      </c>
      <c r="D1086">
        <v>6</v>
      </c>
      <c r="E1086">
        <v>485.66</v>
      </c>
      <c r="F1086" t="s">
        <v>15</v>
      </c>
      <c r="G1086" t="s">
        <v>16</v>
      </c>
      <c r="H1086">
        <v>0.05</v>
      </c>
      <c r="I1086" t="s">
        <v>18</v>
      </c>
      <c r="J1086">
        <v>2768.2620000000002</v>
      </c>
      <c r="K1086" t="s">
        <v>25</v>
      </c>
      <c r="L1086" t="s">
        <v>29</v>
      </c>
      <c r="M1086">
        <v>0</v>
      </c>
      <c r="N1086" t="s">
        <v>1159</v>
      </c>
      <c r="O1086" t="s">
        <v>2659</v>
      </c>
      <c r="P1086">
        <v>30.62</v>
      </c>
      <c r="Q1086">
        <f t="shared" si="16"/>
        <v>461.37700000000001</v>
      </c>
      <c r="R1086">
        <v>2737.6420000000003</v>
      </c>
      <c r="S1086" s="2">
        <v>45215</v>
      </c>
      <c r="T1086" s="2">
        <v>45221</v>
      </c>
      <c r="U1086" t="s">
        <v>33</v>
      </c>
      <c r="V1086">
        <v>16</v>
      </c>
      <c r="W1086">
        <v>10</v>
      </c>
      <c r="X1086" t="s">
        <v>43</v>
      </c>
      <c r="Y1086">
        <v>2023</v>
      </c>
      <c r="Z1086">
        <v>4</v>
      </c>
      <c r="AA1086">
        <v>42</v>
      </c>
    </row>
    <row r="1087" spans="1:27" x14ac:dyDescent="0.3">
      <c r="A1087" s="2">
        <v>45735</v>
      </c>
      <c r="B1087" t="s">
        <v>3</v>
      </c>
      <c r="C1087" t="s">
        <v>5</v>
      </c>
      <c r="D1087">
        <v>8</v>
      </c>
      <c r="E1087">
        <v>141.61000000000001</v>
      </c>
      <c r="F1087" t="s">
        <v>12</v>
      </c>
      <c r="G1087" t="s">
        <v>17</v>
      </c>
      <c r="H1087">
        <v>0.1</v>
      </c>
      <c r="I1087" t="s">
        <v>23</v>
      </c>
      <c r="J1087">
        <v>1019.592</v>
      </c>
      <c r="K1087" t="s">
        <v>25</v>
      </c>
      <c r="L1087" t="s">
        <v>31</v>
      </c>
      <c r="M1087">
        <v>0</v>
      </c>
      <c r="N1087" t="s">
        <v>1160</v>
      </c>
      <c r="O1087" t="s">
        <v>2660</v>
      </c>
      <c r="P1087">
        <v>14.02</v>
      </c>
      <c r="Q1087">
        <f t="shared" si="16"/>
        <v>127.449</v>
      </c>
      <c r="R1087">
        <v>1005.572</v>
      </c>
      <c r="S1087" s="2">
        <v>45735</v>
      </c>
      <c r="T1087" s="2">
        <v>45740</v>
      </c>
      <c r="U1087" t="s">
        <v>36</v>
      </c>
      <c r="V1087">
        <v>19</v>
      </c>
      <c r="W1087">
        <v>3</v>
      </c>
      <c r="X1087" t="s">
        <v>44</v>
      </c>
      <c r="Y1087">
        <v>2025</v>
      </c>
      <c r="Z1087">
        <v>1</v>
      </c>
      <c r="AA1087">
        <v>12</v>
      </c>
    </row>
    <row r="1088" spans="1:27" x14ac:dyDescent="0.3">
      <c r="A1088" s="2">
        <v>45642</v>
      </c>
      <c r="B1088" t="s">
        <v>4</v>
      </c>
      <c r="C1088" t="s">
        <v>7</v>
      </c>
      <c r="D1088">
        <v>9</v>
      </c>
      <c r="E1088">
        <v>215.29</v>
      </c>
      <c r="F1088" t="s">
        <v>14</v>
      </c>
      <c r="G1088" t="s">
        <v>16</v>
      </c>
      <c r="H1088">
        <v>0.1</v>
      </c>
      <c r="I1088" t="s">
        <v>19</v>
      </c>
      <c r="J1088">
        <v>1743.8489999999999</v>
      </c>
      <c r="K1088" t="s">
        <v>26</v>
      </c>
      <c r="L1088" t="s">
        <v>31</v>
      </c>
      <c r="M1088">
        <v>0</v>
      </c>
      <c r="N1088" t="s">
        <v>1161</v>
      </c>
      <c r="O1088" t="s">
        <v>2661</v>
      </c>
      <c r="P1088">
        <v>5.84</v>
      </c>
      <c r="Q1088">
        <f t="shared" si="16"/>
        <v>193.761</v>
      </c>
      <c r="R1088">
        <v>1738.009</v>
      </c>
      <c r="S1088" s="2">
        <v>45642</v>
      </c>
      <c r="T1088" s="2">
        <v>45645</v>
      </c>
      <c r="U1088" t="s">
        <v>37</v>
      </c>
      <c r="V1088">
        <v>16</v>
      </c>
      <c r="W1088">
        <v>12</v>
      </c>
      <c r="X1088" t="s">
        <v>39</v>
      </c>
      <c r="Y1088">
        <v>2024</v>
      </c>
      <c r="Z1088">
        <v>4</v>
      </c>
      <c r="AA1088">
        <v>51</v>
      </c>
    </row>
    <row r="1089" spans="1:27" x14ac:dyDescent="0.3">
      <c r="A1089" s="2">
        <v>45154</v>
      </c>
      <c r="B1089" t="s">
        <v>4</v>
      </c>
      <c r="C1089" t="s">
        <v>5</v>
      </c>
      <c r="D1089">
        <v>18</v>
      </c>
      <c r="E1089">
        <v>497.22</v>
      </c>
      <c r="F1089" t="s">
        <v>12</v>
      </c>
      <c r="G1089" t="s">
        <v>16</v>
      </c>
      <c r="H1089">
        <v>0.05</v>
      </c>
      <c r="I1089" t="s">
        <v>22</v>
      </c>
      <c r="J1089">
        <v>8502.4620000000014</v>
      </c>
      <c r="K1089" t="s">
        <v>26</v>
      </c>
      <c r="L1089" t="s">
        <v>31</v>
      </c>
      <c r="M1089">
        <v>0</v>
      </c>
      <c r="N1089" t="s">
        <v>1162</v>
      </c>
      <c r="O1089" t="s">
        <v>2662</v>
      </c>
      <c r="P1089">
        <v>17.39</v>
      </c>
      <c r="Q1089">
        <f t="shared" si="16"/>
        <v>472.35900000000009</v>
      </c>
      <c r="R1089">
        <v>8485.0720000000019</v>
      </c>
      <c r="S1089" s="2">
        <v>45154</v>
      </c>
      <c r="T1089" s="2">
        <v>45158</v>
      </c>
      <c r="U1089" t="s">
        <v>37</v>
      </c>
      <c r="V1089">
        <v>16</v>
      </c>
      <c r="W1089">
        <v>8</v>
      </c>
      <c r="X1089" t="s">
        <v>48</v>
      </c>
      <c r="Y1089">
        <v>2023</v>
      </c>
      <c r="Z1089">
        <v>3</v>
      </c>
      <c r="AA1089">
        <v>33</v>
      </c>
    </row>
    <row r="1090" spans="1:27" x14ac:dyDescent="0.3">
      <c r="A1090" s="2">
        <v>44936</v>
      </c>
      <c r="B1090" t="s">
        <v>0</v>
      </c>
      <c r="C1090" t="s">
        <v>7</v>
      </c>
      <c r="D1090">
        <v>13</v>
      </c>
      <c r="E1090">
        <v>347.73</v>
      </c>
      <c r="F1090" t="s">
        <v>12</v>
      </c>
      <c r="G1090" t="s">
        <v>16</v>
      </c>
      <c r="H1090">
        <v>0.05</v>
      </c>
      <c r="I1090" t="s">
        <v>22</v>
      </c>
      <c r="J1090">
        <v>4294.4654999999993</v>
      </c>
      <c r="K1090" t="s">
        <v>25</v>
      </c>
      <c r="L1090" t="s">
        <v>29</v>
      </c>
      <c r="M1090">
        <v>1</v>
      </c>
      <c r="N1090" t="s">
        <v>1163</v>
      </c>
      <c r="O1090" t="s">
        <v>2663</v>
      </c>
      <c r="P1090">
        <v>31.81</v>
      </c>
      <c r="Q1090">
        <f t="shared" si="16"/>
        <v>330.34349999999995</v>
      </c>
      <c r="R1090">
        <v>4262.6554999999989</v>
      </c>
      <c r="S1090" s="2">
        <v>44936</v>
      </c>
      <c r="T1090" s="2">
        <v>44946</v>
      </c>
      <c r="U1090" t="s">
        <v>33</v>
      </c>
      <c r="V1090">
        <v>10</v>
      </c>
      <c r="W1090">
        <v>1</v>
      </c>
      <c r="X1090" t="s">
        <v>42</v>
      </c>
      <c r="Y1090">
        <v>2023</v>
      </c>
      <c r="Z1090">
        <v>1</v>
      </c>
      <c r="AA1090">
        <v>2</v>
      </c>
    </row>
    <row r="1091" spans="1:27" x14ac:dyDescent="0.3">
      <c r="A1091" s="2">
        <v>45786</v>
      </c>
      <c r="B1091" t="s">
        <v>3</v>
      </c>
      <c r="C1091" t="s">
        <v>8</v>
      </c>
      <c r="D1091">
        <v>3</v>
      </c>
      <c r="E1091">
        <v>371.21</v>
      </c>
      <c r="F1091" t="s">
        <v>14</v>
      </c>
      <c r="G1091" t="s">
        <v>16</v>
      </c>
      <c r="H1091">
        <v>0.1</v>
      </c>
      <c r="I1091" t="s">
        <v>18</v>
      </c>
      <c r="J1091">
        <v>1002.2670000000001</v>
      </c>
      <c r="K1091" t="s">
        <v>25</v>
      </c>
      <c r="L1091" t="s">
        <v>30</v>
      </c>
      <c r="M1091">
        <v>0</v>
      </c>
      <c r="N1091" t="s">
        <v>1164</v>
      </c>
      <c r="O1091" t="s">
        <v>2664</v>
      </c>
      <c r="P1091">
        <v>20.02</v>
      </c>
      <c r="Q1091">
        <f t="shared" ref="Q1091:Q1154" si="17">J1091/D1091</f>
        <v>334.089</v>
      </c>
      <c r="R1091">
        <v>982.24700000000007</v>
      </c>
      <c r="S1091" s="2">
        <v>45786</v>
      </c>
      <c r="T1091" s="2">
        <v>45795</v>
      </c>
      <c r="U1091" t="s">
        <v>36</v>
      </c>
      <c r="V1091">
        <v>9</v>
      </c>
      <c r="W1091">
        <v>5</v>
      </c>
      <c r="X1091" t="s">
        <v>40</v>
      </c>
      <c r="Y1091">
        <v>2025</v>
      </c>
      <c r="Z1091">
        <v>2</v>
      </c>
      <c r="AA1091">
        <v>19</v>
      </c>
    </row>
    <row r="1092" spans="1:27" x14ac:dyDescent="0.3">
      <c r="A1092" s="2">
        <v>45390</v>
      </c>
      <c r="B1092" t="s">
        <v>0</v>
      </c>
      <c r="C1092" t="s">
        <v>11</v>
      </c>
      <c r="D1092">
        <v>12</v>
      </c>
      <c r="E1092">
        <v>434.33</v>
      </c>
      <c r="F1092" t="s">
        <v>13</v>
      </c>
      <c r="G1092" t="s">
        <v>16</v>
      </c>
      <c r="H1092">
        <v>0.15</v>
      </c>
      <c r="I1092" t="s">
        <v>23</v>
      </c>
      <c r="J1092">
        <v>4430.1660000000002</v>
      </c>
      <c r="K1092" t="s">
        <v>28</v>
      </c>
      <c r="L1092" t="s">
        <v>29</v>
      </c>
      <c r="M1092">
        <v>0</v>
      </c>
      <c r="N1092" t="s">
        <v>1165</v>
      </c>
      <c r="O1092" t="s">
        <v>2665</v>
      </c>
      <c r="P1092">
        <v>15.33</v>
      </c>
      <c r="Q1092">
        <f t="shared" si="17"/>
        <v>369.18049999999999</v>
      </c>
      <c r="R1092">
        <v>4414.8360000000002</v>
      </c>
      <c r="S1092" s="2">
        <v>45390</v>
      </c>
      <c r="T1092" s="2">
        <v>45398</v>
      </c>
      <c r="U1092" t="s">
        <v>33</v>
      </c>
      <c r="V1092">
        <v>8</v>
      </c>
      <c r="W1092">
        <v>4</v>
      </c>
      <c r="X1092" t="s">
        <v>45</v>
      </c>
      <c r="Y1092">
        <v>2024</v>
      </c>
      <c r="Z1092">
        <v>2</v>
      </c>
      <c r="AA1092">
        <v>15</v>
      </c>
    </row>
    <row r="1093" spans="1:27" x14ac:dyDescent="0.3">
      <c r="A1093" s="2">
        <v>45783</v>
      </c>
      <c r="B1093" t="s">
        <v>0</v>
      </c>
      <c r="C1093" t="s">
        <v>9</v>
      </c>
      <c r="D1093">
        <v>16</v>
      </c>
      <c r="E1093">
        <v>426.65</v>
      </c>
      <c r="F1093" t="s">
        <v>13</v>
      </c>
      <c r="G1093" t="s">
        <v>17</v>
      </c>
      <c r="H1093">
        <v>0.1</v>
      </c>
      <c r="I1093" t="s">
        <v>22</v>
      </c>
      <c r="J1093">
        <v>6143.76</v>
      </c>
      <c r="K1093" t="s">
        <v>25</v>
      </c>
      <c r="L1093" t="s">
        <v>32</v>
      </c>
      <c r="M1093">
        <v>0</v>
      </c>
      <c r="N1093" t="s">
        <v>1166</v>
      </c>
      <c r="O1093" t="s">
        <v>2666</v>
      </c>
      <c r="P1093">
        <v>10.199999999999999</v>
      </c>
      <c r="Q1093">
        <f t="shared" si="17"/>
        <v>383.98500000000001</v>
      </c>
      <c r="R1093">
        <v>6133.56</v>
      </c>
      <c r="S1093" s="2">
        <v>45783</v>
      </c>
      <c r="T1093" s="2">
        <v>45792</v>
      </c>
      <c r="U1093" t="s">
        <v>33</v>
      </c>
      <c r="V1093">
        <v>6</v>
      </c>
      <c r="W1093">
        <v>5</v>
      </c>
      <c r="X1093" t="s">
        <v>40</v>
      </c>
      <c r="Y1093">
        <v>2025</v>
      </c>
      <c r="Z1093">
        <v>2</v>
      </c>
      <c r="AA1093">
        <v>19</v>
      </c>
    </row>
    <row r="1094" spans="1:27" x14ac:dyDescent="0.3">
      <c r="A1094" s="2">
        <v>45067</v>
      </c>
      <c r="B1094" t="s">
        <v>4</v>
      </c>
      <c r="C1094" t="s">
        <v>7</v>
      </c>
      <c r="D1094">
        <v>6</v>
      </c>
      <c r="E1094">
        <v>294.97000000000003</v>
      </c>
      <c r="F1094" t="s">
        <v>13</v>
      </c>
      <c r="G1094" t="s">
        <v>16</v>
      </c>
      <c r="H1094">
        <v>0.05</v>
      </c>
      <c r="I1094" t="s">
        <v>23</v>
      </c>
      <c r="J1094">
        <v>1681.329</v>
      </c>
      <c r="K1094" t="s">
        <v>26</v>
      </c>
      <c r="L1094" t="s">
        <v>31</v>
      </c>
      <c r="M1094">
        <v>0</v>
      </c>
      <c r="N1094" t="s">
        <v>1167</v>
      </c>
      <c r="O1094" t="s">
        <v>2667</v>
      </c>
      <c r="P1094">
        <v>48.08</v>
      </c>
      <c r="Q1094">
        <f t="shared" si="17"/>
        <v>280.22149999999999</v>
      </c>
      <c r="R1094">
        <v>1633.249</v>
      </c>
      <c r="S1094" s="2">
        <v>45067</v>
      </c>
      <c r="T1094" s="2">
        <v>45075</v>
      </c>
      <c r="U1094" t="s">
        <v>37</v>
      </c>
      <c r="V1094">
        <v>21</v>
      </c>
      <c r="W1094">
        <v>5</v>
      </c>
      <c r="X1094" t="s">
        <v>40</v>
      </c>
      <c r="Y1094">
        <v>2023</v>
      </c>
      <c r="Z1094">
        <v>2</v>
      </c>
      <c r="AA1094">
        <v>20</v>
      </c>
    </row>
    <row r="1095" spans="1:27" x14ac:dyDescent="0.3">
      <c r="A1095" s="2">
        <v>45253</v>
      </c>
      <c r="B1095" t="s">
        <v>3</v>
      </c>
      <c r="C1095" t="s">
        <v>6</v>
      </c>
      <c r="D1095">
        <v>12</v>
      </c>
      <c r="E1095">
        <v>130.9</v>
      </c>
      <c r="F1095" t="s">
        <v>15</v>
      </c>
      <c r="G1095" t="s">
        <v>17</v>
      </c>
      <c r="H1095">
        <v>0.15</v>
      </c>
      <c r="I1095" t="s">
        <v>19</v>
      </c>
      <c r="J1095">
        <v>1335.18</v>
      </c>
      <c r="K1095" t="s">
        <v>27</v>
      </c>
      <c r="L1095" t="s">
        <v>30</v>
      </c>
      <c r="M1095">
        <v>0</v>
      </c>
      <c r="N1095" t="s">
        <v>1168</v>
      </c>
      <c r="O1095" t="s">
        <v>2668</v>
      </c>
      <c r="P1095">
        <v>34.69</v>
      </c>
      <c r="Q1095">
        <f t="shared" si="17"/>
        <v>111.265</v>
      </c>
      <c r="R1095">
        <v>1300.49</v>
      </c>
      <c r="S1095" s="2">
        <v>45253</v>
      </c>
      <c r="T1095" s="2">
        <v>45260</v>
      </c>
      <c r="U1095" t="s">
        <v>36</v>
      </c>
      <c r="V1095">
        <v>23</v>
      </c>
      <c r="W1095">
        <v>11</v>
      </c>
      <c r="X1095" t="s">
        <v>47</v>
      </c>
      <c r="Y1095">
        <v>2023</v>
      </c>
      <c r="Z1095">
        <v>4</v>
      </c>
      <c r="AA1095">
        <v>47</v>
      </c>
    </row>
    <row r="1096" spans="1:27" x14ac:dyDescent="0.3">
      <c r="A1096" s="2">
        <v>45377</v>
      </c>
      <c r="B1096" t="s">
        <v>2</v>
      </c>
      <c r="C1096" t="s">
        <v>9</v>
      </c>
      <c r="D1096">
        <v>18</v>
      </c>
      <c r="E1096">
        <v>539.98</v>
      </c>
      <c r="F1096" t="s">
        <v>14</v>
      </c>
      <c r="G1096" t="s">
        <v>17</v>
      </c>
      <c r="H1096">
        <v>0.15</v>
      </c>
      <c r="I1096" t="s">
        <v>18</v>
      </c>
      <c r="J1096">
        <v>8261.6939999999995</v>
      </c>
      <c r="K1096" t="s">
        <v>28</v>
      </c>
      <c r="L1096" t="s">
        <v>29</v>
      </c>
      <c r="M1096">
        <v>1</v>
      </c>
      <c r="N1096" t="s">
        <v>1169</v>
      </c>
      <c r="O1096" t="s">
        <v>2669</v>
      </c>
      <c r="P1096">
        <v>34.44</v>
      </c>
      <c r="Q1096">
        <f t="shared" si="17"/>
        <v>458.98299999999995</v>
      </c>
      <c r="R1096">
        <v>8227.253999999999</v>
      </c>
      <c r="S1096" s="2">
        <v>45377</v>
      </c>
      <c r="T1096" s="2">
        <v>45387</v>
      </c>
      <c r="U1096" t="s">
        <v>35</v>
      </c>
      <c r="V1096">
        <v>26</v>
      </c>
      <c r="W1096">
        <v>3</v>
      </c>
      <c r="X1096" t="s">
        <v>44</v>
      </c>
      <c r="Y1096">
        <v>2024</v>
      </c>
      <c r="Z1096">
        <v>1</v>
      </c>
      <c r="AA1096">
        <v>13</v>
      </c>
    </row>
    <row r="1097" spans="1:27" x14ac:dyDescent="0.3">
      <c r="A1097" s="2">
        <v>45560</v>
      </c>
      <c r="B1097" t="s">
        <v>1</v>
      </c>
      <c r="C1097" t="s">
        <v>7</v>
      </c>
      <c r="D1097">
        <v>12</v>
      </c>
      <c r="E1097">
        <v>149.37</v>
      </c>
      <c r="F1097" t="s">
        <v>15</v>
      </c>
      <c r="G1097" t="s">
        <v>17</v>
      </c>
      <c r="H1097">
        <v>0.1</v>
      </c>
      <c r="I1097" t="s">
        <v>23</v>
      </c>
      <c r="J1097">
        <v>1613.1959999999999</v>
      </c>
      <c r="K1097" t="s">
        <v>26</v>
      </c>
      <c r="L1097" t="s">
        <v>32</v>
      </c>
      <c r="M1097">
        <v>0</v>
      </c>
      <c r="N1097" t="s">
        <v>1170</v>
      </c>
      <c r="O1097" t="s">
        <v>2670</v>
      </c>
      <c r="P1097">
        <v>20.21</v>
      </c>
      <c r="Q1097">
        <f t="shared" si="17"/>
        <v>134.43299999999999</v>
      </c>
      <c r="R1097">
        <v>1592.9859999999999</v>
      </c>
      <c r="S1097" s="2">
        <v>45560</v>
      </c>
      <c r="T1097" s="2">
        <v>45567</v>
      </c>
      <c r="U1097" t="s">
        <v>34</v>
      </c>
      <c r="V1097">
        <v>25</v>
      </c>
      <c r="W1097">
        <v>9</v>
      </c>
      <c r="X1097" t="s">
        <v>49</v>
      </c>
      <c r="Y1097">
        <v>2024</v>
      </c>
      <c r="Z1097">
        <v>3</v>
      </c>
      <c r="AA1097">
        <v>39</v>
      </c>
    </row>
    <row r="1098" spans="1:27" x14ac:dyDescent="0.3">
      <c r="A1098" s="2">
        <v>45022</v>
      </c>
      <c r="B1098" t="s">
        <v>0</v>
      </c>
      <c r="C1098" t="s">
        <v>8</v>
      </c>
      <c r="D1098">
        <v>5</v>
      </c>
      <c r="E1098">
        <v>411.24</v>
      </c>
      <c r="F1098" t="s">
        <v>13</v>
      </c>
      <c r="G1098" t="s">
        <v>16</v>
      </c>
      <c r="H1098">
        <v>0.15</v>
      </c>
      <c r="I1098" t="s">
        <v>23</v>
      </c>
      <c r="J1098">
        <v>1747.77</v>
      </c>
      <c r="K1098" t="s">
        <v>28</v>
      </c>
      <c r="L1098" t="s">
        <v>31</v>
      </c>
      <c r="M1098">
        <v>1</v>
      </c>
      <c r="N1098" t="s">
        <v>1171</v>
      </c>
      <c r="O1098" t="s">
        <v>2671</v>
      </c>
      <c r="P1098">
        <v>5.35</v>
      </c>
      <c r="Q1098">
        <f t="shared" si="17"/>
        <v>349.55399999999997</v>
      </c>
      <c r="R1098">
        <v>1742.42</v>
      </c>
      <c r="S1098" s="2">
        <v>45022</v>
      </c>
      <c r="T1098" s="2">
        <v>45026</v>
      </c>
      <c r="U1098" t="s">
        <v>33</v>
      </c>
      <c r="V1098">
        <v>6</v>
      </c>
      <c r="W1098">
        <v>4</v>
      </c>
      <c r="X1098" t="s">
        <v>45</v>
      </c>
      <c r="Y1098">
        <v>2023</v>
      </c>
      <c r="Z1098">
        <v>2</v>
      </c>
      <c r="AA1098">
        <v>14</v>
      </c>
    </row>
    <row r="1099" spans="1:27" x14ac:dyDescent="0.3">
      <c r="A1099" s="2">
        <v>45467</v>
      </c>
      <c r="B1099" t="s">
        <v>2</v>
      </c>
      <c r="C1099" t="s">
        <v>8</v>
      </c>
      <c r="D1099">
        <v>16</v>
      </c>
      <c r="E1099">
        <v>462.86</v>
      </c>
      <c r="F1099" t="s">
        <v>15</v>
      </c>
      <c r="G1099" t="s">
        <v>17</v>
      </c>
      <c r="H1099">
        <v>0.05</v>
      </c>
      <c r="I1099" t="s">
        <v>23</v>
      </c>
      <c r="J1099">
        <v>7035.4719999999998</v>
      </c>
      <c r="K1099" t="s">
        <v>28</v>
      </c>
      <c r="L1099" t="s">
        <v>32</v>
      </c>
      <c r="M1099">
        <v>1</v>
      </c>
      <c r="N1099" t="s">
        <v>1172</v>
      </c>
      <c r="O1099" t="s">
        <v>2672</v>
      </c>
      <c r="P1099">
        <v>17.43</v>
      </c>
      <c r="Q1099">
        <f t="shared" si="17"/>
        <v>439.71699999999998</v>
      </c>
      <c r="R1099">
        <v>7018.0419999999995</v>
      </c>
      <c r="S1099" s="2">
        <v>45467</v>
      </c>
      <c r="T1099" s="2">
        <v>45469</v>
      </c>
      <c r="U1099" t="s">
        <v>35</v>
      </c>
      <c r="V1099">
        <v>24</v>
      </c>
      <c r="W1099">
        <v>6</v>
      </c>
      <c r="X1099" t="s">
        <v>41</v>
      </c>
      <c r="Y1099">
        <v>2024</v>
      </c>
      <c r="Z1099">
        <v>2</v>
      </c>
      <c r="AA1099">
        <v>26</v>
      </c>
    </row>
    <row r="1100" spans="1:27" x14ac:dyDescent="0.3">
      <c r="A1100" s="2">
        <v>45641</v>
      </c>
      <c r="B1100" t="s">
        <v>1</v>
      </c>
      <c r="C1100" t="s">
        <v>5</v>
      </c>
      <c r="D1100">
        <v>17</v>
      </c>
      <c r="E1100">
        <v>506.38</v>
      </c>
      <c r="F1100" t="s">
        <v>12</v>
      </c>
      <c r="G1100" t="s">
        <v>16</v>
      </c>
      <c r="H1100">
        <v>0</v>
      </c>
      <c r="I1100" t="s">
        <v>21</v>
      </c>
      <c r="J1100">
        <v>8608.4599999999991</v>
      </c>
      <c r="K1100" t="s">
        <v>28</v>
      </c>
      <c r="L1100" t="s">
        <v>31</v>
      </c>
      <c r="M1100">
        <v>1</v>
      </c>
      <c r="N1100" t="s">
        <v>1173</v>
      </c>
      <c r="O1100" t="s">
        <v>2673</v>
      </c>
      <c r="P1100">
        <v>33.36</v>
      </c>
      <c r="Q1100">
        <f t="shared" si="17"/>
        <v>506.37999999999994</v>
      </c>
      <c r="R1100">
        <v>8575.0999999999985</v>
      </c>
      <c r="S1100" s="2">
        <v>45641</v>
      </c>
      <c r="T1100" s="2">
        <v>45649</v>
      </c>
      <c r="U1100" t="s">
        <v>34</v>
      </c>
      <c r="V1100">
        <v>15</v>
      </c>
      <c r="W1100">
        <v>12</v>
      </c>
      <c r="X1100" t="s">
        <v>39</v>
      </c>
      <c r="Y1100">
        <v>2024</v>
      </c>
      <c r="Z1100">
        <v>4</v>
      </c>
      <c r="AA1100">
        <v>50</v>
      </c>
    </row>
    <row r="1101" spans="1:27" x14ac:dyDescent="0.3">
      <c r="A1101" s="2">
        <v>45568</v>
      </c>
      <c r="B1101" t="s">
        <v>2</v>
      </c>
      <c r="C1101" t="s">
        <v>7</v>
      </c>
      <c r="D1101">
        <v>19</v>
      </c>
      <c r="E1101">
        <v>25.61</v>
      </c>
      <c r="F1101" t="s">
        <v>12</v>
      </c>
      <c r="G1101" t="s">
        <v>17</v>
      </c>
      <c r="H1101">
        <v>0</v>
      </c>
      <c r="I1101" t="s">
        <v>23</v>
      </c>
      <c r="J1101">
        <v>486.59</v>
      </c>
      <c r="K1101" t="s">
        <v>25</v>
      </c>
      <c r="L1101" t="s">
        <v>32</v>
      </c>
      <c r="M1101">
        <v>0</v>
      </c>
      <c r="N1101" t="s">
        <v>1174</v>
      </c>
      <c r="O1101" t="s">
        <v>2674</v>
      </c>
      <c r="P1101">
        <v>30.32</v>
      </c>
      <c r="Q1101">
        <f t="shared" si="17"/>
        <v>25.61</v>
      </c>
      <c r="R1101">
        <v>456.27</v>
      </c>
      <c r="S1101" s="2">
        <v>45568</v>
      </c>
      <c r="T1101" s="2">
        <v>45576</v>
      </c>
      <c r="U1101" t="s">
        <v>35</v>
      </c>
      <c r="V1101">
        <v>3</v>
      </c>
      <c r="W1101">
        <v>10</v>
      </c>
      <c r="X1101" t="s">
        <v>43</v>
      </c>
      <c r="Y1101">
        <v>2024</v>
      </c>
      <c r="Z1101">
        <v>4</v>
      </c>
      <c r="AA1101">
        <v>40</v>
      </c>
    </row>
    <row r="1102" spans="1:27" x14ac:dyDescent="0.3">
      <c r="A1102" s="2">
        <v>45172</v>
      </c>
      <c r="B1102" t="s">
        <v>1</v>
      </c>
      <c r="C1102" t="s">
        <v>7</v>
      </c>
      <c r="D1102">
        <v>4</v>
      </c>
      <c r="E1102">
        <v>467.45</v>
      </c>
      <c r="F1102" t="s">
        <v>14</v>
      </c>
      <c r="G1102" t="s">
        <v>16</v>
      </c>
      <c r="H1102">
        <v>0.05</v>
      </c>
      <c r="I1102" t="s">
        <v>20</v>
      </c>
      <c r="J1102">
        <v>1776.31</v>
      </c>
      <c r="K1102" t="s">
        <v>25</v>
      </c>
      <c r="L1102" t="s">
        <v>31</v>
      </c>
      <c r="M1102">
        <v>0</v>
      </c>
      <c r="N1102" t="s">
        <v>1175</v>
      </c>
      <c r="O1102" t="s">
        <v>2675</v>
      </c>
      <c r="P1102">
        <v>25.05</v>
      </c>
      <c r="Q1102">
        <f t="shared" si="17"/>
        <v>444.07749999999999</v>
      </c>
      <c r="R1102">
        <v>1751.26</v>
      </c>
      <c r="S1102" s="2">
        <v>45172</v>
      </c>
      <c r="T1102" s="2">
        <v>45182</v>
      </c>
      <c r="U1102" t="s">
        <v>34</v>
      </c>
      <c r="V1102">
        <v>3</v>
      </c>
      <c r="W1102">
        <v>9</v>
      </c>
      <c r="X1102" t="s">
        <v>49</v>
      </c>
      <c r="Y1102">
        <v>2023</v>
      </c>
      <c r="Z1102">
        <v>3</v>
      </c>
      <c r="AA1102">
        <v>35</v>
      </c>
    </row>
    <row r="1103" spans="1:27" x14ac:dyDescent="0.3">
      <c r="A1103" s="2">
        <v>44955</v>
      </c>
      <c r="B1103" t="s">
        <v>2</v>
      </c>
      <c r="C1103" t="s">
        <v>11</v>
      </c>
      <c r="D1103">
        <v>10</v>
      </c>
      <c r="E1103">
        <v>140.5</v>
      </c>
      <c r="F1103" t="s">
        <v>12</v>
      </c>
      <c r="G1103" t="s">
        <v>17</v>
      </c>
      <c r="H1103">
        <v>0.15</v>
      </c>
      <c r="I1103" t="s">
        <v>21</v>
      </c>
      <c r="J1103">
        <v>1194.25</v>
      </c>
      <c r="K1103" t="s">
        <v>24</v>
      </c>
      <c r="L1103" t="s">
        <v>29</v>
      </c>
      <c r="M1103">
        <v>0</v>
      </c>
      <c r="N1103" t="s">
        <v>1176</v>
      </c>
      <c r="O1103" t="s">
        <v>2676</v>
      </c>
      <c r="P1103">
        <v>43.81</v>
      </c>
      <c r="Q1103">
        <f t="shared" si="17"/>
        <v>119.425</v>
      </c>
      <c r="R1103">
        <v>1150.44</v>
      </c>
      <c r="S1103" s="2">
        <v>44955</v>
      </c>
      <c r="T1103" s="2">
        <v>44962</v>
      </c>
      <c r="U1103" t="s">
        <v>35</v>
      </c>
      <c r="V1103">
        <v>29</v>
      </c>
      <c r="W1103">
        <v>1</v>
      </c>
      <c r="X1103" t="s">
        <v>42</v>
      </c>
      <c r="Y1103">
        <v>2023</v>
      </c>
      <c r="Z1103">
        <v>1</v>
      </c>
      <c r="AA1103">
        <v>4</v>
      </c>
    </row>
    <row r="1104" spans="1:27" x14ac:dyDescent="0.3">
      <c r="A1104" s="2">
        <v>45455</v>
      </c>
      <c r="B1104" t="s">
        <v>2</v>
      </c>
      <c r="C1104" t="s">
        <v>6</v>
      </c>
      <c r="D1104">
        <v>8</v>
      </c>
      <c r="E1104">
        <v>57.85</v>
      </c>
      <c r="F1104" t="s">
        <v>15</v>
      </c>
      <c r="G1104" t="s">
        <v>16</v>
      </c>
      <c r="H1104">
        <v>0</v>
      </c>
      <c r="I1104" t="s">
        <v>20</v>
      </c>
      <c r="J1104">
        <v>462.8</v>
      </c>
      <c r="K1104" t="s">
        <v>24</v>
      </c>
      <c r="L1104" t="s">
        <v>31</v>
      </c>
      <c r="M1104">
        <v>1</v>
      </c>
      <c r="N1104" t="s">
        <v>1177</v>
      </c>
      <c r="O1104" t="s">
        <v>2677</v>
      </c>
      <c r="P1104">
        <v>49.82</v>
      </c>
      <c r="Q1104">
        <f t="shared" si="17"/>
        <v>57.85</v>
      </c>
      <c r="R1104">
        <v>412.98</v>
      </c>
      <c r="S1104" s="2">
        <v>45455</v>
      </c>
      <c r="T1104" s="2">
        <v>45463</v>
      </c>
      <c r="U1104" t="s">
        <v>35</v>
      </c>
      <c r="V1104">
        <v>12</v>
      </c>
      <c r="W1104">
        <v>6</v>
      </c>
      <c r="X1104" t="s">
        <v>41</v>
      </c>
      <c r="Y1104">
        <v>2024</v>
      </c>
      <c r="Z1104">
        <v>2</v>
      </c>
      <c r="AA1104">
        <v>24</v>
      </c>
    </row>
    <row r="1105" spans="1:27" x14ac:dyDescent="0.3">
      <c r="A1105" s="2">
        <v>45620</v>
      </c>
      <c r="B1105" t="s">
        <v>2</v>
      </c>
      <c r="C1105" t="s">
        <v>9</v>
      </c>
      <c r="D1105">
        <v>9</v>
      </c>
      <c r="E1105">
        <v>539.64</v>
      </c>
      <c r="F1105" t="s">
        <v>13</v>
      </c>
      <c r="G1105" t="s">
        <v>17</v>
      </c>
      <c r="H1105">
        <v>0.15</v>
      </c>
      <c r="I1105" t="s">
        <v>19</v>
      </c>
      <c r="J1105">
        <v>4128.2460000000001</v>
      </c>
      <c r="K1105" t="s">
        <v>25</v>
      </c>
      <c r="L1105" t="s">
        <v>32</v>
      </c>
      <c r="M1105">
        <v>0</v>
      </c>
      <c r="N1105" t="s">
        <v>1178</v>
      </c>
      <c r="O1105" t="s">
        <v>2678</v>
      </c>
      <c r="P1105">
        <v>16.079999999999998</v>
      </c>
      <c r="Q1105">
        <f t="shared" si="17"/>
        <v>458.69400000000002</v>
      </c>
      <c r="R1105">
        <v>4112.1660000000002</v>
      </c>
      <c r="S1105" s="2">
        <v>45620</v>
      </c>
      <c r="T1105" s="2">
        <v>45629</v>
      </c>
      <c r="U1105" t="s">
        <v>35</v>
      </c>
      <c r="V1105">
        <v>24</v>
      </c>
      <c r="W1105">
        <v>11</v>
      </c>
      <c r="X1105" t="s">
        <v>47</v>
      </c>
      <c r="Y1105">
        <v>2024</v>
      </c>
      <c r="Z1105">
        <v>4</v>
      </c>
      <c r="AA1105">
        <v>47</v>
      </c>
    </row>
    <row r="1106" spans="1:27" x14ac:dyDescent="0.3">
      <c r="A1106" s="2">
        <v>45153</v>
      </c>
      <c r="B1106" t="s">
        <v>4</v>
      </c>
      <c r="C1106" t="s">
        <v>9</v>
      </c>
      <c r="D1106">
        <v>18</v>
      </c>
      <c r="E1106">
        <v>476.32</v>
      </c>
      <c r="F1106" t="s">
        <v>13</v>
      </c>
      <c r="G1106" t="s">
        <v>16</v>
      </c>
      <c r="H1106">
        <v>0</v>
      </c>
      <c r="I1106" t="s">
        <v>22</v>
      </c>
      <c r="J1106">
        <v>8573.76</v>
      </c>
      <c r="K1106" t="s">
        <v>26</v>
      </c>
      <c r="L1106" t="s">
        <v>30</v>
      </c>
      <c r="M1106">
        <v>1</v>
      </c>
      <c r="N1106" t="s">
        <v>1179</v>
      </c>
      <c r="O1106" t="s">
        <v>2679</v>
      </c>
      <c r="P1106">
        <v>47.43</v>
      </c>
      <c r="Q1106">
        <f t="shared" si="17"/>
        <v>476.32</v>
      </c>
      <c r="R1106">
        <v>8526.33</v>
      </c>
      <c r="S1106" s="2">
        <v>45153</v>
      </c>
      <c r="T1106" s="2">
        <v>45158</v>
      </c>
      <c r="U1106" t="s">
        <v>37</v>
      </c>
      <c r="V1106">
        <v>15</v>
      </c>
      <c r="W1106">
        <v>8</v>
      </c>
      <c r="X1106" t="s">
        <v>48</v>
      </c>
      <c r="Y1106">
        <v>2023</v>
      </c>
      <c r="Z1106">
        <v>3</v>
      </c>
      <c r="AA1106">
        <v>33</v>
      </c>
    </row>
    <row r="1107" spans="1:27" x14ac:dyDescent="0.3">
      <c r="A1107" s="2">
        <v>45525</v>
      </c>
      <c r="B1107" t="s">
        <v>3</v>
      </c>
      <c r="C1107" t="s">
        <v>10</v>
      </c>
      <c r="D1107">
        <v>11</v>
      </c>
      <c r="E1107">
        <v>143.85</v>
      </c>
      <c r="F1107" t="s">
        <v>13</v>
      </c>
      <c r="G1107" t="s">
        <v>16</v>
      </c>
      <c r="H1107">
        <v>0.1</v>
      </c>
      <c r="I1107" t="s">
        <v>18</v>
      </c>
      <c r="J1107">
        <v>1424.115</v>
      </c>
      <c r="K1107" t="s">
        <v>27</v>
      </c>
      <c r="L1107" t="s">
        <v>29</v>
      </c>
      <c r="M1107">
        <v>0</v>
      </c>
      <c r="N1107" t="s">
        <v>1180</v>
      </c>
      <c r="O1107" t="s">
        <v>2680</v>
      </c>
      <c r="P1107">
        <v>6.85</v>
      </c>
      <c r="Q1107">
        <f t="shared" si="17"/>
        <v>129.465</v>
      </c>
      <c r="R1107">
        <v>1417.2650000000001</v>
      </c>
      <c r="S1107" s="2">
        <v>45525</v>
      </c>
      <c r="T1107" s="2">
        <v>45534</v>
      </c>
      <c r="U1107" t="s">
        <v>36</v>
      </c>
      <c r="V1107">
        <v>21</v>
      </c>
      <c r="W1107">
        <v>8</v>
      </c>
      <c r="X1107" t="s">
        <v>48</v>
      </c>
      <c r="Y1107">
        <v>2024</v>
      </c>
      <c r="Z1107">
        <v>3</v>
      </c>
      <c r="AA1107">
        <v>34</v>
      </c>
    </row>
    <row r="1108" spans="1:27" x14ac:dyDescent="0.3">
      <c r="A1108" s="2">
        <v>45070</v>
      </c>
      <c r="B1108" t="s">
        <v>4</v>
      </c>
      <c r="C1108" t="s">
        <v>9</v>
      </c>
      <c r="D1108">
        <v>4</v>
      </c>
      <c r="E1108">
        <v>323.63</v>
      </c>
      <c r="F1108" t="s">
        <v>14</v>
      </c>
      <c r="G1108" t="s">
        <v>17</v>
      </c>
      <c r="H1108">
        <v>0.1</v>
      </c>
      <c r="I1108" t="s">
        <v>21</v>
      </c>
      <c r="J1108">
        <v>1165.068</v>
      </c>
      <c r="K1108" t="s">
        <v>26</v>
      </c>
      <c r="L1108" t="s">
        <v>29</v>
      </c>
      <c r="M1108">
        <v>0</v>
      </c>
      <c r="N1108" t="s">
        <v>1181</v>
      </c>
      <c r="O1108" t="s">
        <v>2681</v>
      </c>
      <c r="P1108">
        <v>32.92</v>
      </c>
      <c r="Q1108">
        <f t="shared" si="17"/>
        <v>291.267</v>
      </c>
      <c r="R1108">
        <v>1132.1479999999999</v>
      </c>
      <c r="S1108" s="2">
        <v>45070</v>
      </c>
      <c r="T1108" s="2">
        <v>45078</v>
      </c>
      <c r="U1108" t="s">
        <v>37</v>
      </c>
      <c r="V1108">
        <v>24</v>
      </c>
      <c r="W1108">
        <v>5</v>
      </c>
      <c r="X1108" t="s">
        <v>40</v>
      </c>
      <c r="Y1108">
        <v>2023</v>
      </c>
      <c r="Z1108">
        <v>2</v>
      </c>
      <c r="AA1108">
        <v>21</v>
      </c>
    </row>
    <row r="1109" spans="1:27" x14ac:dyDescent="0.3">
      <c r="A1109" s="2">
        <v>45043</v>
      </c>
      <c r="B1109" t="s">
        <v>4</v>
      </c>
      <c r="C1109" t="s">
        <v>9</v>
      </c>
      <c r="D1109">
        <v>16</v>
      </c>
      <c r="E1109">
        <v>37.4</v>
      </c>
      <c r="F1109" t="s">
        <v>13</v>
      </c>
      <c r="G1109" t="s">
        <v>16</v>
      </c>
      <c r="H1109">
        <v>0.05</v>
      </c>
      <c r="I1109" t="s">
        <v>23</v>
      </c>
      <c r="J1109">
        <v>568.4799999999999</v>
      </c>
      <c r="K1109" t="s">
        <v>26</v>
      </c>
      <c r="L1109" t="s">
        <v>29</v>
      </c>
      <c r="M1109">
        <v>0</v>
      </c>
      <c r="N1109" t="s">
        <v>1182</v>
      </c>
      <c r="O1109" t="s">
        <v>2682</v>
      </c>
      <c r="P1109">
        <v>49.55</v>
      </c>
      <c r="Q1109">
        <f t="shared" si="17"/>
        <v>35.529999999999994</v>
      </c>
      <c r="R1109">
        <v>518.92999999999995</v>
      </c>
      <c r="S1109" s="2">
        <v>45043</v>
      </c>
      <c r="T1109" s="2">
        <v>45047</v>
      </c>
      <c r="U1109" t="s">
        <v>37</v>
      </c>
      <c r="V1109">
        <v>27</v>
      </c>
      <c r="W1109">
        <v>4</v>
      </c>
      <c r="X1109" t="s">
        <v>45</v>
      </c>
      <c r="Y1109">
        <v>2023</v>
      </c>
      <c r="Z1109">
        <v>2</v>
      </c>
      <c r="AA1109">
        <v>17</v>
      </c>
    </row>
    <row r="1110" spans="1:27" x14ac:dyDescent="0.3">
      <c r="A1110" s="2">
        <v>45067</v>
      </c>
      <c r="B1110" t="s">
        <v>0</v>
      </c>
      <c r="C1110" t="s">
        <v>10</v>
      </c>
      <c r="D1110">
        <v>1</v>
      </c>
      <c r="E1110">
        <v>418.98</v>
      </c>
      <c r="F1110" t="s">
        <v>12</v>
      </c>
      <c r="G1110" t="s">
        <v>17</v>
      </c>
      <c r="H1110">
        <v>0.1</v>
      </c>
      <c r="I1110" t="s">
        <v>21</v>
      </c>
      <c r="J1110">
        <v>377.08200000000011</v>
      </c>
      <c r="K1110" t="s">
        <v>25</v>
      </c>
      <c r="L1110" t="s">
        <v>29</v>
      </c>
      <c r="M1110">
        <v>0</v>
      </c>
      <c r="N1110" t="s">
        <v>1183</v>
      </c>
      <c r="O1110" t="s">
        <v>2683</v>
      </c>
      <c r="P1110">
        <v>43.72</v>
      </c>
      <c r="Q1110">
        <f t="shared" si="17"/>
        <v>377.08200000000011</v>
      </c>
      <c r="R1110">
        <v>333.36200000000008</v>
      </c>
      <c r="S1110" s="2">
        <v>45067</v>
      </c>
      <c r="T1110" s="2">
        <v>45072</v>
      </c>
      <c r="U1110" t="s">
        <v>33</v>
      </c>
      <c r="V1110">
        <v>21</v>
      </c>
      <c r="W1110">
        <v>5</v>
      </c>
      <c r="X1110" t="s">
        <v>40</v>
      </c>
      <c r="Y1110">
        <v>2023</v>
      </c>
      <c r="Z1110">
        <v>2</v>
      </c>
      <c r="AA1110">
        <v>20</v>
      </c>
    </row>
    <row r="1111" spans="1:27" x14ac:dyDescent="0.3">
      <c r="A1111" s="2">
        <v>45704</v>
      </c>
      <c r="B1111" t="s">
        <v>0</v>
      </c>
      <c r="C1111" t="s">
        <v>9</v>
      </c>
      <c r="D1111">
        <v>12</v>
      </c>
      <c r="E1111">
        <v>108.35</v>
      </c>
      <c r="F1111" t="s">
        <v>13</v>
      </c>
      <c r="G1111" t="s">
        <v>16</v>
      </c>
      <c r="H1111">
        <v>0</v>
      </c>
      <c r="I1111" t="s">
        <v>22</v>
      </c>
      <c r="J1111">
        <v>1300.2</v>
      </c>
      <c r="K1111" t="s">
        <v>24</v>
      </c>
      <c r="L1111" t="s">
        <v>29</v>
      </c>
      <c r="M1111">
        <v>0</v>
      </c>
      <c r="N1111" t="s">
        <v>1184</v>
      </c>
      <c r="O1111" t="s">
        <v>2684</v>
      </c>
      <c r="P1111">
        <v>42.06</v>
      </c>
      <c r="Q1111">
        <f t="shared" si="17"/>
        <v>108.35000000000001</v>
      </c>
      <c r="R1111">
        <v>1258.1400000000001</v>
      </c>
      <c r="S1111" s="2">
        <v>45704</v>
      </c>
      <c r="T1111" s="2">
        <v>45713</v>
      </c>
      <c r="U1111" t="s">
        <v>33</v>
      </c>
      <c r="V1111">
        <v>16</v>
      </c>
      <c r="W1111">
        <v>2</v>
      </c>
      <c r="X1111" t="s">
        <v>38</v>
      </c>
      <c r="Y1111">
        <v>2025</v>
      </c>
      <c r="Z1111">
        <v>1</v>
      </c>
      <c r="AA1111">
        <v>7</v>
      </c>
    </row>
    <row r="1112" spans="1:27" x14ac:dyDescent="0.3">
      <c r="A1112" s="2">
        <v>45162</v>
      </c>
      <c r="B1112" t="s">
        <v>0</v>
      </c>
      <c r="C1112" t="s">
        <v>10</v>
      </c>
      <c r="D1112">
        <v>5</v>
      </c>
      <c r="E1112">
        <v>256.42</v>
      </c>
      <c r="F1112" t="s">
        <v>12</v>
      </c>
      <c r="G1112" t="s">
        <v>17</v>
      </c>
      <c r="H1112">
        <v>0</v>
      </c>
      <c r="I1112" t="s">
        <v>19</v>
      </c>
      <c r="J1112">
        <v>1282.0999999999999</v>
      </c>
      <c r="K1112" t="s">
        <v>25</v>
      </c>
      <c r="L1112" t="s">
        <v>29</v>
      </c>
      <c r="M1112">
        <v>0</v>
      </c>
      <c r="N1112" t="s">
        <v>1185</v>
      </c>
      <c r="O1112" t="s">
        <v>2685</v>
      </c>
      <c r="P1112">
        <v>28.74</v>
      </c>
      <c r="Q1112">
        <f t="shared" si="17"/>
        <v>256.41999999999996</v>
      </c>
      <c r="R1112">
        <v>1253.3599999999999</v>
      </c>
      <c r="S1112" s="2">
        <v>45162</v>
      </c>
      <c r="T1112" s="2">
        <v>45167</v>
      </c>
      <c r="U1112" t="s">
        <v>33</v>
      </c>
      <c r="V1112">
        <v>24</v>
      </c>
      <c r="W1112">
        <v>8</v>
      </c>
      <c r="X1112" t="s">
        <v>48</v>
      </c>
      <c r="Y1112">
        <v>2023</v>
      </c>
      <c r="Z1112">
        <v>3</v>
      </c>
      <c r="AA1112">
        <v>34</v>
      </c>
    </row>
    <row r="1113" spans="1:27" x14ac:dyDescent="0.3">
      <c r="A1113" s="2">
        <v>45365</v>
      </c>
      <c r="B1113" t="s">
        <v>0</v>
      </c>
      <c r="C1113" t="s">
        <v>7</v>
      </c>
      <c r="D1113">
        <v>16</v>
      </c>
      <c r="E1113">
        <v>544.91</v>
      </c>
      <c r="F1113" t="s">
        <v>12</v>
      </c>
      <c r="G1113" t="s">
        <v>17</v>
      </c>
      <c r="H1113">
        <v>0.1</v>
      </c>
      <c r="I1113" t="s">
        <v>20</v>
      </c>
      <c r="J1113">
        <v>7846.7039999999997</v>
      </c>
      <c r="K1113" t="s">
        <v>26</v>
      </c>
      <c r="L1113" t="s">
        <v>29</v>
      </c>
      <c r="M1113">
        <v>0</v>
      </c>
      <c r="N1113" t="s">
        <v>1186</v>
      </c>
      <c r="O1113" t="s">
        <v>2686</v>
      </c>
      <c r="P1113">
        <v>39.26</v>
      </c>
      <c r="Q1113">
        <f t="shared" si="17"/>
        <v>490.41899999999998</v>
      </c>
      <c r="R1113">
        <v>7807.4439999999995</v>
      </c>
      <c r="S1113" s="2">
        <v>45365</v>
      </c>
      <c r="T1113" s="2">
        <v>45372</v>
      </c>
      <c r="U1113" t="s">
        <v>33</v>
      </c>
      <c r="V1113">
        <v>14</v>
      </c>
      <c r="W1113">
        <v>3</v>
      </c>
      <c r="X1113" t="s">
        <v>44</v>
      </c>
      <c r="Y1113">
        <v>2024</v>
      </c>
      <c r="Z1113">
        <v>1</v>
      </c>
      <c r="AA1113">
        <v>11</v>
      </c>
    </row>
    <row r="1114" spans="1:27" x14ac:dyDescent="0.3">
      <c r="A1114" s="2">
        <v>45320</v>
      </c>
      <c r="B1114" t="s">
        <v>2</v>
      </c>
      <c r="C1114" t="s">
        <v>7</v>
      </c>
      <c r="D1114">
        <v>19</v>
      </c>
      <c r="E1114">
        <v>113.42</v>
      </c>
      <c r="F1114" t="s">
        <v>13</v>
      </c>
      <c r="G1114" t="s">
        <v>17</v>
      </c>
      <c r="H1114">
        <v>0</v>
      </c>
      <c r="I1114" t="s">
        <v>18</v>
      </c>
      <c r="J1114">
        <v>2154.98</v>
      </c>
      <c r="K1114" t="s">
        <v>27</v>
      </c>
      <c r="L1114" t="s">
        <v>31</v>
      </c>
      <c r="M1114">
        <v>0</v>
      </c>
      <c r="N1114" t="s">
        <v>1187</v>
      </c>
      <c r="O1114" t="s">
        <v>2687</v>
      </c>
      <c r="P1114">
        <v>44.96</v>
      </c>
      <c r="Q1114">
        <f t="shared" si="17"/>
        <v>113.42</v>
      </c>
      <c r="R1114">
        <v>2110.02</v>
      </c>
      <c r="S1114" s="2">
        <v>45320</v>
      </c>
      <c r="T1114" s="2">
        <v>45329</v>
      </c>
      <c r="U1114" t="s">
        <v>35</v>
      </c>
      <c r="V1114">
        <v>29</v>
      </c>
      <c r="W1114">
        <v>1</v>
      </c>
      <c r="X1114" t="s">
        <v>42</v>
      </c>
      <c r="Y1114">
        <v>2024</v>
      </c>
      <c r="Z1114">
        <v>1</v>
      </c>
      <c r="AA1114">
        <v>5</v>
      </c>
    </row>
    <row r="1115" spans="1:27" x14ac:dyDescent="0.3">
      <c r="A1115" s="2">
        <v>45513</v>
      </c>
      <c r="B1115" t="s">
        <v>1</v>
      </c>
      <c r="C1115" t="s">
        <v>6</v>
      </c>
      <c r="D1115">
        <v>10</v>
      </c>
      <c r="E1115">
        <v>522.73</v>
      </c>
      <c r="F1115" t="s">
        <v>14</v>
      </c>
      <c r="G1115" t="s">
        <v>17</v>
      </c>
      <c r="H1115">
        <v>0.1</v>
      </c>
      <c r="I1115" t="s">
        <v>23</v>
      </c>
      <c r="J1115">
        <v>4704.5700000000006</v>
      </c>
      <c r="K1115" t="s">
        <v>26</v>
      </c>
      <c r="L1115" t="s">
        <v>32</v>
      </c>
      <c r="M1115">
        <v>0</v>
      </c>
      <c r="N1115" t="s">
        <v>1188</v>
      </c>
      <c r="O1115" t="s">
        <v>2688</v>
      </c>
      <c r="P1115">
        <v>20.059999999999999</v>
      </c>
      <c r="Q1115">
        <f t="shared" si="17"/>
        <v>470.45700000000005</v>
      </c>
      <c r="R1115">
        <v>4684.51</v>
      </c>
      <c r="S1115" s="2">
        <v>45513</v>
      </c>
      <c r="T1115" s="2">
        <v>45519</v>
      </c>
      <c r="U1115" t="s">
        <v>34</v>
      </c>
      <c r="V1115">
        <v>9</v>
      </c>
      <c r="W1115">
        <v>8</v>
      </c>
      <c r="X1115" t="s">
        <v>48</v>
      </c>
      <c r="Y1115">
        <v>2024</v>
      </c>
      <c r="Z1115">
        <v>3</v>
      </c>
      <c r="AA1115">
        <v>32</v>
      </c>
    </row>
    <row r="1116" spans="1:27" x14ac:dyDescent="0.3">
      <c r="A1116" s="2">
        <v>45481</v>
      </c>
      <c r="B1116" t="s">
        <v>2</v>
      </c>
      <c r="C1116" t="s">
        <v>10</v>
      </c>
      <c r="D1116">
        <v>18</v>
      </c>
      <c r="E1116">
        <v>448.03</v>
      </c>
      <c r="F1116" t="s">
        <v>12</v>
      </c>
      <c r="G1116" t="s">
        <v>17</v>
      </c>
      <c r="H1116">
        <v>0.15</v>
      </c>
      <c r="I1116" t="s">
        <v>20</v>
      </c>
      <c r="J1116">
        <v>6854.8589999999986</v>
      </c>
      <c r="K1116" t="s">
        <v>28</v>
      </c>
      <c r="L1116" t="s">
        <v>31</v>
      </c>
      <c r="M1116">
        <v>1</v>
      </c>
      <c r="N1116" t="s">
        <v>1189</v>
      </c>
      <c r="O1116" t="s">
        <v>2689</v>
      </c>
      <c r="P1116">
        <v>13.23</v>
      </c>
      <c r="Q1116">
        <f t="shared" si="17"/>
        <v>380.82549999999992</v>
      </c>
      <c r="R1116">
        <v>6841.628999999999</v>
      </c>
      <c r="S1116" s="2">
        <v>45481</v>
      </c>
      <c r="T1116" s="2">
        <v>45490</v>
      </c>
      <c r="U1116" t="s">
        <v>35</v>
      </c>
      <c r="V1116">
        <v>8</v>
      </c>
      <c r="W1116">
        <v>7</v>
      </c>
      <c r="X1116" t="s">
        <v>46</v>
      </c>
      <c r="Y1116">
        <v>2024</v>
      </c>
      <c r="Z1116">
        <v>3</v>
      </c>
      <c r="AA1116">
        <v>28</v>
      </c>
    </row>
    <row r="1117" spans="1:27" x14ac:dyDescent="0.3">
      <c r="A1117" s="2">
        <v>45524</v>
      </c>
      <c r="B1117" t="s">
        <v>2</v>
      </c>
      <c r="C1117" t="s">
        <v>9</v>
      </c>
      <c r="D1117">
        <v>15</v>
      </c>
      <c r="E1117">
        <v>208.51</v>
      </c>
      <c r="F1117" t="s">
        <v>13</v>
      </c>
      <c r="G1117" t="s">
        <v>17</v>
      </c>
      <c r="H1117">
        <v>0.05</v>
      </c>
      <c r="I1117" t="s">
        <v>21</v>
      </c>
      <c r="J1117">
        <v>2971.267499999999</v>
      </c>
      <c r="K1117" t="s">
        <v>25</v>
      </c>
      <c r="L1117" t="s">
        <v>32</v>
      </c>
      <c r="M1117">
        <v>0</v>
      </c>
      <c r="N1117" t="s">
        <v>1190</v>
      </c>
      <c r="O1117" t="s">
        <v>2690</v>
      </c>
      <c r="P1117">
        <v>37.81</v>
      </c>
      <c r="Q1117">
        <f t="shared" si="17"/>
        <v>198.08449999999993</v>
      </c>
      <c r="R1117">
        <v>2933.4574999999991</v>
      </c>
      <c r="S1117" s="2">
        <v>45524</v>
      </c>
      <c r="T1117" s="2">
        <v>45533</v>
      </c>
      <c r="U1117" t="s">
        <v>35</v>
      </c>
      <c r="V1117">
        <v>20</v>
      </c>
      <c r="W1117">
        <v>8</v>
      </c>
      <c r="X1117" t="s">
        <v>48</v>
      </c>
      <c r="Y1117">
        <v>2024</v>
      </c>
      <c r="Z1117">
        <v>3</v>
      </c>
      <c r="AA1117">
        <v>34</v>
      </c>
    </row>
    <row r="1118" spans="1:27" x14ac:dyDescent="0.3">
      <c r="A1118" s="2">
        <v>45103</v>
      </c>
      <c r="B1118" t="s">
        <v>3</v>
      </c>
      <c r="C1118" t="s">
        <v>5</v>
      </c>
      <c r="D1118">
        <v>13</v>
      </c>
      <c r="E1118">
        <v>423.64</v>
      </c>
      <c r="F1118" t="s">
        <v>14</v>
      </c>
      <c r="G1118" t="s">
        <v>17</v>
      </c>
      <c r="H1118">
        <v>0.1</v>
      </c>
      <c r="I1118" t="s">
        <v>19</v>
      </c>
      <c r="J1118">
        <v>4956.5879999999997</v>
      </c>
      <c r="K1118" t="s">
        <v>27</v>
      </c>
      <c r="L1118" t="s">
        <v>32</v>
      </c>
      <c r="M1118">
        <v>1</v>
      </c>
      <c r="N1118" t="s">
        <v>1191</v>
      </c>
      <c r="O1118" t="s">
        <v>2691</v>
      </c>
      <c r="P1118">
        <v>23.31</v>
      </c>
      <c r="Q1118">
        <f t="shared" si="17"/>
        <v>381.27599999999995</v>
      </c>
      <c r="R1118">
        <v>4933.2779999999993</v>
      </c>
      <c r="S1118" s="2">
        <v>45103</v>
      </c>
      <c r="T1118" s="2">
        <v>45105</v>
      </c>
      <c r="U1118" t="s">
        <v>36</v>
      </c>
      <c r="V1118">
        <v>26</v>
      </c>
      <c r="W1118">
        <v>6</v>
      </c>
      <c r="X1118" t="s">
        <v>41</v>
      </c>
      <c r="Y1118">
        <v>2023</v>
      </c>
      <c r="Z1118">
        <v>2</v>
      </c>
      <c r="AA1118">
        <v>26</v>
      </c>
    </row>
    <row r="1119" spans="1:27" x14ac:dyDescent="0.3">
      <c r="A1119" s="2">
        <v>45283</v>
      </c>
      <c r="B1119" t="s">
        <v>0</v>
      </c>
      <c r="C1119" t="s">
        <v>8</v>
      </c>
      <c r="D1119">
        <v>5</v>
      </c>
      <c r="E1119">
        <v>552.26</v>
      </c>
      <c r="F1119" t="s">
        <v>15</v>
      </c>
      <c r="G1119" t="s">
        <v>16</v>
      </c>
      <c r="H1119">
        <v>0.15</v>
      </c>
      <c r="I1119" t="s">
        <v>19</v>
      </c>
      <c r="J1119">
        <v>2347.105</v>
      </c>
      <c r="K1119" t="s">
        <v>27</v>
      </c>
      <c r="L1119" t="s">
        <v>31</v>
      </c>
      <c r="M1119">
        <v>0</v>
      </c>
      <c r="N1119" t="s">
        <v>1192</v>
      </c>
      <c r="O1119" t="s">
        <v>2692</v>
      </c>
      <c r="P1119">
        <v>26.5</v>
      </c>
      <c r="Q1119">
        <f t="shared" si="17"/>
        <v>469.42099999999999</v>
      </c>
      <c r="R1119">
        <v>2320.605</v>
      </c>
      <c r="S1119" s="2">
        <v>45283</v>
      </c>
      <c r="T1119" s="2">
        <v>45285</v>
      </c>
      <c r="U1119" t="s">
        <v>33</v>
      </c>
      <c r="V1119">
        <v>23</v>
      </c>
      <c r="W1119">
        <v>12</v>
      </c>
      <c r="X1119" t="s">
        <v>39</v>
      </c>
      <c r="Y1119">
        <v>2023</v>
      </c>
      <c r="Z1119">
        <v>4</v>
      </c>
      <c r="AA1119">
        <v>51</v>
      </c>
    </row>
    <row r="1120" spans="1:27" x14ac:dyDescent="0.3">
      <c r="A1120" s="2">
        <v>45158</v>
      </c>
      <c r="B1120" t="s">
        <v>3</v>
      </c>
      <c r="C1120" t="s">
        <v>7</v>
      </c>
      <c r="D1120">
        <v>1</v>
      </c>
      <c r="E1120">
        <v>182.11</v>
      </c>
      <c r="F1120" t="s">
        <v>13</v>
      </c>
      <c r="G1120" t="s">
        <v>17</v>
      </c>
      <c r="H1120">
        <v>0.1</v>
      </c>
      <c r="I1120" t="s">
        <v>21</v>
      </c>
      <c r="J1120">
        <v>163.899</v>
      </c>
      <c r="K1120" t="s">
        <v>26</v>
      </c>
      <c r="L1120" t="s">
        <v>31</v>
      </c>
      <c r="M1120">
        <v>0</v>
      </c>
      <c r="N1120" t="s">
        <v>1193</v>
      </c>
      <c r="O1120" t="s">
        <v>2693</v>
      </c>
      <c r="P1120">
        <v>7.31</v>
      </c>
      <c r="Q1120">
        <f t="shared" si="17"/>
        <v>163.899</v>
      </c>
      <c r="R1120">
        <v>156.589</v>
      </c>
      <c r="S1120" s="2">
        <v>45158</v>
      </c>
      <c r="T1120" s="2">
        <v>45165</v>
      </c>
      <c r="U1120" t="s">
        <v>36</v>
      </c>
      <c r="V1120">
        <v>20</v>
      </c>
      <c r="W1120">
        <v>8</v>
      </c>
      <c r="X1120" t="s">
        <v>48</v>
      </c>
      <c r="Y1120">
        <v>2023</v>
      </c>
      <c r="Z1120">
        <v>3</v>
      </c>
      <c r="AA1120">
        <v>33</v>
      </c>
    </row>
    <row r="1121" spans="1:27" x14ac:dyDescent="0.3">
      <c r="A1121" s="2">
        <v>45593</v>
      </c>
      <c r="B1121" t="s">
        <v>4</v>
      </c>
      <c r="C1121" t="s">
        <v>7</v>
      </c>
      <c r="D1121">
        <v>7</v>
      </c>
      <c r="E1121">
        <v>466.36</v>
      </c>
      <c r="F1121" t="s">
        <v>15</v>
      </c>
      <c r="G1121" t="s">
        <v>16</v>
      </c>
      <c r="H1121">
        <v>0.05</v>
      </c>
      <c r="I1121" t="s">
        <v>23</v>
      </c>
      <c r="J1121">
        <v>3101.2939999999999</v>
      </c>
      <c r="K1121" t="s">
        <v>24</v>
      </c>
      <c r="L1121" t="s">
        <v>30</v>
      </c>
      <c r="M1121">
        <v>1</v>
      </c>
      <c r="N1121" t="s">
        <v>1194</v>
      </c>
      <c r="O1121" t="s">
        <v>2694</v>
      </c>
      <c r="P1121">
        <v>11.45</v>
      </c>
      <c r="Q1121">
        <f t="shared" si="17"/>
        <v>443.04199999999997</v>
      </c>
      <c r="R1121">
        <v>3089.8440000000001</v>
      </c>
      <c r="S1121" s="2">
        <v>45593</v>
      </c>
      <c r="T1121" s="2">
        <v>45602</v>
      </c>
      <c r="U1121" t="s">
        <v>37</v>
      </c>
      <c r="V1121">
        <v>28</v>
      </c>
      <c r="W1121">
        <v>10</v>
      </c>
      <c r="X1121" t="s">
        <v>43</v>
      </c>
      <c r="Y1121">
        <v>2024</v>
      </c>
      <c r="Z1121">
        <v>4</v>
      </c>
      <c r="AA1121">
        <v>44</v>
      </c>
    </row>
    <row r="1122" spans="1:27" x14ac:dyDescent="0.3">
      <c r="A1122" s="2">
        <v>45607</v>
      </c>
      <c r="B1122" t="s">
        <v>0</v>
      </c>
      <c r="C1122" t="s">
        <v>11</v>
      </c>
      <c r="D1122">
        <v>15</v>
      </c>
      <c r="E1122">
        <v>140.54</v>
      </c>
      <c r="F1122" t="s">
        <v>13</v>
      </c>
      <c r="G1122" t="s">
        <v>16</v>
      </c>
      <c r="H1122">
        <v>0.1</v>
      </c>
      <c r="I1122" t="s">
        <v>18</v>
      </c>
      <c r="J1122">
        <v>1897.29</v>
      </c>
      <c r="K1122" t="s">
        <v>26</v>
      </c>
      <c r="L1122" t="s">
        <v>30</v>
      </c>
      <c r="M1122">
        <v>0</v>
      </c>
      <c r="N1122" t="s">
        <v>1195</v>
      </c>
      <c r="O1122" t="s">
        <v>2695</v>
      </c>
      <c r="P1122">
        <v>49.91</v>
      </c>
      <c r="Q1122">
        <f t="shared" si="17"/>
        <v>126.486</v>
      </c>
      <c r="R1122">
        <v>1847.3799999999999</v>
      </c>
      <c r="S1122" s="2">
        <v>45607</v>
      </c>
      <c r="T1122" s="2">
        <v>45617</v>
      </c>
      <c r="U1122" t="s">
        <v>33</v>
      </c>
      <c r="V1122">
        <v>11</v>
      </c>
      <c r="W1122">
        <v>11</v>
      </c>
      <c r="X1122" t="s">
        <v>47</v>
      </c>
      <c r="Y1122">
        <v>2024</v>
      </c>
      <c r="Z1122">
        <v>4</v>
      </c>
      <c r="AA1122">
        <v>46</v>
      </c>
    </row>
    <row r="1123" spans="1:27" x14ac:dyDescent="0.3">
      <c r="A1123" s="2">
        <v>45267</v>
      </c>
      <c r="B1123" t="s">
        <v>4</v>
      </c>
      <c r="C1123" t="s">
        <v>7</v>
      </c>
      <c r="D1123">
        <v>17</v>
      </c>
      <c r="E1123">
        <v>460.31</v>
      </c>
      <c r="F1123" t="s">
        <v>13</v>
      </c>
      <c r="G1123" t="s">
        <v>17</v>
      </c>
      <c r="H1123">
        <v>0.15</v>
      </c>
      <c r="I1123" t="s">
        <v>22</v>
      </c>
      <c r="J1123">
        <v>6651.4795000000004</v>
      </c>
      <c r="K1123" t="s">
        <v>24</v>
      </c>
      <c r="L1123" t="s">
        <v>31</v>
      </c>
      <c r="M1123">
        <v>0</v>
      </c>
      <c r="N1123" t="s">
        <v>1196</v>
      </c>
      <c r="O1123" t="s">
        <v>2696</v>
      </c>
      <c r="P1123">
        <v>40.18</v>
      </c>
      <c r="Q1123">
        <f t="shared" si="17"/>
        <v>391.26350000000002</v>
      </c>
      <c r="R1123">
        <v>6611.2995000000001</v>
      </c>
      <c r="S1123" s="2">
        <v>45267</v>
      </c>
      <c r="T1123" s="2">
        <v>45275</v>
      </c>
      <c r="U1123" t="s">
        <v>37</v>
      </c>
      <c r="V1123">
        <v>7</v>
      </c>
      <c r="W1123">
        <v>12</v>
      </c>
      <c r="X1123" t="s">
        <v>39</v>
      </c>
      <c r="Y1123">
        <v>2023</v>
      </c>
      <c r="Z1123">
        <v>4</v>
      </c>
      <c r="AA1123">
        <v>49</v>
      </c>
    </row>
    <row r="1124" spans="1:27" x14ac:dyDescent="0.3">
      <c r="A1124" s="2">
        <v>45374</v>
      </c>
      <c r="B1124" t="s">
        <v>4</v>
      </c>
      <c r="C1124" t="s">
        <v>5</v>
      </c>
      <c r="D1124">
        <v>5</v>
      </c>
      <c r="E1124">
        <v>132.87</v>
      </c>
      <c r="F1124" t="s">
        <v>12</v>
      </c>
      <c r="G1124" t="s">
        <v>17</v>
      </c>
      <c r="H1124">
        <v>0</v>
      </c>
      <c r="I1124" t="s">
        <v>23</v>
      </c>
      <c r="J1124">
        <v>664.35</v>
      </c>
      <c r="K1124" t="s">
        <v>27</v>
      </c>
      <c r="L1124" t="s">
        <v>31</v>
      </c>
      <c r="M1124">
        <v>0</v>
      </c>
      <c r="N1124" t="s">
        <v>1197</v>
      </c>
      <c r="O1124" t="s">
        <v>2697</v>
      </c>
      <c r="P1124">
        <v>37.909999999999997</v>
      </c>
      <c r="Q1124">
        <f t="shared" si="17"/>
        <v>132.87</v>
      </c>
      <c r="R1124">
        <v>626.44000000000005</v>
      </c>
      <c r="S1124" s="2">
        <v>45374</v>
      </c>
      <c r="T1124" s="2">
        <v>45384</v>
      </c>
      <c r="U1124" t="s">
        <v>37</v>
      </c>
      <c r="V1124">
        <v>23</v>
      </c>
      <c r="W1124">
        <v>3</v>
      </c>
      <c r="X1124" t="s">
        <v>44</v>
      </c>
      <c r="Y1124">
        <v>2024</v>
      </c>
      <c r="Z1124">
        <v>1</v>
      </c>
      <c r="AA1124">
        <v>12</v>
      </c>
    </row>
    <row r="1125" spans="1:27" x14ac:dyDescent="0.3">
      <c r="A1125" s="2">
        <v>45594</v>
      </c>
      <c r="B1125" t="s">
        <v>4</v>
      </c>
      <c r="C1125" t="s">
        <v>10</v>
      </c>
      <c r="D1125">
        <v>12</v>
      </c>
      <c r="E1125">
        <v>209.86</v>
      </c>
      <c r="F1125" t="s">
        <v>15</v>
      </c>
      <c r="G1125" t="s">
        <v>17</v>
      </c>
      <c r="H1125">
        <v>0.05</v>
      </c>
      <c r="I1125" t="s">
        <v>23</v>
      </c>
      <c r="J1125">
        <v>2392.404</v>
      </c>
      <c r="K1125" t="s">
        <v>24</v>
      </c>
      <c r="L1125" t="s">
        <v>31</v>
      </c>
      <c r="M1125">
        <v>0</v>
      </c>
      <c r="N1125" t="s">
        <v>1198</v>
      </c>
      <c r="O1125" t="s">
        <v>2698</v>
      </c>
      <c r="P1125">
        <v>8.7799999999999994</v>
      </c>
      <c r="Q1125">
        <f t="shared" si="17"/>
        <v>199.36699999999999</v>
      </c>
      <c r="R1125">
        <v>2383.6239999999998</v>
      </c>
      <c r="S1125" s="2">
        <v>45594</v>
      </c>
      <c r="T1125" s="2">
        <v>45598</v>
      </c>
      <c r="U1125" t="s">
        <v>37</v>
      </c>
      <c r="V1125">
        <v>29</v>
      </c>
      <c r="W1125">
        <v>10</v>
      </c>
      <c r="X1125" t="s">
        <v>43</v>
      </c>
      <c r="Y1125">
        <v>2024</v>
      </c>
      <c r="Z1125">
        <v>4</v>
      </c>
      <c r="AA1125">
        <v>44</v>
      </c>
    </row>
    <row r="1126" spans="1:27" x14ac:dyDescent="0.3">
      <c r="A1126" s="2">
        <v>45825</v>
      </c>
      <c r="B1126" t="s">
        <v>0</v>
      </c>
      <c r="C1126" t="s">
        <v>5</v>
      </c>
      <c r="D1126">
        <v>9</v>
      </c>
      <c r="E1126">
        <v>31.35</v>
      </c>
      <c r="F1126" t="s">
        <v>12</v>
      </c>
      <c r="G1126" t="s">
        <v>17</v>
      </c>
      <c r="H1126">
        <v>0.1</v>
      </c>
      <c r="I1126" t="s">
        <v>22</v>
      </c>
      <c r="J1126">
        <v>253.935</v>
      </c>
      <c r="K1126" t="s">
        <v>28</v>
      </c>
      <c r="L1126" t="s">
        <v>30</v>
      </c>
      <c r="M1126">
        <v>0</v>
      </c>
      <c r="N1126" t="s">
        <v>1199</v>
      </c>
      <c r="O1126" t="s">
        <v>2699</v>
      </c>
      <c r="P1126">
        <v>39.32</v>
      </c>
      <c r="Q1126">
        <f t="shared" si="17"/>
        <v>28.215</v>
      </c>
      <c r="R1126">
        <v>214.61500000000001</v>
      </c>
      <c r="S1126" s="2">
        <v>45825</v>
      </c>
      <c r="T1126" s="2">
        <v>45830</v>
      </c>
      <c r="U1126" t="s">
        <v>33</v>
      </c>
      <c r="V1126">
        <v>17</v>
      </c>
      <c r="W1126">
        <v>6</v>
      </c>
      <c r="X1126" t="s">
        <v>41</v>
      </c>
      <c r="Y1126">
        <v>2025</v>
      </c>
      <c r="Z1126">
        <v>2</v>
      </c>
      <c r="AA1126">
        <v>25</v>
      </c>
    </row>
    <row r="1127" spans="1:27" x14ac:dyDescent="0.3">
      <c r="A1127" s="2">
        <v>45003</v>
      </c>
      <c r="B1127" t="s">
        <v>2</v>
      </c>
      <c r="C1127" t="s">
        <v>8</v>
      </c>
      <c r="D1127">
        <v>11</v>
      </c>
      <c r="E1127">
        <v>335.11</v>
      </c>
      <c r="F1127" t="s">
        <v>14</v>
      </c>
      <c r="G1127" t="s">
        <v>17</v>
      </c>
      <c r="H1127">
        <v>0</v>
      </c>
      <c r="I1127" t="s">
        <v>20</v>
      </c>
      <c r="J1127">
        <v>3686.21</v>
      </c>
      <c r="K1127" t="s">
        <v>25</v>
      </c>
      <c r="L1127" t="s">
        <v>29</v>
      </c>
      <c r="M1127">
        <v>0</v>
      </c>
      <c r="N1127" t="s">
        <v>1200</v>
      </c>
      <c r="O1127" t="s">
        <v>2700</v>
      </c>
      <c r="P1127">
        <v>29.95</v>
      </c>
      <c r="Q1127">
        <f t="shared" si="17"/>
        <v>335.11</v>
      </c>
      <c r="R1127">
        <v>3656.26</v>
      </c>
      <c r="S1127" s="2">
        <v>45003</v>
      </c>
      <c r="T1127" s="2">
        <v>45011</v>
      </c>
      <c r="U1127" t="s">
        <v>35</v>
      </c>
      <c r="V1127">
        <v>18</v>
      </c>
      <c r="W1127">
        <v>3</v>
      </c>
      <c r="X1127" t="s">
        <v>44</v>
      </c>
      <c r="Y1127">
        <v>2023</v>
      </c>
      <c r="Z1127">
        <v>1</v>
      </c>
      <c r="AA1127">
        <v>11</v>
      </c>
    </row>
    <row r="1128" spans="1:27" x14ac:dyDescent="0.3">
      <c r="A1128" s="2">
        <v>44945</v>
      </c>
      <c r="B1128" t="s">
        <v>0</v>
      </c>
      <c r="C1128" t="s">
        <v>6</v>
      </c>
      <c r="D1128">
        <v>8</v>
      </c>
      <c r="E1128">
        <v>277.43</v>
      </c>
      <c r="F1128" t="s">
        <v>15</v>
      </c>
      <c r="G1128" t="s">
        <v>16</v>
      </c>
      <c r="H1128">
        <v>0</v>
      </c>
      <c r="I1128" t="s">
        <v>21</v>
      </c>
      <c r="J1128">
        <v>2219.44</v>
      </c>
      <c r="K1128" t="s">
        <v>24</v>
      </c>
      <c r="L1128" t="s">
        <v>30</v>
      </c>
      <c r="M1128">
        <v>0</v>
      </c>
      <c r="N1128" t="s">
        <v>1201</v>
      </c>
      <c r="O1128" t="s">
        <v>2701</v>
      </c>
      <c r="P1128">
        <v>36.380000000000003</v>
      </c>
      <c r="Q1128">
        <f t="shared" si="17"/>
        <v>277.43</v>
      </c>
      <c r="R1128">
        <v>2183.06</v>
      </c>
      <c r="S1128" s="2">
        <v>44945</v>
      </c>
      <c r="T1128" s="2">
        <v>44949</v>
      </c>
      <c r="U1128" t="s">
        <v>33</v>
      </c>
      <c r="V1128">
        <v>19</v>
      </c>
      <c r="W1128">
        <v>1</v>
      </c>
      <c r="X1128" t="s">
        <v>42</v>
      </c>
      <c r="Y1128">
        <v>2023</v>
      </c>
      <c r="Z1128">
        <v>1</v>
      </c>
      <c r="AA1128">
        <v>3</v>
      </c>
    </row>
    <row r="1129" spans="1:27" x14ac:dyDescent="0.3">
      <c r="A1129" s="2">
        <v>45116</v>
      </c>
      <c r="B1129" t="s">
        <v>4</v>
      </c>
      <c r="C1129" t="s">
        <v>7</v>
      </c>
      <c r="D1129">
        <v>6</v>
      </c>
      <c r="E1129">
        <v>287.72000000000003</v>
      </c>
      <c r="F1129" t="s">
        <v>13</v>
      </c>
      <c r="G1129" t="s">
        <v>17</v>
      </c>
      <c r="H1129">
        <v>0.05</v>
      </c>
      <c r="I1129" t="s">
        <v>23</v>
      </c>
      <c r="J1129">
        <v>1640.0039999999999</v>
      </c>
      <c r="K1129" t="s">
        <v>27</v>
      </c>
      <c r="L1129" t="s">
        <v>31</v>
      </c>
      <c r="M1129">
        <v>0</v>
      </c>
      <c r="N1129" t="s">
        <v>1202</v>
      </c>
      <c r="O1129" t="s">
        <v>2702</v>
      </c>
      <c r="P1129">
        <v>17.14</v>
      </c>
      <c r="Q1129">
        <f t="shared" si="17"/>
        <v>273.334</v>
      </c>
      <c r="R1129">
        <v>1622.8639999999998</v>
      </c>
      <c r="S1129" s="2">
        <v>45116</v>
      </c>
      <c r="T1129" s="2">
        <v>45121</v>
      </c>
      <c r="U1129" t="s">
        <v>37</v>
      </c>
      <c r="V1129">
        <v>9</v>
      </c>
      <c r="W1129">
        <v>7</v>
      </c>
      <c r="X1129" t="s">
        <v>46</v>
      </c>
      <c r="Y1129">
        <v>2023</v>
      </c>
      <c r="Z1129">
        <v>3</v>
      </c>
      <c r="AA1129">
        <v>27</v>
      </c>
    </row>
    <row r="1130" spans="1:27" x14ac:dyDescent="0.3">
      <c r="A1130" s="2">
        <v>45732</v>
      </c>
      <c r="B1130" t="s">
        <v>0</v>
      </c>
      <c r="C1130" t="s">
        <v>5</v>
      </c>
      <c r="D1130">
        <v>14</v>
      </c>
      <c r="E1130">
        <v>459.61</v>
      </c>
      <c r="F1130" t="s">
        <v>12</v>
      </c>
      <c r="G1130" t="s">
        <v>17</v>
      </c>
      <c r="H1130">
        <v>0.05</v>
      </c>
      <c r="I1130" t="s">
        <v>20</v>
      </c>
      <c r="J1130">
        <v>6112.8130000000001</v>
      </c>
      <c r="K1130" t="s">
        <v>24</v>
      </c>
      <c r="L1130" t="s">
        <v>32</v>
      </c>
      <c r="M1130">
        <v>1</v>
      </c>
      <c r="N1130" t="s">
        <v>1203</v>
      </c>
      <c r="O1130" t="s">
        <v>2703</v>
      </c>
      <c r="P1130">
        <v>43.41</v>
      </c>
      <c r="Q1130">
        <f t="shared" si="17"/>
        <v>436.62950000000001</v>
      </c>
      <c r="R1130">
        <v>6069.4030000000002</v>
      </c>
      <c r="S1130" s="2">
        <v>45732</v>
      </c>
      <c r="T1130" s="2">
        <v>45742</v>
      </c>
      <c r="U1130" t="s">
        <v>33</v>
      </c>
      <c r="V1130">
        <v>16</v>
      </c>
      <c r="W1130">
        <v>3</v>
      </c>
      <c r="X1130" t="s">
        <v>44</v>
      </c>
      <c r="Y1130">
        <v>2025</v>
      </c>
      <c r="Z1130">
        <v>1</v>
      </c>
      <c r="AA1130">
        <v>11</v>
      </c>
    </row>
    <row r="1131" spans="1:27" x14ac:dyDescent="0.3">
      <c r="A1131" s="2">
        <v>45696</v>
      </c>
      <c r="B1131" t="s">
        <v>2</v>
      </c>
      <c r="C1131" t="s">
        <v>10</v>
      </c>
      <c r="D1131">
        <v>10</v>
      </c>
      <c r="E1131">
        <v>396.73</v>
      </c>
      <c r="F1131" t="s">
        <v>12</v>
      </c>
      <c r="G1131" t="s">
        <v>17</v>
      </c>
      <c r="H1131">
        <v>0.1</v>
      </c>
      <c r="I1131" t="s">
        <v>18</v>
      </c>
      <c r="J1131">
        <v>3570.57</v>
      </c>
      <c r="K1131" t="s">
        <v>24</v>
      </c>
      <c r="L1131" t="s">
        <v>29</v>
      </c>
      <c r="M1131">
        <v>0</v>
      </c>
      <c r="N1131" t="s">
        <v>1204</v>
      </c>
      <c r="O1131" t="s">
        <v>2704</v>
      </c>
      <c r="P1131">
        <v>18.13</v>
      </c>
      <c r="Q1131">
        <f t="shared" si="17"/>
        <v>357.05700000000002</v>
      </c>
      <c r="R1131">
        <v>3552.44</v>
      </c>
      <c r="S1131" s="2">
        <v>45696</v>
      </c>
      <c r="T1131" s="2">
        <v>45701</v>
      </c>
      <c r="U1131" t="s">
        <v>35</v>
      </c>
      <c r="V1131">
        <v>8</v>
      </c>
      <c r="W1131">
        <v>2</v>
      </c>
      <c r="X1131" t="s">
        <v>38</v>
      </c>
      <c r="Y1131">
        <v>2025</v>
      </c>
      <c r="Z1131">
        <v>1</v>
      </c>
      <c r="AA1131">
        <v>6</v>
      </c>
    </row>
    <row r="1132" spans="1:27" x14ac:dyDescent="0.3">
      <c r="A1132" s="2">
        <v>45402</v>
      </c>
      <c r="B1132" t="s">
        <v>1</v>
      </c>
      <c r="C1132" t="s">
        <v>11</v>
      </c>
      <c r="D1132">
        <v>20</v>
      </c>
      <c r="E1132">
        <v>516.42999999999995</v>
      </c>
      <c r="F1132" t="s">
        <v>12</v>
      </c>
      <c r="G1132" t="s">
        <v>17</v>
      </c>
      <c r="H1132">
        <v>0</v>
      </c>
      <c r="I1132" t="s">
        <v>23</v>
      </c>
      <c r="J1132">
        <v>10328.6</v>
      </c>
      <c r="K1132" t="s">
        <v>24</v>
      </c>
      <c r="L1132" t="s">
        <v>29</v>
      </c>
      <c r="M1132">
        <v>0</v>
      </c>
      <c r="N1132" t="s">
        <v>1205</v>
      </c>
      <c r="O1132" t="s">
        <v>2705</v>
      </c>
      <c r="P1132">
        <v>36.229999999999997</v>
      </c>
      <c r="Q1132">
        <f t="shared" si="17"/>
        <v>516.43000000000006</v>
      </c>
      <c r="R1132">
        <v>10292.370000000001</v>
      </c>
      <c r="S1132" s="2">
        <v>45402</v>
      </c>
      <c r="T1132" s="2">
        <v>45404</v>
      </c>
      <c r="U1132" t="s">
        <v>34</v>
      </c>
      <c r="V1132">
        <v>20</v>
      </c>
      <c r="W1132">
        <v>4</v>
      </c>
      <c r="X1132" t="s">
        <v>45</v>
      </c>
      <c r="Y1132">
        <v>2024</v>
      </c>
      <c r="Z1132">
        <v>2</v>
      </c>
      <c r="AA1132">
        <v>16</v>
      </c>
    </row>
    <row r="1133" spans="1:27" x14ac:dyDescent="0.3">
      <c r="A1133" s="2">
        <v>45813</v>
      </c>
      <c r="B1133" t="s">
        <v>0</v>
      </c>
      <c r="C1133" t="s">
        <v>5</v>
      </c>
      <c r="D1133">
        <v>1</v>
      </c>
      <c r="E1133">
        <v>299.66000000000003</v>
      </c>
      <c r="F1133" t="s">
        <v>13</v>
      </c>
      <c r="G1133" t="s">
        <v>17</v>
      </c>
      <c r="H1133">
        <v>0.1</v>
      </c>
      <c r="I1133" t="s">
        <v>22</v>
      </c>
      <c r="J1133">
        <v>269.69400000000002</v>
      </c>
      <c r="K1133" t="s">
        <v>28</v>
      </c>
      <c r="L1133" t="s">
        <v>30</v>
      </c>
      <c r="M1133">
        <v>0</v>
      </c>
      <c r="N1133" t="s">
        <v>1206</v>
      </c>
      <c r="O1133" t="s">
        <v>2706</v>
      </c>
      <c r="P1133">
        <v>38.94</v>
      </c>
      <c r="Q1133">
        <f t="shared" si="17"/>
        <v>269.69400000000002</v>
      </c>
      <c r="R1133">
        <v>230.75400000000002</v>
      </c>
      <c r="S1133" s="2">
        <v>45813</v>
      </c>
      <c r="T1133" s="2">
        <v>45815</v>
      </c>
      <c r="U1133" t="s">
        <v>33</v>
      </c>
      <c r="V1133">
        <v>5</v>
      </c>
      <c r="W1133">
        <v>6</v>
      </c>
      <c r="X1133" t="s">
        <v>41</v>
      </c>
      <c r="Y1133">
        <v>2025</v>
      </c>
      <c r="Z1133">
        <v>2</v>
      </c>
      <c r="AA1133">
        <v>23</v>
      </c>
    </row>
    <row r="1134" spans="1:27" x14ac:dyDescent="0.3">
      <c r="A1134" s="2">
        <v>45772</v>
      </c>
      <c r="B1134" t="s">
        <v>1</v>
      </c>
      <c r="C1134" t="s">
        <v>8</v>
      </c>
      <c r="D1134">
        <v>12</v>
      </c>
      <c r="E1134">
        <v>31.72</v>
      </c>
      <c r="F1134" t="s">
        <v>12</v>
      </c>
      <c r="G1134" t="s">
        <v>17</v>
      </c>
      <c r="H1134">
        <v>0</v>
      </c>
      <c r="I1134" t="s">
        <v>19</v>
      </c>
      <c r="J1134">
        <v>380.64</v>
      </c>
      <c r="K1134" t="s">
        <v>27</v>
      </c>
      <c r="L1134" t="s">
        <v>30</v>
      </c>
      <c r="M1134">
        <v>0</v>
      </c>
      <c r="N1134" t="s">
        <v>1207</v>
      </c>
      <c r="O1134" t="s">
        <v>2707</v>
      </c>
      <c r="P1134">
        <v>30.78</v>
      </c>
      <c r="Q1134">
        <f t="shared" si="17"/>
        <v>31.72</v>
      </c>
      <c r="R1134">
        <v>349.86</v>
      </c>
      <c r="S1134" s="2">
        <v>45772</v>
      </c>
      <c r="T1134" s="2">
        <v>45780</v>
      </c>
      <c r="U1134" t="s">
        <v>34</v>
      </c>
      <c r="V1134">
        <v>25</v>
      </c>
      <c r="W1134">
        <v>4</v>
      </c>
      <c r="X1134" t="s">
        <v>45</v>
      </c>
      <c r="Y1134">
        <v>2025</v>
      </c>
      <c r="Z1134">
        <v>2</v>
      </c>
      <c r="AA1134">
        <v>17</v>
      </c>
    </row>
    <row r="1135" spans="1:27" x14ac:dyDescent="0.3">
      <c r="A1135" s="2">
        <v>45175</v>
      </c>
      <c r="B1135" t="s">
        <v>3</v>
      </c>
      <c r="C1135" t="s">
        <v>6</v>
      </c>
      <c r="D1135">
        <v>17</v>
      </c>
      <c r="E1135">
        <v>588.58000000000004</v>
      </c>
      <c r="F1135" t="s">
        <v>15</v>
      </c>
      <c r="G1135" t="s">
        <v>16</v>
      </c>
      <c r="H1135">
        <v>0.05</v>
      </c>
      <c r="I1135" t="s">
        <v>22</v>
      </c>
      <c r="J1135">
        <v>9505.5670000000009</v>
      </c>
      <c r="K1135" t="s">
        <v>27</v>
      </c>
      <c r="L1135" t="s">
        <v>30</v>
      </c>
      <c r="M1135">
        <v>1</v>
      </c>
      <c r="N1135" t="s">
        <v>1208</v>
      </c>
      <c r="O1135" t="s">
        <v>2708</v>
      </c>
      <c r="P1135">
        <v>25.31</v>
      </c>
      <c r="Q1135">
        <f t="shared" si="17"/>
        <v>559.15100000000007</v>
      </c>
      <c r="R1135">
        <v>9480.2570000000014</v>
      </c>
      <c r="S1135" s="2">
        <v>45175</v>
      </c>
      <c r="T1135" s="2">
        <v>45182</v>
      </c>
      <c r="U1135" t="s">
        <v>36</v>
      </c>
      <c r="V1135">
        <v>6</v>
      </c>
      <c r="W1135">
        <v>9</v>
      </c>
      <c r="X1135" t="s">
        <v>49</v>
      </c>
      <c r="Y1135">
        <v>2023</v>
      </c>
      <c r="Z1135">
        <v>3</v>
      </c>
      <c r="AA1135">
        <v>36</v>
      </c>
    </row>
    <row r="1136" spans="1:27" x14ac:dyDescent="0.3">
      <c r="A1136" s="2">
        <v>45198</v>
      </c>
      <c r="B1136" t="s">
        <v>0</v>
      </c>
      <c r="C1136" t="s">
        <v>5</v>
      </c>
      <c r="D1136">
        <v>11</v>
      </c>
      <c r="E1136">
        <v>203.15</v>
      </c>
      <c r="F1136" t="s">
        <v>14</v>
      </c>
      <c r="G1136" t="s">
        <v>17</v>
      </c>
      <c r="H1136">
        <v>0.1</v>
      </c>
      <c r="I1136" t="s">
        <v>18</v>
      </c>
      <c r="J1136">
        <v>2011.1849999999999</v>
      </c>
      <c r="K1136" t="s">
        <v>24</v>
      </c>
      <c r="L1136" t="s">
        <v>29</v>
      </c>
      <c r="M1136">
        <v>0</v>
      </c>
      <c r="N1136" t="s">
        <v>1209</v>
      </c>
      <c r="O1136" t="s">
        <v>2709</v>
      </c>
      <c r="P1136">
        <v>30.97</v>
      </c>
      <c r="Q1136">
        <f t="shared" si="17"/>
        <v>182.83500000000001</v>
      </c>
      <c r="R1136">
        <v>1980.2149999999999</v>
      </c>
      <c r="S1136" s="2">
        <v>45198</v>
      </c>
      <c r="T1136" s="2">
        <v>45201</v>
      </c>
      <c r="U1136" t="s">
        <v>33</v>
      </c>
      <c r="V1136">
        <v>29</v>
      </c>
      <c r="W1136">
        <v>9</v>
      </c>
      <c r="X1136" t="s">
        <v>49</v>
      </c>
      <c r="Y1136">
        <v>2023</v>
      </c>
      <c r="Z1136">
        <v>3</v>
      </c>
      <c r="AA1136">
        <v>39</v>
      </c>
    </row>
    <row r="1137" spans="1:27" x14ac:dyDescent="0.3">
      <c r="A1137" s="2">
        <v>45433</v>
      </c>
      <c r="B1137" t="s">
        <v>3</v>
      </c>
      <c r="C1137" t="s">
        <v>9</v>
      </c>
      <c r="D1137">
        <v>18</v>
      </c>
      <c r="E1137">
        <v>139.13999999999999</v>
      </c>
      <c r="F1137" t="s">
        <v>13</v>
      </c>
      <c r="G1137" t="s">
        <v>16</v>
      </c>
      <c r="H1137">
        <v>0</v>
      </c>
      <c r="I1137" t="s">
        <v>21</v>
      </c>
      <c r="J1137">
        <v>2504.52</v>
      </c>
      <c r="K1137" t="s">
        <v>24</v>
      </c>
      <c r="L1137" t="s">
        <v>29</v>
      </c>
      <c r="M1137">
        <v>1</v>
      </c>
      <c r="N1137" t="s">
        <v>1210</v>
      </c>
      <c r="O1137" t="s">
        <v>2710</v>
      </c>
      <c r="P1137">
        <v>10.56</v>
      </c>
      <c r="Q1137">
        <f t="shared" si="17"/>
        <v>139.13999999999999</v>
      </c>
      <c r="R1137">
        <v>2493.96</v>
      </c>
      <c r="S1137" s="2">
        <v>45433</v>
      </c>
      <c r="T1137" s="2">
        <v>45435</v>
      </c>
      <c r="U1137" t="s">
        <v>36</v>
      </c>
      <c r="V1137">
        <v>21</v>
      </c>
      <c r="W1137">
        <v>5</v>
      </c>
      <c r="X1137" t="s">
        <v>40</v>
      </c>
      <c r="Y1137">
        <v>2024</v>
      </c>
      <c r="Z1137">
        <v>2</v>
      </c>
      <c r="AA1137">
        <v>21</v>
      </c>
    </row>
    <row r="1138" spans="1:27" x14ac:dyDescent="0.3">
      <c r="A1138" s="2">
        <v>45760</v>
      </c>
      <c r="B1138" t="s">
        <v>4</v>
      </c>
      <c r="C1138" t="s">
        <v>9</v>
      </c>
      <c r="D1138">
        <v>2</v>
      </c>
      <c r="E1138">
        <v>158.99</v>
      </c>
      <c r="F1138" t="s">
        <v>13</v>
      </c>
      <c r="G1138" t="s">
        <v>16</v>
      </c>
      <c r="H1138">
        <v>0</v>
      </c>
      <c r="I1138" t="s">
        <v>23</v>
      </c>
      <c r="J1138">
        <v>317.98</v>
      </c>
      <c r="K1138" t="s">
        <v>24</v>
      </c>
      <c r="L1138" t="s">
        <v>32</v>
      </c>
      <c r="M1138">
        <v>0</v>
      </c>
      <c r="N1138" t="s">
        <v>1211</v>
      </c>
      <c r="O1138" t="s">
        <v>2711</v>
      </c>
      <c r="P1138">
        <v>48.32</v>
      </c>
      <c r="Q1138">
        <f t="shared" si="17"/>
        <v>158.99</v>
      </c>
      <c r="R1138">
        <v>269.66000000000003</v>
      </c>
      <c r="S1138" s="2">
        <v>45760</v>
      </c>
      <c r="T1138" s="2">
        <v>45766</v>
      </c>
      <c r="U1138" t="s">
        <v>37</v>
      </c>
      <c r="V1138">
        <v>13</v>
      </c>
      <c r="W1138">
        <v>4</v>
      </c>
      <c r="X1138" t="s">
        <v>45</v>
      </c>
      <c r="Y1138">
        <v>2025</v>
      </c>
      <c r="Z1138">
        <v>2</v>
      </c>
      <c r="AA1138">
        <v>15</v>
      </c>
    </row>
    <row r="1139" spans="1:27" x14ac:dyDescent="0.3">
      <c r="A1139" s="2">
        <v>45612</v>
      </c>
      <c r="B1139" t="s">
        <v>0</v>
      </c>
      <c r="C1139" t="s">
        <v>8</v>
      </c>
      <c r="D1139">
        <v>3</v>
      </c>
      <c r="E1139">
        <v>387.63</v>
      </c>
      <c r="F1139" t="s">
        <v>13</v>
      </c>
      <c r="G1139" t="s">
        <v>16</v>
      </c>
      <c r="H1139">
        <v>0</v>
      </c>
      <c r="I1139" t="s">
        <v>22</v>
      </c>
      <c r="J1139">
        <v>1162.8900000000001</v>
      </c>
      <c r="K1139" t="s">
        <v>26</v>
      </c>
      <c r="L1139" t="s">
        <v>31</v>
      </c>
      <c r="M1139">
        <v>0</v>
      </c>
      <c r="N1139" t="s">
        <v>1212</v>
      </c>
      <c r="O1139" t="s">
        <v>2712</v>
      </c>
      <c r="P1139">
        <v>30.08</v>
      </c>
      <c r="Q1139">
        <f t="shared" si="17"/>
        <v>387.63000000000005</v>
      </c>
      <c r="R1139">
        <v>1132.8100000000002</v>
      </c>
      <c r="S1139" s="2">
        <v>45612</v>
      </c>
      <c r="T1139" s="2">
        <v>45616</v>
      </c>
      <c r="U1139" t="s">
        <v>33</v>
      </c>
      <c r="V1139">
        <v>16</v>
      </c>
      <c r="W1139">
        <v>11</v>
      </c>
      <c r="X1139" t="s">
        <v>47</v>
      </c>
      <c r="Y1139">
        <v>2024</v>
      </c>
      <c r="Z1139">
        <v>4</v>
      </c>
      <c r="AA1139">
        <v>46</v>
      </c>
    </row>
    <row r="1140" spans="1:27" x14ac:dyDescent="0.3">
      <c r="A1140" s="2">
        <v>45493</v>
      </c>
      <c r="B1140" t="s">
        <v>2</v>
      </c>
      <c r="C1140" t="s">
        <v>7</v>
      </c>
      <c r="D1140">
        <v>5</v>
      </c>
      <c r="E1140">
        <v>202.12</v>
      </c>
      <c r="F1140" t="s">
        <v>13</v>
      </c>
      <c r="G1140" t="s">
        <v>17</v>
      </c>
      <c r="H1140">
        <v>0.1</v>
      </c>
      <c r="I1140" t="s">
        <v>22</v>
      </c>
      <c r="J1140">
        <v>909.54000000000008</v>
      </c>
      <c r="K1140" t="s">
        <v>24</v>
      </c>
      <c r="L1140" t="s">
        <v>29</v>
      </c>
      <c r="M1140">
        <v>1</v>
      </c>
      <c r="N1140" t="s">
        <v>1213</v>
      </c>
      <c r="O1140" t="s">
        <v>2713</v>
      </c>
      <c r="P1140">
        <v>45.61</v>
      </c>
      <c r="Q1140">
        <f t="shared" si="17"/>
        <v>181.90800000000002</v>
      </c>
      <c r="R1140">
        <v>863.93000000000006</v>
      </c>
      <c r="S1140" s="2">
        <v>45493</v>
      </c>
      <c r="T1140" s="2">
        <v>45501</v>
      </c>
      <c r="U1140" t="s">
        <v>35</v>
      </c>
      <c r="V1140">
        <v>20</v>
      </c>
      <c r="W1140">
        <v>7</v>
      </c>
      <c r="X1140" t="s">
        <v>46</v>
      </c>
      <c r="Y1140">
        <v>2024</v>
      </c>
      <c r="Z1140">
        <v>3</v>
      </c>
      <c r="AA1140">
        <v>29</v>
      </c>
    </row>
    <row r="1141" spans="1:27" x14ac:dyDescent="0.3">
      <c r="A1141" s="2">
        <v>45066</v>
      </c>
      <c r="B1141" t="s">
        <v>2</v>
      </c>
      <c r="C1141" t="s">
        <v>7</v>
      </c>
      <c r="D1141">
        <v>4</v>
      </c>
      <c r="E1141">
        <v>334.57</v>
      </c>
      <c r="F1141" t="s">
        <v>14</v>
      </c>
      <c r="G1141" t="s">
        <v>17</v>
      </c>
      <c r="H1141">
        <v>0.15</v>
      </c>
      <c r="I1141" t="s">
        <v>21</v>
      </c>
      <c r="J1141">
        <v>1137.538</v>
      </c>
      <c r="K1141" t="s">
        <v>25</v>
      </c>
      <c r="L1141" t="s">
        <v>32</v>
      </c>
      <c r="M1141">
        <v>0</v>
      </c>
      <c r="N1141" t="s">
        <v>1214</v>
      </c>
      <c r="O1141" t="s">
        <v>2714</v>
      </c>
      <c r="P1141">
        <v>11.49</v>
      </c>
      <c r="Q1141">
        <f t="shared" si="17"/>
        <v>284.3845</v>
      </c>
      <c r="R1141">
        <v>1126.048</v>
      </c>
      <c r="S1141" s="2">
        <v>45066</v>
      </c>
      <c r="T1141" s="2">
        <v>45073</v>
      </c>
      <c r="U1141" t="s">
        <v>35</v>
      </c>
      <c r="V1141">
        <v>20</v>
      </c>
      <c r="W1141">
        <v>5</v>
      </c>
      <c r="X1141" t="s">
        <v>40</v>
      </c>
      <c r="Y1141">
        <v>2023</v>
      </c>
      <c r="Z1141">
        <v>2</v>
      </c>
      <c r="AA1141">
        <v>20</v>
      </c>
    </row>
    <row r="1142" spans="1:27" x14ac:dyDescent="0.3">
      <c r="A1142" s="2">
        <v>45221</v>
      </c>
      <c r="B1142" t="s">
        <v>4</v>
      </c>
      <c r="C1142" t="s">
        <v>6</v>
      </c>
      <c r="D1142">
        <v>16</v>
      </c>
      <c r="E1142">
        <v>486.71</v>
      </c>
      <c r="F1142" t="s">
        <v>12</v>
      </c>
      <c r="G1142" t="s">
        <v>16</v>
      </c>
      <c r="H1142">
        <v>0.15</v>
      </c>
      <c r="I1142" t="s">
        <v>21</v>
      </c>
      <c r="J1142">
        <v>6619.2559999999994</v>
      </c>
      <c r="K1142" t="s">
        <v>24</v>
      </c>
      <c r="L1142" t="s">
        <v>29</v>
      </c>
      <c r="M1142">
        <v>1</v>
      </c>
      <c r="N1142" t="s">
        <v>1215</v>
      </c>
      <c r="O1142" t="s">
        <v>2715</v>
      </c>
      <c r="P1142">
        <v>12.53</v>
      </c>
      <c r="Q1142">
        <f t="shared" si="17"/>
        <v>413.70349999999996</v>
      </c>
      <c r="R1142">
        <v>6606.7259999999997</v>
      </c>
      <c r="S1142" s="2">
        <v>45221</v>
      </c>
      <c r="T1142" s="2">
        <v>45225</v>
      </c>
      <c r="U1142" t="s">
        <v>37</v>
      </c>
      <c r="V1142">
        <v>22</v>
      </c>
      <c r="W1142">
        <v>10</v>
      </c>
      <c r="X1142" t="s">
        <v>43</v>
      </c>
      <c r="Y1142">
        <v>2023</v>
      </c>
      <c r="Z1142">
        <v>4</v>
      </c>
      <c r="AA1142">
        <v>42</v>
      </c>
    </row>
    <row r="1143" spans="1:27" x14ac:dyDescent="0.3">
      <c r="A1143" s="2">
        <v>45795</v>
      </c>
      <c r="B1143" t="s">
        <v>2</v>
      </c>
      <c r="C1143" t="s">
        <v>9</v>
      </c>
      <c r="D1143">
        <v>2</v>
      </c>
      <c r="E1143">
        <v>188.29</v>
      </c>
      <c r="F1143" t="s">
        <v>15</v>
      </c>
      <c r="G1143" t="s">
        <v>16</v>
      </c>
      <c r="H1143">
        <v>0.15</v>
      </c>
      <c r="I1143" t="s">
        <v>23</v>
      </c>
      <c r="J1143">
        <v>320.09300000000002</v>
      </c>
      <c r="K1143" t="s">
        <v>26</v>
      </c>
      <c r="L1143" t="s">
        <v>30</v>
      </c>
      <c r="M1143">
        <v>0</v>
      </c>
      <c r="N1143" t="s">
        <v>1216</v>
      </c>
      <c r="O1143" t="s">
        <v>2716</v>
      </c>
      <c r="P1143">
        <v>32.22</v>
      </c>
      <c r="Q1143">
        <f t="shared" si="17"/>
        <v>160.04650000000001</v>
      </c>
      <c r="R1143">
        <v>287.87300000000005</v>
      </c>
      <c r="S1143" s="2">
        <v>45795</v>
      </c>
      <c r="T1143" s="2">
        <v>45798</v>
      </c>
      <c r="U1143" t="s">
        <v>35</v>
      </c>
      <c r="V1143">
        <v>18</v>
      </c>
      <c r="W1143">
        <v>5</v>
      </c>
      <c r="X1143" t="s">
        <v>40</v>
      </c>
      <c r="Y1143">
        <v>2025</v>
      </c>
      <c r="Z1143">
        <v>2</v>
      </c>
      <c r="AA1143">
        <v>20</v>
      </c>
    </row>
    <row r="1144" spans="1:27" x14ac:dyDescent="0.3">
      <c r="A1144" s="2">
        <v>45354</v>
      </c>
      <c r="B1144" t="s">
        <v>1</v>
      </c>
      <c r="C1144" t="s">
        <v>5</v>
      </c>
      <c r="D1144">
        <v>3</v>
      </c>
      <c r="E1144">
        <v>260.72000000000003</v>
      </c>
      <c r="F1144" t="s">
        <v>12</v>
      </c>
      <c r="G1144" t="s">
        <v>16</v>
      </c>
      <c r="H1144">
        <v>0.15</v>
      </c>
      <c r="I1144" t="s">
        <v>20</v>
      </c>
      <c r="J1144">
        <v>664.83600000000001</v>
      </c>
      <c r="K1144" t="s">
        <v>24</v>
      </c>
      <c r="L1144" t="s">
        <v>31</v>
      </c>
      <c r="M1144">
        <v>0</v>
      </c>
      <c r="N1144" t="s">
        <v>1217</v>
      </c>
      <c r="O1144" t="s">
        <v>2717</v>
      </c>
      <c r="P1144">
        <v>19.41</v>
      </c>
      <c r="Q1144">
        <f t="shared" si="17"/>
        <v>221.61199999999999</v>
      </c>
      <c r="R1144">
        <v>645.42600000000004</v>
      </c>
      <c r="S1144" s="2">
        <v>45354</v>
      </c>
      <c r="T1144" s="2">
        <v>45357</v>
      </c>
      <c r="U1144" t="s">
        <v>34</v>
      </c>
      <c r="V1144">
        <v>3</v>
      </c>
      <c r="W1144">
        <v>3</v>
      </c>
      <c r="X1144" t="s">
        <v>44</v>
      </c>
      <c r="Y1144">
        <v>2024</v>
      </c>
      <c r="Z1144">
        <v>1</v>
      </c>
      <c r="AA1144">
        <v>9</v>
      </c>
    </row>
    <row r="1145" spans="1:27" x14ac:dyDescent="0.3">
      <c r="A1145" s="2">
        <v>45130</v>
      </c>
      <c r="B1145" t="s">
        <v>0</v>
      </c>
      <c r="C1145" t="s">
        <v>7</v>
      </c>
      <c r="D1145">
        <v>6</v>
      </c>
      <c r="E1145">
        <v>358.27</v>
      </c>
      <c r="F1145" t="s">
        <v>12</v>
      </c>
      <c r="G1145" t="s">
        <v>17</v>
      </c>
      <c r="H1145">
        <v>0.1</v>
      </c>
      <c r="I1145" t="s">
        <v>20</v>
      </c>
      <c r="J1145">
        <v>1934.6579999999999</v>
      </c>
      <c r="K1145" t="s">
        <v>25</v>
      </c>
      <c r="L1145" t="s">
        <v>32</v>
      </c>
      <c r="M1145">
        <v>0</v>
      </c>
      <c r="N1145" t="s">
        <v>1218</v>
      </c>
      <c r="O1145" t="s">
        <v>2718</v>
      </c>
      <c r="P1145">
        <v>7.34</v>
      </c>
      <c r="Q1145">
        <f t="shared" si="17"/>
        <v>322.44299999999998</v>
      </c>
      <c r="R1145">
        <v>1927.318</v>
      </c>
      <c r="S1145" s="2">
        <v>45130</v>
      </c>
      <c r="T1145" s="2">
        <v>45140</v>
      </c>
      <c r="U1145" t="s">
        <v>33</v>
      </c>
      <c r="V1145">
        <v>23</v>
      </c>
      <c r="W1145">
        <v>7</v>
      </c>
      <c r="X1145" t="s">
        <v>46</v>
      </c>
      <c r="Y1145">
        <v>2023</v>
      </c>
      <c r="Z1145">
        <v>3</v>
      </c>
      <c r="AA1145">
        <v>29</v>
      </c>
    </row>
    <row r="1146" spans="1:27" x14ac:dyDescent="0.3">
      <c r="A1146" s="2">
        <v>45697</v>
      </c>
      <c r="B1146" t="s">
        <v>2</v>
      </c>
      <c r="C1146" t="s">
        <v>7</v>
      </c>
      <c r="D1146">
        <v>13</v>
      </c>
      <c r="E1146">
        <v>492.66</v>
      </c>
      <c r="F1146" t="s">
        <v>12</v>
      </c>
      <c r="G1146" t="s">
        <v>17</v>
      </c>
      <c r="H1146">
        <v>0.1</v>
      </c>
      <c r="I1146" t="s">
        <v>20</v>
      </c>
      <c r="J1146">
        <v>5764.1220000000003</v>
      </c>
      <c r="K1146" t="s">
        <v>25</v>
      </c>
      <c r="L1146" t="s">
        <v>29</v>
      </c>
      <c r="M1146">
        <v>0</v>
      </c>
      <c r="N1146" t="s">
        <v>1219</v>
      </c>
      <c r="O1146" t="s">
        <v>2719</v>
      </c>
      <c r="P1146">
        <v>46.21</v>
      </c>
      <c r="Q1146">
        <f t="shared" si="17"/>
        <v>443.39400000000001</v>
      </c>
      <c r="R1146">
        <v>5717.9120000000003</v>
      </c>
      <c r="S1146" s="2">
        <v>45697</v>
      </c>
      <c r="T1146" s="2">
        <v>45702</v>
      </c>
      <c r="U1146" t="s">
        <v>35</v>
      </c>
      <c r="V1146">
        <v>9</v>
      </c>
      <c r="W1146">
        <v>2</v>
      </c>
      <c r="X1146" t="s">
        <v>38</v>
      </c>
      <c r="Y1146">
        <v>2025</v>
      </c>
      <c r="Z1146">
        <v>1</v>
      </c>
      <c r="AA1146">
        <v>6</v>
      </c>
    </row>
    <row r="1147" spans="1:27" x14ac:dyDescent="0.3">
      <c r="A1147" s="2">
        <v>44943</v>
      </c>
      <c r="B1147" t="s">
        <v>1</v>
      </c>
      <c r="C1147" t="s">
        <v>8</v>
      </c>
      <c r="D1147">
        <v>3</v>
      </c>
      <c r="E1147">
        <v>348.38</v>
      </c>
      <c r="F1147" t="s">
        <v>12</v>
      </c>
      <c r="G1147" t="s">
        <v>16</v>
      </c>
      <c r="H1147">
        <v>0</v>
      </c>
      <c r="I1147" t="s">
        <v>21</v>
      </c>
      <c r="J1147">
        <v>1045.1400000000001</v>
      </c>
      <c r="K1147" t="s">
        <v>25</v>
      </c>
      <c r="L1147" t="s">
        <v>29</v>
      </c>
      <c r="M1147">
        <v>0</v>
      </c>
      <c r="N1147" t="s">
        <v>1220</v>
      </c>
      <c r="O1147" t="s">
        <v>2720</v>
      </c>
      <c r="P1147">
        <v>26.25</v>
      </c>
      <c r="Q1147">
        <f t="shared" si="17"/>
        <v>348.38000000000005</v>
      </c>
      <c r="R1147">
        <v>1018.8900000000001</v>
      </c>
      <c r="S1147" s="2">
        <v>44943</v>
      </c>
      <c r="T1147" s="2">
        <v>44949</v>
      </c>
      <c r="U1147" t="s">
        <v>34</v>
      </c>
      <c r="V1147">
        <v>17</v>
      </c>
      <c r="W1147">
        <v>1</v>
      </c>
      <c r="X1147" t="s">
        <v>42</v>
      </c>
      <c r="Y1147">
        <v>2023</v>
      </c>
      <c r="Z1147">
        <v>1</v>
      </c>
      <c r="AA1147">
        <v>3</v>
      </c>
    </row>
    <row r="1148" spans="1:27" x14ac:dyDescent="0.3">
      <c r="A1148" s="2">
        <v>45186</v>
      </c>
      <c r="B1148" t="s">
        <v>2</v>
      </c>
      <c r="C1148" t="s">
        <v>6</v>
      </c>
      <c r="D1148">
        <v>6</v>
      </c>
      <c r="E1148">
        <v>437.59</v>
      </c>
      <c r="F1148" t="s">
        <v>15</v>
      </c>
      <c r="G1148" t="s">
        <v>16</v>
      </c>
      <c r="H1148">
        <v>0.05</v>
      </c>
      <c r="I1148" t="s">
        <v>22</v>
      </c>
      <c r="J1148">
        <v>2494.2629999999999</v>
      </c>
      <c r="K1148" t="s">
        <v>25</v>
      </c>
      <c r="L1148" t="s">
        <v>31</v>
      </c>
      <c r="M1148">
        <v>1</v>
      </c>
      <c r="N1148" t="s">
        <v>1221</v>
      </c>
      <c r="O1148" t="s">
        <v>2721</v>
      </c>
      <c r="P1148">
        <v>39.4</v>
      </c>
      <c r="Q1148">
        <f t="shared" si="17"/>
        <v>415.71049999999997</v>
      </c>
      <c r="R1148">
        <v>2454.8629999999998</v>
      </c>
      <c r="S1148" s="2">
        <v>45186</v>
      </c>
      <c r="T1148" s="2">
        <v>45195</v>
      </c>
      <c r="U1148" t="s">
        <v>35</v>
      </c>
      <c r="V1148">
        <v>17</v>
      </c>
      <c r="W1148">
        <v>9</v>
      </c>
      <c r="X1148" t="s">
        <v>49</v>
      </c>
      <c r="Y1148">
        <v>2023</v>
      </c>
      <c r="Z1148">
        <v>3</v>
      </c>
      <c r="AA1148">
        <v>37</v>
      </c>
    </row>
    <row r="1149" spans="1:27" x14ac:dyDescent="0.3">
      <c r="A1149" s="2">
        <v>45703</v>
      </c>
      <c r="B1149" t="s">
        <v>2</v>
      </c>
      <c r="C1149" t="s">
        <v>11</v>
      </c>
      <c r="D1149">
        <v>19</v>
      </c>
      <c r="E1149">
        <v>118.09</v>
      </c>
      <c r="F1149" t="s">
        <v>15</v>
      </c>
      <c r="G1149" t="s">
        <v>16</v>
      </c>
      <c r="H1149">
        <v>0.1</v>
      </c>
      <c r="I1149" t="s">
        <v>19</v>
      </c>
      <c r="J1149">
        <v>2019.3389999999999</v>
      </c>
      <c r="K1149" t="s">
        <v>24</v>
      </c>
      <c r="L1149" t="s">
        <v>30</v>
      </c>
      <c r="M1149">
        <v>0</v>
      </c>
      <c r="N1149" t="s">
        <v>1222</v>
      </c>
      <c r="O1149" t="s">
        <v>2722</v>
      </c>
      <c r="P1149">
        <v>10.77</v>
      </c>
      <c r="Q1149">
        <f t="shared" si="17"/>
        <v>106.28099999999999</v>
      </c>
      <c r="R1149">
        <v>2008.569</v>
      </c>
      <c r="S1149" s="2">
        <v>45703</v>
      </c>
      <c r="T1149" s="2">
        <v>45711</v>
      </c>
      <c r="U1149" t="s">
        <v>35</v>
      </c>
      <c r="V1149">
        <v>15</v>
      </c>
      <c r="W1149">
        <v>2</v>
      </c>
      <c r="X1149" t="s">
        <v>38</v>
      </c>
      <c r="Y1149">
        <v>2025</v>
      </c>
      <c r="Z1149">
        <v>1</v>
      </c>
      <c r="AA1149">
        <v>7</v>
      </c>
    </row>
    <row r="1150" spans="1:27" x14ac:dyDescent="0.3">
      <c r="A1150" s="2">
        <v>45206</v>
      </c>
      <c r="B1150" t="s">
        <v>4</v>
      </c>
      <c r="C1150" t="s">
        <v>10</v>
      </c>
      <c r="D1150">
        <v>15</v>
      </c>
      <c r="E1150">
        <v>188.57</v>
      </c>
      <c r="F1150" t="s">
        <v>14</v>
      </c>
      <c r="G1150" t="s">
        <v>16</v>
      </c>
      <c r="H1150">
        <v>0.05</v>
      </c>
      <c r="I1150" t="s">
        <v>23</v>
      </c>
      <c r="J1150">
        <v>2687.122499999999</v>
      </c>
      <c r="K1150" t="s">
        <v>26</v>
      </c>
      <c r="L1150" t="s">
        <v>29</v>
      </c>
      <c r="M1150">
        <v>1</v>
      </c>
      <c r="N1150" t="s">
        <v>1223</v>
      </c>
      <c r="O1150" t="s">
        <v>2723</v>
      </c>
      <c r="P1150">
        <v>38.61</v>
      </c>
      <c r="Q1150">
        <f t="shared" si="17"/>
        <v>179.14149999999992</v>
      </c>
      <c r="R1150">
        <v>2648.5124999999989</v>
      </c>
      <c r="S1150" s="2">
        <v>45206</v>
      </c>
      <c r="T1150" s="2">
        <v>45208</v>
      </c>
      <c r="U1150" t="s">
        <v>37</v>
      </c>
      <c r="V1150">
        <v>7</v>
      </c>
      <c r="W1150">
        <v>10</v>
      </c>
      <c r="X1150" t="s">
        <v>43</v>
      </c>
      <c r="Y1150">
        <v>2023</v>
      </c>
      <c r="Z1150">
        <v>4</v>
      </c>
      <c r="AA1150">
        <v>40</v>
      </c>
    </row>
    <row r="1151" spans="1:27" x14ac:dyDescent="0.3">
      <c r="A1151" s="2">
        <v>45146</v>
      </c>
      <c r="B1151" t="s">
        <v>4</v>
      </c>
      <c r="C1151" t="s">
        <v>6</v>
      </c>
      <c r="D1151">
        <v>8</v>
      </c>
      <c r="E1151">
        <v>200.74</v>
      </c>
      <c r="F1151" t="s">
        <v>13</v>
      </c>
      <c r="G1151" t="s">
        <v>16</v>
      </c>
      <c r="H1151">
        <v>0</v>
      </c>
      <c r="I1151" t="s">
        <v>22</v>
      </c>
      <c r="J1151">
        <v>1605.92</v>
      </c>
      <c r="K1151" t="s">
        <v>25</v>
      </c>
      <c r="L1151" t="s">
        <v>30</v>
      </c>
      <c r="M1151">
        <v>1</v>
      </c>
      <c r="N1151" t="s">
        <v>1224</v>
      </c>
      <c r="O1151" t="s">
        <v>2724</v>
      </c>
      <c r="P1151">
        <v>30.7</v>
      </c>
      <c r="Q1151">
        <f t="shared" si="17"/>
        <v>200.74</v>
      </c>
      <c r="R1151">
        <v>1575.22</v>
      </c>
      <c r="S1151" s="2">
        <v>45146</v>
      </c>
      <c r="T1151" s="2">
        <v>45148</v>
      </c>
      <c r="U1151" t="s">
        <v>37</v>
      </c>
      <c r="V1151">
        <v>8</v>
      </c>
      <c r="W1151">
        <v>8</v>
      </c>
      <c r="X1151" t="s">
        <v>48</v>
      </c>
      <c r="Y1151">
        <v>2023</v>
      </c>
      <c r="Z1151">
        <v>3</v>
      </c>
      <c r="AA1151">
        <v>32</v>
      </c>
    </row>
    <row r="1152" spans="1:27" x14ac:dyDescent="0.3">
      <c r="A1152" s="2">
        <v>45159</v>
      </c>
      <c r="B1152" t="s">
        <v>0</v>
      </c>
      <c r="C1152" t="s">
        <v>5</v>
      </c>
      <c r="D1152">
        <v>3</v>
      </c>
      <c r="E1152">
        <v>142.09</v>
      </c>
      <c r="F1152" t="s">
        <v>14</v>
      </c>
      <c r="G1152" t="s">
        <v>16</v>
      </c>
      <c r="H1152">
        <v>0.15</v>
      </c>
      <c r="I1152" t="s">
        <v>20</v>
      </c>
      <c r="J1152">
        <v>362.3295</v>
      </c>
      <c r="K1152" t="s">
        <v>25</v>
      </c>
      <c r="L1152" t="s">
        <v>31</v>
      </c>
      <c r="M1152">
        <v>0</v>
      </c>
      <c r="N1152" t="s">
        <v>1225</v>
      </c>
      <c r="O1152" t="s">
        <v>2725</v>
      </c>
      <c r="P1152">
        <v>26.04</v>
      </c>
      <c r="Q1152">
        <f t="shared" si="17"/>
        <v>120.7765</v>
      </c>
      <c r="R1152">
        <v>336.28949999999998</v>
      </c>
      <c r="S1152" s="2">
        <v>45159</v>
      </c>
      <c r="T1152" s="2">
        <v>45165</v>
      </c>
      <c r="U1152" t="s">
        <v>33</v>
      </c>
      <c r="V1152">
        <v>21</v>
      </c>
      <c r="W1152">
        <v>8</v>
      </c>
      <c r="X1152" t="s">
        <v>48</v>
      </c>
      <c r="Y1152">
        <v>2023</v>
      </c>
      <c r="Z1152">
        <v>3</v>
      </c>
      <c r="AA1152">
        <v>34</v>
      </c>
    </row>
    <row r="1153" spans="1:27" x14ac:dyDescent="0.3">
      <c r="A1153" s="2">
        <v>45480</v>
      </c>
      <c r="B1153" t="s">
        <v>2</v>
      </c>
      <c r="C1153" t="s">
        <v>10</v>
      </c>
      <c r="D1153">
        <v>15</v>
      </c>
      <c r="E1153">
        <v>576.12</v>
      </c>
      <c r="F1153" t="s">
        <v>15</v>
      </c>
      <c r="G1153" t="s">
        <v>17</v>
      </c>
      <c r="H1153">
        <v>0.1</v>
      </c>
      <c r="I1153" t="s">
        <v>19</v>
      </c>
      <c r="J1153">
        <v>7777.62</v>
      </c>
      <c r="K1153" t="s">
        <v>24</v>
      </c>
      <c r="L1153" t="s">
        <v>31</v>
      </c>
      <c r="M1153">
        <v>0</v>
      </c>
      <c r="N1153" t="s">
        <v>1226</v>
      </c>
      <c r="O1153" t="s">
        <v>2726</v>
      </c>
      <c r="P1153">
        <v>29.31</v>
      </c>
      <c r="Q1153">
        <f t="shared" si="17"/>
        <v>518.50800000000004</v>
      </c>
      <c r="R1153">
        <v>7748.3099999999995</v>
      </c>
      <c r="S1153" s="2">
        <v>45480</v>
      </c>
      <c r="T1153" s="2">
        <v>45484</v>
      </c>
      <c r="U1153" t="s">
        <v>35</v>
      </c>
      <c r="V1153">
        <v>7</v>
      </c>
      <c r="W1153">
        <v>7</v>
      </c>
      <c r="X1153" t="s">
        <v>46</v>
      </c>
      <c r="Y1153">
        <v>2024</v>
      </c>
      <c r="Z1153">
        <v>3</v>
      </c>
      <c r="AA1153">
        <v>27</v>
      </c>
    </row>
    <row r="1154" spans="1:27" x14ac:dyDescent="0.3">
      <c r="A1154" s="2">
        <v>45674</v>
      </c>
      <c r="B1154" t="s">
        <v>1</v>
      </c>
      <c r="C1154" t="s">
        <v>7</v>
      </c>
      <c r="D1154">
        <v>9</v>
      </c>
      <c r="E1154">
        <v>96.97</v>
      </c>
      <c r="F1154" t="s">
        <v>15</v>
      </c>
      <c r="G1154" t="s">
        <v>17</v>
      </c>
      <c r="H1154">
        <v>0.15</v>
      </c>
      <c r="I1154" t="s">
        <v>23</v>
      </c>
      <c r="J1154">
        <v>741.82050000000004</v>
      </c>
      <c r="K1154" t="s">
        <v>26</v>
      </c>
      <c r="L1154" t="s">
        <v>31</v>
      </c>
      <c r="M1154">
        <v>1</v>
      </c>
      <c r="N1154" t="s">
        <v>1227</v>
      </c>
      <c r="O1154" t="s">
        <v>2727</v>
      </c>
      <c r="P1154">
        <v>30.87</v>
      </c>
      <c r="Q1154">
        <f t="shared" si="17"/>
        <v>82.424500000000009</v>
      </c>
      <c r="R1154">
        <v>710.95050000000003</v>
      </c>
      <c r="S1154" s="2">
        <v>45674</v>
      </c>
      <c r="T1154" s="2">
        <v>45681</v>
      </c>
      <c r="U1154" t="s">
        <v>34</v>
      </c>
      <c r="V1154">
        <v>17</v>
      </c>
      <c r="W1154">
        <v>1</v>
      </c>
      <c r="X1154" t="s">
        <v>42</v>
      </c>
      <c r="Y1154">
        <v>2025</v>
      </c>
      <c r="Z1154">
        <v>1</v>
      </c>
      <c r="AA1154">
        <v>3</v>
      </c>
    </row>
    <row r="1155" spans="1:27" x14ac:dyDescent="0.3">
      <c r="A1155" s="2">
        <v>45266</v>
      </c>
      <c r="B1155" t="s">
        <v>2</v>
      </c>
      <c r="C1155" t="s">
        <v>10</v>
      </c>
      <c r="D1155">
        <v>17</v>
      </c>
      <c r="E1155">
        <v>218.04</v>
      </c>
      <c r="F1155" t="s">
        <v>15</v>
      </c>
      <c r="G1155" t="s">
        <v>16</v>
      </c>
      <c r="H1155">
        <v>0.15</v>
      </c>
      <c r="I1155" t="s">
        <v>23</v>
      </c>
      <c r="J1155">
        <v>3150.6779999999999</v>
      </c>
      <c r="K1155" t="s">
        <v>28</v>
      </c>
      <c r="L1155" t="s">
        <v>32</v>
      </c>
      <c r="M1155">
        <v>0</v>
      </c>
      <c r="N1155" t="s">
        <v>1228</v>
      </c>
      <c r="O1155" t="s">
        <v>2728</v>
      </c>
      <c r="P1155">
        <v>16</v>
      </c>
      <c r="Q1155">
        <f t="shared" ref="Q1155:Q1218" si="18">J1155/D1155</f>
        <v>185.334</v>
      </c>
      <c r="R1155">
        <v>3134.6779999999999</v>
      </c>
      <c r="S1155" s="2">
        <v>45266</v>
      </c>
      <c r="T1155" s="2">
        <v>45276</v>
      </c>
      <c r="U1155" t="s">
        <v>35</v>
      </c>
      <c r="V1155">
        <v>6</v>
      </c>
      <c r="W1155">
        <v>12</v>
      </c>
      <c r="X1155" t="s">
        <v>39</v>
      </c>
      <c r="Y1155">
        <v>2023</v>
      </c>
      <c r="Z1155">
        <v>4</v>
      </c>
      <c r="AA1155">
        <v>49</v>
      </c>
    </row>
    <row r="1156" spans="1:27" x14ac:dyDescent="0.3">
      <c r="A1156" s="2">
        <v>44986</v>
      </c>
      <c r="B1156" t="s">
        <v>1</v>
      </c>
      <c r="C1156" t="s">
        <v>7</v>
      </c>
      <c r="D1156">
        <v>2</v>
      </c>
      <c r="E1156">
        <v>153.33000000000001</v>
      </c>
      <c r="F1156" t="s">
        <v>14</v>
      </c>
      <c r="G1156" t="s">
        <v>16</v>
      </c>
      <c r="H1156">
        <v>0.05</v>
      </c>
      <c r="I1156" t="s">
        <v>21</v>
      </c>
      <c r="J1156">
        <v>291.327</v>
      </c>
      <c r="K1156" t="s">
        <v>28</v>
      </c>
      <c r="L1156" t="s">
        <v>32</v>
      </c>
      <c r="M1156">
        <v>0</v>
      </c>
      <c r="N1156" t="s">
        <v>1229</v>
      </c>
      <c r="O1156" t="s">
        <v>2729</v>
      </c>
      <c r="P1156">
        <v>31.55</v>
      </c>
      <c r="Q1156">
        <f t="shared" si="18"/>
        <v>145.6635</v>
      </c>
      <c r="R1156">
        <v>259.77699999999999</v>
      </c>
      <c r="S1156" s="2">
        <v>44986</v>
      </c>
      <c r="T1156" s="2">
        <v>44989</v>
      </c>
      <c r="U1156" t="s">
        <v>34</v>
      </c>
      <c r="V1156">
        <v>1</v>
      </c>
      <c r="W1156">
        <v>3</v>
      </c>
      <c r="X1156" t="s">
        <v>44</v>
      </c>
      <c r="Y1156">
        <v>2023</v>
      </c>
      <c r="Z1156">
        <v>1</v>
      </c>
      <c r="AA1156">
        <v>9</v>
      </c>
    </row>
    <row r="1157" spans="1:27" x14ac:dyDescent="0.3">
      <c r="A1157" s="2">
        <v>45699</v>
      </c>
      <c r="B1157" t="s">
        <v>2</v>
      </c>
      <c r="C1157" t="s">
        <v>11</v>
      </c>
      <c r="D1157">
        <v>8</v>
      </c>
      <c r="E1157">
        <v>316.12</v>
      </c>
      <c r="F1157" t="s">
        <v>12</v>
      </c>
      <c r="G1157" t="s">
        <v>16</v>
      </c>
      <c r="H1157">
        <v>0.1</v>
      </c>
      <c r="I1157" t="s">
        <v>22</v>
      </c>
      <c r="J1157">
        <v>2276.0639999999999</v>
      </c>
      <c r="K1157" t="s">
        <v>25</v>
      </c>
      <c r="L1157" t="s">
        <v>31</v>
      </c>
      <c r="M1157">
        <v>0</v>
      </c>
      <c r="N1157" t="s">
        <v>1230</v>
      </c>
      <c r="O1157" t="s">
        <v>2730</v>
      </c>
      <c r="P1157">
        <v>6.28</v>
      </c>
      <c r="Q1157">
        <f t="shared" si="18"/>
        <v>284.50799999999998</v>
      </c>
      <c r="R1157">
        <v>2269.7839999999997</v>
      </c>
      <c r="S1157" s="2">
        <v>45699</v>
      </c>
      <c r="T1157" s="2">
        <v>45703</v>
      </c>
      <c r="U1157" t="s">
        <v>35</v>
      </c>
      <c r="V1157">
        <v>11</v>
      </c>
      <c r="W1157">
        <v>2</v>
      </c>
      <c r="X1157" t="s">
        <v>38</v>
      </c>
      <c r="Y1157">
        <v>2025</v>
      </c>
      <c r="Z1157">
        <v>1</v>
      </c>
      <c r="AA1157">
        <v>7</v>
      </c>
    </row>
    <row r="1158" spans="1:27" x14ac:dyDescent="0.3">
      <c r="A1158" s="2">
        <v>45097</v>
      </c>
      <c r="B1158" t="s">
        <v>3</v>
      </c>
      <c r="C1158" t="s">
        <v>11</v>
      </c>
      <c r="D1158">
        <v>13</v>
      </c>
      <c r="E1158">
        <v>153.57</v>
      </c>
      <c r="F1158" t="s">
        <v>12</v>
      </c>
      <c r="G1158" t="s">
        <v>16</v>
      </c>
      <c r="H1158">
        <v>0.05</v>
      </c>
      <c r="I1158" t="s">
        <v>21</v>
      </c>
      <c r="J1158">
        <v>1896.5895</v>
      </c>
      <c r="K1158" t="s">
        <v>25</v>
      </c>
      <c r="L1158" t="s">
        <v>32</v>
      </c>
      <c r="M1158">
        <v>0</v>
      </c>
      <c r="N1158" t="s">
        <v>1231</v>
      </c>
      <c r="O1158" t="s">
        <v>2731</v>
      </c>
      <c r="P1158">
        <v>27.98</v>
      </c>
      <c r="Q1158">
        <f t="shared" si="18"/>
        <v>145.89150000000001</v>
      </c>
      <c r="R1158">
        <v>1868.6095</v>
      </c>
      <c r="S1158" s="2">
        <v>45097</v>
      </c>
      <c r="T1158" s="2">
        <v>45102</v>
      </c>
      <c r="U1158" t="s">
        <v>36</v>
      </c>
      <c r="V1158">
        <v>20</v>
      </c>
      <c r="W1158">
        <v>6</v>
      </c>
      <c r="X1158" t="s">
        <v>41</v>
      </c>
      <c r="Y1158">
        <v>2023</v>
      </c>
      <c r="Z1158">
        <v>2</v>
      </c>
      <c r="AA1158">
        <v>25</v>
      </c>
    </row>
    <row r="1159" spans="1:27" x14ac:dyDescent="0.3">
      <c r="A1159" s="2">
        <v>45351</v>
      </c>
      <c r="B1159" t="s">
        <v>4</v>
      </c>
      <c r="C1159" t="s">
        <v>11</v>
      </c>
      <c r="D1159">
        <v>7</v>
      </c>
      <c r="E1159">
        <v>208.31</v>
      </c>
      <c r="F1159" t="s">
        <v>14</v>
      </c>
      <c r="G1159" t="s">
        <v>16</v>
      </c>
      <c r="H1159">
        <v>0.05</v>
      </c>
      <c r="I1159" t="s">
        <v>20</v>
      </c>
      <c r="J1159">
        <v>1385.2615000000001</v>
      </c>
      <c r="K1159" t="s">
        <v>24</v>
      </c>
      <c r="L1159" t="s">
        <v>30</v>
      </c>
      <c r="M1159">
        <v>0</v>
      </c>
      <c r="N1159" t="s">
        <v>1232</v>
      </c>
      <c r="O1159" t="s">
        <v>2732</v>
      </c>
      <c r="P1159">
        <v>26.57</v>
      </c>
      <c r="Q1159">
        <f t="shared" si="18"/>
        <v>197.89450000000002</v>
      </c>
      <c r="R1159">
        <v>1358.6915000000001</v>
      </c>
      <c r="S1159" s="2">
        <v>45351</v>
      </c>
      <c r="T1159" s="2">
        <v>45354</v>
      </c>
      <c r="U1159" t="s">
        <v>37</v>
      </c>
      <c r="V1159">
        <v>29</v>
      </c>
      <c r="W1159">
        <v>2</v>
      </c>
      <c r="X1159" t="s">
        <v>38</v>
      </c>
      <c r="Y1159">
        <v>2024</v>
      </c>
      <c r="Z1159">
        <v>1</v>
      </c>
      <c r="AA1159">
        <v>9</v>
      </c>
    </row>
    <row r="1160" spans="1:27" x14ac:dyDescent="0.3">
      <c r="A1160" s="2">
        <v>45838</v>
      </c>
      <c r="B1160" t="s">
        <v>2</v>
      </c>
      <c r="C1160" t="s">
        <v>8</v>
      </c>
      <c r="D1160">
        <v>2</v>
      </c>
      <c r="E1160">
        <v>160.96</v>
      </c>
      <c r="F1160" t="s">
        <v>14</v>
      </c>
      <c r="G1160" t="s">
        <v>16</v>
      </c>
      <c r="H1160">
        <v>0.1</v>
      </c>
      <c r="I1160" t="s">
        <v>18</v>
      </c>
      <c r="J1160">
        <v>289.72800000000001</v>
      </c>
      <c r="K1160" t="s">
        <v>25</v>
      </c>
      <c r="L1160" t="s">
        <v>31</v>
      </c>
      <c r="M1160">
        <v>0</v>
      </c>
      <c r="N1160" t="s">
        <v>1233</v>
      </c>
      <c r="O1160" t="s">
        <v>2733</v>
      </c>
      <c r="P1160">
        <v>44.97</v>
      </c>
      <c r="Q1160">
        <f t="shared" si="18"/>
        <v>144.864</v>
      </c>
      <c r="R1160">
        <v>244.75800000000001</v>
      </c>
      <c r="S1160" s="2">
        <v>45838</v>
      </c>
      <c r="T1160" s="2">
        <v>45843</v>
      </c>
      <c r="U1160" t="s">
        <v>35</v>
      </c>
      <c r="V1160">
        <v>30</v>
      </c>
      <c r="W1160">
        <v>6</v>
      </c>
      <c r="X1160" t="s">
        <v>41</v>
      </c>
      <c r="Y1160">
        <v>2025</v>
      </c>
      <c r="Z1160">
        <v>2</v>
      </c>
      <c r="AA1160">
        <v>27</v>
      </c>
    </row>
    <row r="1161" spans="1:27" x14ac:dyDescent="0.3">
      <c r="A1161" s="2">
        <v>45523</v>
      </c>
      <c r="B1161" t="s">
        <v>2</v>
      </c>
      <c r="C1161" t="s">
        <v>9</v>
      </c>
      <c r="D1161">
        <v>3</v>
      </c>
      <c r="E1161">
        <v>373.77</v>
      </c>
      <c r="F1161" t="s">
        <v>12</v>
      </c>
      <c r="G1161" t="s">
        <v>17</v>
      </c>
      <c r="H1161">
        <v>0.1</v>
      </c>
      <c r="I1161" t="s">
        <v>18</v>
      </c>
      <c r="J1161">
        <v>1009.179</v>
      </c>
      <c r="K1161" t="s">
        <v>28</v>
      </c>
      <c r="L1161" t="s">
        <v>31</v>
      </c>
      <c r="M1161">
        <v>1</v>
      </c>
      <c r="N1161" t="s">
        <v>1234</v>
      </c>
      <c r="O1161" t="s">
        <v>2734</v>
      </c>
      <c r="P1161">
        <v>17.62</v>
      </c>
      <c r="Q1161">
        <f t="shared" si="18"/>
        <v>336.39299999999997</v>
      </c>
      <c r="R1161">
        <v>991.55899999999997</v>
      </c>
      <c r="S1161" s="2">
        <v>45523</v>
      </c>
      <c r="T1161" s="2">
        <v>45529</v>
      </c>
      <c r="U1161" t="s">
        <v>35</v>
      </c>
      <c r="V1161">
        <v>19</v>
      </c>
      <c r="W1161">
        <v>8</v>
      </c>
      <c r="X1161" t="s">
        <v>48</v>
      </c>
      <c r="Y1161">
        <v>2024</v>
      </c>
      <c r="Z1161">
        <v>3</v>
      </c>
      <c r="AA1161">
        <v>34</v>
      </c>
    </row>
    <row r="1162" spans="1:27" x14ac:dyDescent="0.3">
      <c r="A1162" s="2">
        <v>45306</v>
      </c>
      <c r="B1162" t="s">
        <v>3</v>
      </c>
      <c r="C1162" t="s">
        <v>11</v>
      </c>
      <c r="D1162">
        <v>20</v>
      </c>
      <c r="E1162">
        <v>200.7</v>
      </c>
      <c r="F1162" t="s">
        <v>15</v>
      </c>
      <c r="G1162" t="s">
        <v>17</v>
      </c>
      <c r="H1162">
        <v>0.1</v>
      </c>
      <c r="I1162" t="s">
        <v>19</v>
      </c>
      <c r="J1162">
        <v>3612.6</v>
      </c>
      <c r="K1162" t="s">
        <v>24</v>
      </c>
      <c r="L1162" t="s">
        <v>29</v>
      </c>
      <c r="M1162">
        <v>0</v>
      </c>
      <c r="N1162" t="s">
        <v>1235</v>
      </c>
      <c r="O1162" t="s">
        <v>2735</v>
      </c>
      <c r="P1162">
        <v>29.6</v>
      </c>
      <c r="Q1162">
        <f t="shared" si="18"/>
        <v>180.63</v>
      </c>
      <c r="R1162">
        <v>3583</v>
      </c>
      <c r="S1162" s="2">
        <v>45306</v>
      </c>
      <c r="T1162" s="2">
        <v>45310</v>
      </c>
      <c r="U1162" t="s">
        <v>36</v>
      </c>
      <c r="V1162">
        <v>15</v>
      </c>
      <c r="W1162">
        <v>1</v>
      </c>
      <c r="X1162" t="s">
        <v>42</v>
      </c>
      <c r="Y1162">
        <v>2024</v>
      </c>
      <c r="Z1162">
        <v>1</v>
      </c>
      <c r="AA1162">
        <v>3</v>
      </c>
    </row>
    <row r="1163" spans="1:27" x14ac:dyDescent="0.3">
      <c r="A1163" s="2">
        <v>45512</v>
      </c>
      <c r="B1163" t="s">
        <v>3</v>
      </c>
      <c r="C1163" t="s">
        <v>7</v>
      </c>
      <c r="D1163">
        <v>14</v>
      </c>
      <c r="E1163">
        <v>115.77</v>
      </c>
      <c r="F1163" t="s">
        <v>12</v>
      </c>
      <c r="G1163" t="s">
        <v>16</v>
      </c>
      <c r="H1163">
        <v>0.15</v>
      </c>
      <c r="I1163" t="s">
        <v>20</v>
      </c>
      <c r="J1163">
        <v>1377.663</v>
      </c>
      <c r="K1163" t="s">
        <v>26</v>
      </c>
      <c r="L1163" t="s">
        <v>30</v>
      </c>
      <c r="M1163">
        <v>1</v>
      </c>
      <c r="N1163" t="s">
        <v>1236</v>
      </c>
      <c r="O1163" t="s">
        <v>2736</v>
      </c>
      <c r="P1163">
        <v>20.12</v>
      </c>
      <c r="Q1163">
        <f t="shared" si="18"/>
        <v>98.404499999999999</v>
      </c>
      <c r="R1163">
        <v>1357.5430000000001</v>
      </c>
      <c r="S1163" s="2">
        <v>45512</v>
      </c>
      <c r="T1163" s="2">
        <v>45515</v>
      </c>
      <c r="U1163" t="s">
        <v>36</v>
      </c>
      <c r="V1163">
        <v>8</v>
      </c>
      <c r="W1163">
        <v>8</v>
      </c>
      <c r="X1163" t="s">
        <v>48</v>
      </c>
      <c r="Y1163">
        <v>2024</v>
      </c>
      <c r="Z1163">
        <v>3</v>
      </c>
      <c r="AA1163">
        <v>32</v>
      </c>
    </row>
    <row r="1164" spans="1:27" x14ac:dyDescent="0.3">
      <c r="A1164" s="2">
        <v>45570</v>
      </c>
      <c r="B1164" t="s">
        <v>4</v>
      </c>
      <c r="C1164" t="s">
        <v>6</v>
      </c>
      <c r="D1164">
        <v>12</v>
      </c>
      <c r="E1164">
        <v>535.41</v>
      </c>
      <c r="F1164" t="s">
        <v>14</v>
      </c>
      <c r="G1164" t="s">
        <v>17</v>
      </c>
      <c r="H1164">
        <v>0.1</v>
      </c>
      <c r="I1164" t="s">
        <v>20</v>
      </c>
      <c r="J1164">
        <v>5782.4279999999999</v>
      </c>
      <c r="K1164" t="s">
        <v>25</v>
      </c>
      <c r="L1164" t="s">
        <v>32</v>
      </c>
      <c r="M1164">
        <v>0</v>
      </c>
      <c r="N1164" t="s">
        <v>1237</v>
      </c>
      <c r="O1164" t="s">
        <v>2737</v>
      </c>
      <c r="P1164">
        <v>27.82</v>
      </c>
      <c r="Q1164">
        <f t="shared" si="18"/>
        <v>481.86899999999997</v>
      </c>
      <c r="R1164">
        <v>5754.6080000000002</v>
      </c>
      <c r="S1164" s="2">
        <v>45570</v>
      </c>
      <c r="T1164" s="2">
        <v>45572</v>
      </c>
      <c r="U1164" t="s">
        <v>37</v>
      </c>
      <c r="V1164">
        <v>5</v>
      </c>
      <c r="W1164">
        <v>10</v>
      </c>
      <c r="X1164" t="s">
        <v>43</v>
      </c>
      <c r="Y1164">
        <v>2024</v>
      </c>
      <c r="Z1164">
        <v>4</v>
      </c>
      <c r="AA1164">
        <v>40</v>
      </c>
    </row>
    <row r="1165" spans="1:27" x14ac:dyDescent="0.3">
      <c r="A1165" s="2">
        <v>45304</v>
      </c>
      <c r="B1165" t="s">
        <v>1</v>
      </c>
      <c r="C1165" t="s">
        <v>7</v>
      </c>
      <c r="D1165">
        <v>12</v>
      </c>
      <c r="E1165">
        <v>103.59</v>
      </c>
      <c r="F1165" t="s">
        <v>13</v>
      </c>
      <c r="G1165" t="s">
        <v>17</v>
      </c>
      <c r="H1165">
        <v>0.1</v>
      </c>
      <c r="I1165" t="s">
        <v>20</v>
      </c>
      <c r="J1165">
        <v>1118.7719999999999</v>
      </c>
      <c r="K1165" t="s">
        <v>27</v>
      </c>
      <c r="L1165" t="s">
        <v>29</v>
      </c>
      <c r="M1165">
        <v>0</v>
      </c>
      <c r="N1165" t="s">
        <v>1238</v>
      </c>
      <c r="O1165" t="s">
        <v>2738</v>
      </c>
      <c r="P1165">
        <v>48.11</v>
      </c>
      <c r="Q1165">
        <f t="shared" si="18"/>
        <v>93.230999999999995</v>
      </c>
      <c r="R1165">
        <v>1070.662</v>
      </c>
      <c r="S1165" s="2">
        <v>45304</v>
      </c>
      <c r="T1165" s="2">
        <v>45312</v>
      </c>
      <c r="U1165" t="s">
        <v>34</v>
      </c>
      <c r="V1165">
        <v>13</v>
      </c>
      <c r="W1165">
        <v>1</v>
      </c>
      <c r="X1165" t="s">
        <v>42</v>
      </c>
      <c r="Y1165">
        <v>2024</v>
      </c>
      <c r="Z1165">
        <v>1</v>
      </c>
      <c r="AA1165">
        <v>2</v>
      </c>
    </row>
    <row r="1166" spans="1:27" x14ac:dyDescent="0.3">
      <c r="A1166" s="2">
        <v>45014</v>
      </c>
      <c r="B1166" t="s">
        <v>4</v>
      </c>
      <c r="C1166" t="s">
        <v>5</v>
      </c>
      <c r="D1166">
        <v>18</v>
      </c>
      <c r="E1166">
        <v>176.32</v>
      </c>
      <c r="F1166" t="s">
        <v>12</v>
      </c>
      <c r="G1166" t="s">
        <v>16</v>
      </c>
      <c r="H1166">
        <v>0.05</v>
      </c>
      <c r="I1166" t="s">
        <v>22</v>
      </c>
      <c r="J1166">
        <v>3015.0720000000001</v>
      </c>
      <c r="K1166" t="s">
        <v>27</v>
      </c>
      <c r="L1166" t="s">
        <v>32</v>
      </c>
      <c r="M1166">
        <v>0</v>
      </c>
      <c r="N1166" t="s">
        <v>1239</v>
      </c>
      <c r="O1166" t="s">
        <v>2739</v>
      </c>
      <c r="P1166">
        <v>36.35</v>
      </c>
      <c r="Q1166">
        <f t="shared" si="18"/>
        <v>167.50400000000002</v>
      </c>
      <c r="R1166">
        <v>2978.7220000000002</v>
      </c>
      <c r="S1166" s="2">
        <v>45014</v>
      </c>
      <c r="T1166" s="2">
        <v>45020</v>
      </c>
      <c r="U1166" t="s">
        <v>37</v>
      </c>
      <c r="V1166">
        <v>29</v>
      </c>
      <c r="W1166">
        <v>3</v>
      </c>
      <c r="X1166" t="s">
        <v>44</v>
      </c>
      <c r="Y1166">
        <v>2023</v>
      </c>
      <c r="Z1166">
        <v>1</v>
      </c>
      <c r="AA1166">
        <v>13</v>
      </c>
    </row>
    <row r="1167" spans="1:27" x14ac:dyDescent="0.3">
      <c r="A1167" s="2">
        <v>45218</v>
      </c>
      <c r="B1167" t="s">
        <v>2</v>
      </c>
      <c r="C1167" t="s">
        <v>11</v>
      </c>
      <c r="D1167">
        <v>5</v>
      </c>
      <c r="E1167">
        <v>112.44</v>
      </c>
      <c r="F1167" t="s">
        <v>15</v>
      </c>
      <c r="G1167" t="s">
        <v>17</v>
      </c>
      <c r="H1167">
        <v>0.1</v>
      </c>
      <c r="I1167" t="s">
        <v>23</v>
      </c>
      <c r="J1167">
        <v>505.98000000000008</v>
      </c>
      <c r="K1167" t="s">
        <v>26</v>
      </c>
      <c r="L1167" t="s">
        <v>32</v>
      </c>
      <c r="M1167">
        <v>1</v>
      </c>
      <c r="N1167" t="s">
        <v>1240</v>
      </c>
      <c r="O1167" t="s">
        <v>2740</v>
      </c>
      <c r="P1167">
        <v>7.46</v>
      </c>
      <c r="Q1167">
        <f t="shared" si="18"/>
        <v>101.19600000000001</v>
      </c>
      <c r="R1167">
        <v>498.5200000000001</v>
      </c>
      <c r="S1167" s="2">
        <v>45218</v>
      </c>
      <c r="T1167" s="2">
        <v>45222</v>
      </c>
      <c r="U1167" t="s">
        <v>35</v>
      </c>
      <c r="V1167">
        <v>19</v>
      </c>
      <c r="W1167">
        <v>10</v>
      </c>
      <c r="X1167" t="s">
        <v>43</v>
      </c>
      <c r="Y1167">
        <v>2023</v>
      </c>
      <c r="Z1167">
        <v>4</v>
      </c>
      <c r="AA1167">
        <v>42</v>
      </c>
    </row>
    <row r="1168" spans="1:27" x14ac:dyDescent="0.3">
      <c r="A1168" s="2">
        <v>45222</v>
      </c>
      <c r="B1168" t="s">
        <v>4</v>
      </c>
      <c r="C1168" t="s">
        <v>8</v>
      </c>
      <c r="D1168">
        <v>20</v>
      </c>
      <c r="E1168">
        <v>19.3</v>
      </c>
      <c r="F1168" t="s">
        <v>14</v>
      </c>
      <c r="G1168" t="s">
        <v>16</v>
      </c>
      <c r="H1168">
        <v>0</v>
      </c>
      <c r="I1168" t="s">
        <v>23</v>
      </c>
      <c r="J1168">
        <v>386</v>
      </c>
      <c r="K1168" t="s">
        <v>27</v>
      </c>
      <c r="L1168" t="s">
        <v>30</v>
      </c>
      <c r="M1168">
        <v>0</v>
      </c>
      <c r="N1168" t="s">
        <v>1241</v>
      </c>
      <c r="O1168" t="s">
        <v>2741</v>
      </c>
      <c r="P1168">
        <v>47.23</v>
      </c>
      <c r="Q1168">
        <f t="shared" si="18"/>
        <v>19.3</v>
      </c>
      <c r="R1168">
        <v>338.77</v>
      </c>
      <c r="S1168" s="2">
        <v>45222</v>
      </c>
      <c r="T1168" s="2">
        <v>45231</v>
      </c>
      <c r="U1168" t="s">
        <v>37</v>
      </c>
      <c r="V1168">
        <v>23</v>
      </c>
      <c r="W1168">
        <v>10</v>
      </c>
      <c r="X1168" t="s">
        <v>43</v>
      </c>
      <c r="Y1168">
        <v>2023</v>
      </c>
      <c r="Z1168">
        <v>4</v>
      </c>
      <c r="AA1168">
        <v>43</v>
      </c>
    </row>
    <row r="1169" spans="1:27" x14ac:dyDescent="0.3">
      <c r="A1169" s="2">
        <v>45009</v>
      </c>
      <c r="B1169" t="s">
        <v>1</v>
      </c>
      <c r="C1169" t="s">
        <v>6</v>
      </c>
      <c r="D1169">
        <v>9</v>
      </c>
      <c r="E1169">
        <v>233.11</v>
      </c>
      <c r="F1169" t="s">
        <v>12</v>
      </c>
      <c r="G1169" t="s">
        <v>17</v>
      </c>
      <c r="H1169">
        <v>0.05</v>
      </c>
      <c r="I1169" t="s">
        <v>18</v>
      </c>
      <c r="J1169">
        <v>1993.0905</v>
      </c>
      <c r="K1169" t="s">
        <v>27</v>
      </c>
      <c r="L1169" t="s">
        <v>31</v>
      </c>
      <c r="M1169">
        <v>0</v>
      </c>
      <c r="N1169" t="s">
        <v>1242</v>
      </c>
      <c r="O1169" t="s">
        <v>2742</v>
      </c>
      <c r="P1169">
        <v>31.43</v>
      </c>
      <c r="Q1169">
        <f t="shared" si="18"/>
        <v>221.4545</v>
      </c>
      <c r="R1169">
        <v>1961.6605</v>
      </c>
      <c r="S1169" s="2">
        <v>45009</v>
      </c>
      <c r="T1169" s="2">
        <v>45013</v>
      </c>
      <c r="U1169" t="s">
        <v>34</v>
      </c>
      <c r="V1169">
        <v>24</v>
      </c>
      <c r="W1169">
        <v>3</v>
      </c>
      <c r="X1169" t="s">
        <v>44</v>
      </c>
      <c r="Y1169">
        <v>2023</v>
      </c>
      <c r="Z1169">
        <v>1</v>
      </c>
      <c r="AA1169">
        <v>12</v>
      </c>
    </row>
    <row r="1170" spans="1:27" x14ac:dyDescent="0.3">
      <c r="A1170" s="2">
        <v>45513</v>
      </c>
      <c r="B1170" t="s">
        <v>4</v>
      </c>
      <c r="C1170" t="s">
        <v>11</v>
      </c>
      <c r="D1170">
        <v>17</v>
      </c>
      <c r="E1170">
        <v>66.48</v>
      </c>
      <c r="F1170" t="s">
        <v>14</v>
      </c>
      <c r="G1170" t="s">
        <v>16</v>
      </c>
      <c r="H1170">
        <v>0.15</v>
      </c>
      <c r="I1170" t="s">
        <v>18</v>
      </c>
      <c r="J1170">
        <v>960.63600000000008</v>
      </c>
      <c r="K1170" t="s">
        <v>25</v>
      </c>
      <c r="L1170" t="s">
        <v>31</v>
      </c>
      <c r="M1170">
        <v>1</v>
      </c>
      <c r="N1170" t="s">
        <v>1243</v>
      </c>
      <c r="O1170" t="s">
        <v>2743</v>
      </c>
      <c r="P1170">
        <v>10.79</v>
      </c>
      <c r="Q1170">
        <f t="shared" si="18"/>
        <v>56.508000000000003</v>
      </c>
      <c r="R1170">
        <v>949.84600000000012</v>
      </c>
      <c r="S1170" s="2">
        <v>45513</v>
      </c>
      <c r="T1170" s="2">
        <v>45518</v>
      </c>
      <c r="U1170" t="s">
        <v>37</v>
      </c>
      <c r="V1170">
        <v>9</v>
      </c>
      <c r="W1170">
        <v>8</v>
      </c>
      <c r="X1170" t="s">
        <v>48</v>
      </c>
      <c r="Y1170">
        <v>2024</v>
      </c>
      <c r="Z1170">
        <v>3</v>
      </c>
      <c r="AA1170">
        <v>32</v>
      </c>
    </row>
    <row r="1171" spans="1:27" x14ac:dyDescent="0.3">
      <c r="A1171" s="2">
        <v>45042</v>
      </c>
      <c r="B1171" t="s">
        <v>1</v>
      </c>
      <c r="C1171" t="s">
        <v>5</v>
      </c>
      <c r="D1171">
        <v>17</v>
      </c>
      <c r="E1171">
        <v>504.63</v>
      </c>
      <c r="F1171" t="s">
        <v>13</v>
      </c>
      <c r="G1171" t="s">
        <v>16</v>
      </c>
      <c r="H1171">
        <v>0.1</v>
      </c>
      <c r="I1171" t="s">
        <v>21</v>
      </c>
      <c r="J1171">
        <v>7720.838999999999</v>
      </c>
      <c r="K1171" t="s">
        <v>24</v>
      </c>
      <c r="L1171" t="s">
        <v>31</v>
      </c>
      <c r="M1171">
        <v>1</v>
      </c>
      <c r="N1171" t="s">
        <v>1244</v>
      </c>
      <c r="O1171" t="s">
        <v>2744</v>
      </c>
      <c r="P1171">
        <v>48.33</v>
      </c>
      <c r="Q1171">
        <f t="shared" si="18"/>
        <v>454.16699999999992</v>
      </c>
      <c r="R1171">
        <v>7672.5089999999991</v>
      </c>
      <c r="S1171" s="2">
        <v>45042</v>
      </c>
      <c r="T1171" s="2">
        <v>45052</v>
      </c>
      <c r="U1171" t="s">
        <v>34</v>
      </c>
      <c r="V1171">
        <v>26</v>
      </c>
      <c r="W1171">
        <v>4</v>
      </c>
      <c r="X1171" t="s">
        <v>45</v>
      </c>
      <c r="Y1171">
        <v>2023</v>
      </c>
      <c r="Z1171">
        <v>2</v>
      </c>
      <c r="AA1171">
        <v>17</v>
      </c>
    </row>
    <row r="1172" spans="1:27" x14ac:dyDescent="0.3">
      <c r="A1172" s="2">
        <v>45355</v>
      </c>
      <c r="B1172" t="s">
        <v>4</v>
      </c>
      <c r="C1172" t="s">
        <v>10</v>
      </c>
      <c r="D1172">
        <v>11</v>
      </c>
      <c r="E1172">
        <v>97.84</v>
      </c>
      <c r="F1172" t="s">
        <v>12</v>
      </c>
      <c r="G1172" t="s">
        <v>17</v>
      </c>
      <c r="H1172">
        <v>0.05</v>
      </c>
      <c r="I1172" t="s">
        <v>19</v>
      </c>
      <c r="J1172">
        <v>1022.428</v>
      </c>
      <c r="K1172" t="s">
        <v>27</v>
      </c>
      <c r="L1172" t="s">
        <v>30</v>
      </c>
      <c r="M1172">
        <v>1</v>
      </c>
      <c r="N1172" t="s">
        <v>1245</v>
      </c>
      <c r="O1172" t="s">
        <v>2745</v>
      </c>
      <c r="P1172">
        <v>45.97</v>
      </c>
      <c r="Q1172">
        <f t="shared" si="18"/>
        <v>92.947999999999993</v>
      </c>
      <c r="R1172">
        <v>976.45799999999997</v>
      </c>
      <c r="S1172" s="2">
        <v>45355</v>
      </c>
      <c r="T1172" s="2">
        <v>45363</v>
      </c>
      <c r="U1172" t="s">
        <v>37</v>
      </c>
      <c r="V1172">
        <v>4</v>
      </c>
      <c r="W1172">
        <v>3</v>
      </c>
      <c r="X1172" t="s">
        <v>44</v>
      </c>
      <c r="Y1172">
        <v>2024</v>
      </c>
      <c r="Z1172">
        <v>1</v>
      </c>
      <c r="AA1172">
        <v>10</v>
      </c>
    </row>
    <row r="1173" spans="1:27" x14ac:dyDescent="0.3">
      <c r="A1173" s="2">
        <v>44971</v>
      </c>
      <c r="B1173" t="s">
        <v>0</v>
      </c>
      <c r="C1173" t="s">
        <v>10</v>
      </c>
      <c r="D1173">
        <v>7</v>
      </c>
      <c r="E1173">
        <v>468.14</v>
      </c>
      <c r="F1173" t="s">
        <v>13</v>
      </c>
      <c r="G1173" t="s">
        <v>17</v>
      </c>
      <c r="H1173">
        <v>0.15</v>
      </c>
      <c r="I1173" t="s">
        <v>23</v>
      </c>
      <c r="J1173">
        <v>2785.433</v>
      </c>
      <c r="K1173" t="s">
        <v>28</v>
      </c>
      <c r="L1173" t="s">
        <v>30</v>
      </c>
      <c r="M1173">
        <v>0</v>
      </c>
      <c r="N1173" t="s">
        <v>1246</v>
      </c>
      <c r="O1173" t="s">
        <v>2746</v>
      </c>
      <c r="P1173">
        <v>47.56</v>
      </c>
      <c r="Q1173">
        <f t="shared" si="18"/>
        <v>397.91899999999998</v>
      </c>
      <c r="R1173">
        <v>2737.873</v>
      </c>
      <c r="S1173" s="2">
        <v>44971</v>
      </c>
      <c r="T1173" s="2">
        <v>44974</v>
      </c>
      <c r="U1173" t="s">
        <v>33</v>
      </c>
      <c r="V1173">
        <v>14</v>
      </c>
      <c r="W1173">
        <v>2</v>
      </c>
      <c r="X1173" t="s">
        <v>38</v>
      </c>
      <c r="Y1173">
        <v>2023</v>
      </c>
      <c r="Z1173">
        <v>1</v>
      </c>
      <c r="AA1173">
        <v>7</v>
      </c>
    </row>
    <row r="1174" spans="1:27" x14ac:dyDescent="0.3">
      <c r="A1174" s="2">
        <v>45044</v>
      </c>
      <c r="B1174" t="s">
        <v>4</v>
      </c>
      <c r="C1174" t="s">
        <v>10</v>
      </c>
      <c r="D1174">
        <v>20</v>
      </c>
      <c r="E1174">
        <v>476.69</v>
      </c>
      <c r="F1174" t="s">
        <v>12</v>
      </c>
      <c r="G1174" t="s">
        <v>16</v>
      </c>
      <c r="H1174">
        <v>0.05</v>
      </c>
      <c r="I1174" t="s">
        <v>23</v>
      </c>
      <c r="J1174">
        <v>9057.1099999999988</v>
      </c>
      <c r="K1174" t="s">
        <v>24</v>
      </c>
      <c r="L1174" t="s">
        <v>31</v>
      </c>
      <c r="M1174">
        <v>0</v>
      </c>
      <c r="N1174" t="s">
        <v>1247</v>
      </c>
      <c r="O1174" t="s">
        <v>2747</v>
      </c>
      <c r="P1174">
        <v>10.199999999999999</v>
      </c>
      <c r="Q1174">
        <f t="shared" si="18"/>
        <v>452.85549999999995</v>
      </c>
      <c r="R1174">
        <v>9046.909999999998</v>
      </c>
      <c r="S1174" s="2">
        <v>45044</v>
      </c>
      <c r="T1174" s="2">
        <v>45049</v>
      </c>
      <c r="U1174" t="s">
        <v>37</v>
      </c>
      <c r="V1174">
        <v>28</v>
      </c>
      <c r="W1174">
        <v>4</v>
      </c>
      <c r="X1174" t="s">
        <v>45</v>
      </c>
      <c r="Y1174">
        <v>2023</v>
      </c>
      <c r="Z1174">
        <v>2</v>
      </c>
      <c r="AA1174">
        <v>17</v>
      </c>
    </row>
    <row r="1175" spans="1:27" x14ac:dyDescent="0.3">
      <c r="A1175" s="2">
        <v>45354</v>
      </c>
      <c r="B1175" t="s">
        <v>2</v>
      </c>
      <c r="C1175" t="s">
        <v>6</v>
      </c>
      <c r="D1175">
        <v>2</v>
      </c>
      <c r="E1175">
        <v>160.72999999999999</v>
      </c>
      <c r="F1175" t="s">
        <v>13</v>
      </c>
      <c r="G1175" t="s">
        <v>16</v>
      </c>
      <c r="H1175">
        <v>0.15</v>
      </c>
      <c r="I1175" t="s">
        <v>20</v>
      </c>
      <c r="J1175">
        <v>273.24099999999999</v>
      </c>
      <c r="K1175" t="s">
        <v>28</v>
      </c>
      <c r="L1175" t="s">
        <v>29</v>
      </c>
      <c r="M1175">
        <v>0</v>
      </c>
      <c r="N1175" t="s">
        <v>1248</v>
      </c>
      <c r="O1175" t="s">
        <v>2748</v>
      </c>
      <c r="P1175">
        <v>20.18</v>
      </c>
      <c r="Q1175">
        <f t="shared" si="18"/>
        <v>136.62049999999999</v>
      </c>
      <c r="R1175">
        <v>253.06099999999998</v>
      </c>
      <c r="S1175" s="2">
        <v>45354</v>
      </c>
      <c r="T1175" s="2">
        <v>45362</v>
      </c>
      <c r="U1175" t="s">
        <v>35</v>
      </c>
      <c r="V1175">
        <v>3</v>
      </c>
      <c r="W1175">
        <v>3</v>
      </c>
      <c r="X1175" t="s">
        <v>44</v>
      </c>
      <c r="Y1175">
        <v>2024</v>
      </c>
      <c r="Z1175">
        <v>1</v>
      </c>
      <c r="AA1175">
        <v>9</v>
      </c>
    </row>
    <row r="1176" spans="1:27" x14ac:dyDescent="0.3">
      <c r="A1176" s="2">
        <v>45539</v>
      </c>
      <c r="B1176" t="s">
        <v>4</v>
      </c>
      <c r="C1176" t="s">
        <v>10</v>
      </c>
      <c r="D1176">
        <v>9</v>
      </c>
      <c r="E1176">
        <v>228.98</v>
      </c>
      <c r="F1176" t="s">
        <v>15</v>
      </c>
      <c r="G1176" t="s">
        <v>17</v>
      </c>
      <c r="H1176">
        <v>0.15</v>
      </c>
      <c r="I1176" t="s">
        <v>20</v>
      </c>
      <c r="J1176">
        <v>1751.6969999999999</v>
      </c>
      <c r="K1176" t="s">
        <v>24</v>
      </c>
      <c r="L1176" t="s">
        <v>31</v>
      </c>
      <c r="M1176">
        <v>0</v>
      </c>
      <c r="N1176" t="s">
        <v>1249</v>
      </c>
      <c r="O1176" t="s">
        <v>2749</v>
      </c>
      <c r="P1176">
        <v>45.79</v>
      </c>
      <c r="Q1176">
        <f t="shared" si="18"/>
        <v>194.63299999999998</v>
      </c>
      <c r="R1176">
        <v>1705.9069999999999</v>
      </c>
      <c r="S1176" s="2">
        <v>45539</v>
      </c>
      <c r="T1176" s="2">
        <v>45543</v>
      </c>
      <c r="U1176" t="s">
        <v>37</v>
      </c>
      <c r="V1176">
        <v>4</v>
      </c>
      <c r="W1176">
        <v>9</v>
      </c>
      <c r="X1176" t="s">
        <v>49</v>
      </c>
      <c r="Y1176">
        <v>2024</v>
      </c>
      <c r="Z1176">
        <v>3</v>
      </c>
      <c r="AA1176">
        <v>36</v>
      </c>
    </row>
    <row r="1177" spans="1:27" x14ac:dyDescent="0.3">
      <c r="A1177" s="2">
        <v>45656</v>
      </c>
      <c r="B1177" t="s">
        <v>0</v>
      </c>
      <c r="C1177" t="s">
        <v>10</v>
      </c>
      <c r="D1177">
        <v>19</v>
      </c>
      <c r="E1177">
        <v>336.5</v>
      </c>
      <c r="F1177" t="s">
        <v>12</v>
      </c>
      <c r="G1177" t="s">
        <v>16</v>
      </c>
      <c r="H1177">
        <v>0</v>
      </c>
      <c r="I1177" t="s">
        <v>19</v>
      </c>
      <c r="J1177">
        <v>6393.5</v>
      </c>
      <c r="K1177" t="s">
        <v>24</v>
      </c>
      <c r="L1177" t="s">
        <v>31</v>
      </c>
      <c r="M1177">
        <v>0</v>
      </c>
      <c r="N1177" t="s">
        <v>1250</v>
      </c>
      <c r="O1177" t="s">
        <v>2750</v>
      </c>
      <c r="P1177">
        <v>27.43</v>
      </c>
      <c r="Q1177">
        <f t="shared" si="18"/>
        <v>336.5</v>
      </c>
      <c r="R1177">
        <v>6366.07</v>
      </c>
      <c r="S1177" s="2">
        <v>45656</v>
      </c>
      <c r="T1177" s="2">
        <v>45664</v>
      </c>
      <c r="U1177" t="s">
        <v>33</v>
      </c>
      <c r="V1177">
        <v>30</v>
      </c>
      <c r="W1177">
        <v>12</v>
      </c>
      <c r="X1177" t="s">
        <v>39</v>
      </c>
      <c r="Y1177">
        <v>2024</v>
      </c>
      <c r="Z1177">
        <v>4</v>
      </c>
      <c r="AA1177">
        <v>1</v>
      </c>
    </row>
    <row r="1178" spans="1:27" x14ac:dyDescent="0.3">
      <c r="A1178" s="2">
        <v>45332</v>
      </c>
      <c r="B1178" t="s">
        <v>0</v>
      </c>
      <c r="C1178" t="s">
        <v>11</v>
      </c>
      <c r="D1178">
        <v>18</v>
      </c>
      <c r="E1178">
        <v>411.59</v>
      </c>
      <c r="F1178" t="s">
        <v>13</v>
      </c>
      <c r="G1178" t="s">
        <v>16</v>
      </c>
      <c r="H1178">
        <v>0</v>
      </c>
      <c r="I1178" t="s">
        <v>23</v>
      </c>
      <c r="J1178">
        <v>7408.62</v>
      </c>
      <c r="K1178" t="s">
        <v>26</v>
      </c>
      <c r="L1178" t="s">
        <v>31</v>
      </c>
      <c r="M1178">
        <v>0</v>
      </c>
      <c r="N1178" t="s">
        <v>1251</v>
      </c>
      <c r="O1178" t="s">
        <v>2751</v>
      </c>
      <c r="P1178">
        <v>9.6199999999999992</v>
      </c>
      <c r="Q1178">
        <f t="shared" si="18"/>
        <v>411.59</v>
      </c>
      <c r="R1178">
        <v>7399</v>
      </c>
      <c r="S1178" s="2">
        <v>45332</v>
      </c>
      <c r="T1178" s="2">
        <v>45338</v>
      </c>
      <c r="U1178" t="s">
        <v>33</v>
      </c>
      <c r="V1178">
        <v>10</v>
      </c>
      <c r="W1178">
        <v>2</v>
      </c>
      <c r="X1178" t="s">
        <v>38</v>
      </c>
      <c r="Y1178">
        <v>2024</v>
      </c>
      <c r="Z1178">
        <v>1</v>
      </c>
      <c r="AA1178">
        <v>6</v>
      </c>
    </row>
    <row r="1179" spans="1:27" x14ac:dyDescent="0.3">
      <c r="A1179" s="2">
        <v>45176</v>
      </c>
      <c r="B1179" t="s">
        <v>3</v>
      </c>
      <c r="C1179" t="s">
        <v>11</v>
      </c>
      <c r="D1179">
        <v>1</v>
      </c>
      <c r="E1179">
        <v>431.49</v>
      </c>
      <c r="F1179" t="s">
        <v>14</v>
      </c>
      <c r="G1179" t="s">
        <v>16</v>
      </c>
      <c r="H1179">
        <v>0.15</v>
      </c>
      <c r="I1179" t="s">
        <v>19</v>
      </c>
      <c r="J1179">
        <v>366.76650000000001</v>
      </c>
      <c r="K1179" t="s">
        <v>28</v>
      </c>
      <c r="L1179" t="s">
        <v>30</v>
      </c>
      <c r="M1179">
        <v>0</v>
      </c>
      <c r="N1179" t="s">
        <v>1252</v>
      </c>
      <c r="O1179" t="s">
        <v>2752</v>
      </c>
      <c r="P1179">
        <v>17.53</v>
      </c>
      <c r="Q1179">
        <f t="shared" si="18"/>
        <v>366.76650000000001</v>
      </c>
      <c r="R1179">
        <v>349.23649999999998</v>
      </c>
      <c r="S1179" s="2">
        <v>45176</v>
      </c>
      <c r="T1179" s="2">
        <v>45184</v>
      </c>
      <c r="U1179" t="s">
        <v>36</v>
      </c>
      <c r="V1179">
        <v>7</v>
      </c>
      <c r="W1179">
        <v>9</v>
      </c>
      <c r="X1179" t="s">
        <v>49</v>
      </c>
      <c r="Y1179">
        <v>2023</v>
      </c>
      <c r="Z1179">
        <v>3</v>
      </c>
      <c r="AA1179">
        <v>36</v>
      </c>
    </row>
    <row r="1180" spans="1:27" x14ac:dyDescent="0.3">
      <c r="A1180" s="2">
        <v>45149</v>
      </c>
      <c r="B1180" t="s">
        <v>0</v>
      </c>
      <c r="C1180" t="s">
        <v>5</v>
      </c>
      <c r="D1180">
        <v>18</v>
      </c>
      <c r="E1180">
        <v>495.39</v>
      </c>
      <c r="F1180" t="s">
        <v>13</v>
      </c>
      <c r="G1180" t="s">
        <v>16</v>
      </c>
      <c r="H1180">
        <v>0</v>
      </c>
      <c r="I1180" t="s">
        <v>21</v>
      </c>
      <c r="J1180">
        <v>8917.02</v>
      </c>
      <c r="K1180" t="s">
        <v>25</v>
      </c>
      <c r="L1180" t="s">
        <v>30</v>
      </c>
      <c r="M1180">
        <v>0</v>
      </c>
      <c r="N1180" t="s">
        <v>1253</v>
      </c>
      <c r="O1180" t="s">
        <v>2753</v>
      </c>
      <c r="P1180">
        <v>14.88</v>
      </c>
      <c r="Q1180">
        <f t="shared" si="18"/>
        <v>495.39000000000004</v>
      </c>
      <c r="R1180">
        <v>8902.1400000000012</v>
      </c>
      <c r="S1180" s="2">
        <v>45149</v>
      </c>
      <c r="T1180" s="2">
        <v>45153</v>
      </c>
      <c r="U1180" t="s">
        <v>33</v>
      </c>
      <c r="V1180">
        <v>11</v>
      </c>
      <c r="W1180">
        <v>8</v>
      </c>
      <c r="X1180" t="s">
        <v>48</v>
      </c>
      <c r="Y1180">
        <v>2023</v>
      </c>
      <c r="Z1180">
        <v>3</v>
      </c>
      <c r="AA1180">
        <v>32</v>
      </c>
    </row>
    <row r="1181" spans="1:27" x14ac:dyDescent="0.3">
      <c r="A1181" s="2">
        <v>44997</v>
      </c>
      <c r="B1181" t="s">
        <v>4</v>
      </c>
      <c r="C1181" t="s">
        <v>6</v>
      </c>
      <c r="D1181">
        <v>4</v>
      </c>
      <c r="E1181">
        <v>149.30000000000001</v>
      </c>
      <c r="F1181" t="s">
        <v>13</v>
      </c>
      <c r="G1181" t="s">
        <v>16</v>
      </c>
      <c r="H1181">
        <v>0.1</v>
      </c>
      <c r="I1181" t="s">
        <v>22</v>
      </c>
      <c r="J1181">
        <v>537.48</v>
      </c>
      <c r="K1181" t="s">
        <v>27</v>
      </c>
      <c r="L1181" t="s">
        <v>29</v>
      </c>
      <c r="M1181">
        <v>0</v>
      </c>
      <c r="N1181" t="s">
        <v>1254</v>
      </c>
      <c r="O1181" t="s">
        <v>2754</v>
      </c>
      <c r="P1181">
        <v>47.84</v>
      </c>
      <c r="Q1181">
        <f t="shared" si="18"/>
        <v>134.37</v>
      </c>
      <c r="R1181">
        <v>489.64</v>
      </c>
      <c r="S1181" s="2">
        <v>44997</v>
      </c>
      <c r="T1181" s="2">
        <v>45001</v>
      </c>
      <c r="U1181" t="s">
        <v>37</v>
      </c>
      <c r="V1181">
        <v>12</v>
      </c>
      <c r="W1181">
        <v>3</v>
      </c>
      <c r="X1181" t="s">
        <v>44</v>
      </c>
      <c r="Y1181">
        <v>2023</v>
      </c>
      <c r="Z1181">
        <v>1</v>
      </c>
      <c r="AA1181">
        <v>10</v>
      </c>
    </row>
    <row r="1182" spans="1:27" x14ac:dyDescent="0.3">
      <c r="A1182" s="2">
        <v>45014</v>
      </c>
      <c r="B1182" t="s">
        <v>3</v>
      </c>
      <c r="C1182" t="s">
        <v>7</v>
      </c>
      <c r="D1182">
        <v>18</v>
      </c>
      <c r="E1182">
        <v>179.97</v>
      </c>
      <c r="F1182" t="s">
        <v>14</v>
      </c>
      <c r="G1182" t="s">
        <v>16</v>
      </c>
      <c r="H1182">
        <v>0.1</v>
      </c>
      <c r="I1182" t="s">
        <v>18</v>
      </c>
      <c r="J1182">
        <v>2915.5140000000001</v>
      </c>
      <c r="K1182" t="s">
        <v>28</v>
      </c>
      <c r="L1182" t="s">
        <v>30</v>
      </c>
      <c r="M1182">
        <v>0</v>
      </c>
      <c r="N1182" t="s">
        <v>1255</v>
      </c>
      <c r="O1182" t="s">
        <v>2755</v>
      </c>
      <c r="P1182">
        <v>22.15</v>
      </c>
      <c r="Q1182">
        <f t="shared" si="18"/>
        <v>161.97300000000001</v>
      </c>
      <c r="R1182">
        <v>2893.364</v>
      </c>
      <c r="S1182" s="2">
        <v>45014</v>
      </c>
      <c r="T1182" s="2">
        <v>45016</v>
      </c>
      <c r="U1182" t="s">
        <v>36</v>
      </c>
      <c r="V1182">
        <v>29</v>
      </c>
      <c r="W1182">
        <v>3</v>
      </c>
      <c r="X1182" t="s">
        <v>44</v>
      </c>
      <c r="Y1182">
        <v>2023</v>
      </c>
      <c r="Z1182">
        <v>1</v>
      </c>
      <c r="AA1182">
        <v>13</v>
      </c>
    </row>
    <row r="1183" spans="1:27" x14ac:dyDescent="0.3">
      <c r="A1183" s="2">
        <v>45705</v>
      </c>
      <c r="B1183" t="s">
        <v>1</v>
      </c>
      <c r="C1183" t="s">
        <v>8</v>
      </c>
      <c r="D1183">
        <v>11</v>
      </c>
      <c r="E1183">
        <v>381.14</v>
      </c>
      <c r="F1183" t="s">
        <v>12</v>
      </c>
      <c r="G1183" t="s">
        <v>17</v>
      </c>
      <c r="H1183">
        <v>0.05</v>
      </c>
      <c r="I1183" t="s">
        <v>20</v>
      </c>
      <c r="J1183">
        <v>3982.913</v>
      </c>
      <c r="K1183" t="s">
        <v>25</v>
      </c>
      <c r="L1183" t="s">
        <v>29</v>
      </c>
      <c r="M1183">
        <v>0</v>
      </c>
      <c r="N1183" t="s">
        <v>1256</v>
      </c>
      <c r="O1183" t="s">
        <v>2756</v>
      </c>
      <c r="P1183">
        <v>32.83</v>
      </c>
      <c r="Q1183">
        <f t="shared" si="18"/>
        <v>362.08300000000003</v>
      </c>
      <c r="R1183">
        <v>3950.0830000000001</v>
      </c>
      <c r="S1183" s="2">
        <v>45705</v>
      </c>
      <c r="T1183" s="2">
        <v>45715</v>
      </c>
      <c r="U1183" t="s">
        <v>34</v>
      </c>
      <c r="V1183">
        <v>17</v>
      </c>
      <c r="W1183">
        <v>2</v>
      </c>
      <c r="X1183" t="s">
        <v>38</v>
      </c>
      <c r="Y1183">
        <v>2025</v>
      </c>
      <c r="Z1183">
        <v>1</v>
      </c>
      <c r="AA1183">
        <v>8</v>
      </c>
    </row>
    <row r="1184" spans="1:27" x14ac:dyDescent="0.3">
      <c r="A1184" s="2">
        <v>45298</v>
      </c>
      <c r="B1184" t="s">
        <v>2</v>
      </c>
      <c r="C1184" t="s">
        <v>8</v>
      </c>
      <c r="D1184">
        <v>5</v>
      </c>
      <c r="E1184">
        <v>454.62</v>
      </c>
      <c r="F1184" t="s">
        <v>14</v>
      </c>
      <c r="G1184" t="s">
        <v>16</v>
      </c>
      <c r="H1184">
        <v>0.05</v>
      </c>
      <c r="I1184" t="s">
        <v>22</v>
      </c>
      <c r="J1184">
        <v>2159.4450000000002</v>
      </c>
      <c r="K1184" t="s">
        <v>25</v>
      </c>
      <c r="L1184" t="s">
        <v>32</v>
      </c>
      <c r="M1184">
        <v>0</v>
      </c>
      <c r="N1184" t="s">
        <v>1257</v>
      </c>
      <c r="O1184" t="s">
        <v>2757</v>
      </c>
      <c r="P1184">
        <v>10.19</v>
      </c>
      <c r="Q1184">
        <f t="shared" si="18"/>
        <v>431.88900000000001</v>
      </c>
      <c r="R1184">
        <v>2149.2550000000001</v>
      </c>
      <c r="S1184" s="2">
        <v>45298</v>
      </c>
      <c r="T1184" s="2">
        <v>45306</v>
      </c>
      <c r="U1184" t="s">
        <v>35</v>
      </c>
      <c r="V1184">
        <v>7</v>
      </c>
      <c r="W1184">
        <v>1</v>
      </c>
      <c r="X1184" t="s">
        <v>42</v>
      </c>
      <c r="Y1184">
        <v>2024</v>
      </c>
      <c r="Z1184">
        <v>1</v>
      </c>
      <c r="AA1184">
        <v>1</v>
      </c>
    </row>
    <row r="1185" spans="1:27" x14ac:dyDescent="0.3">
      <c r="A1185" s="2">
        <v>44940</v>
      </c>
      <c r="B1185" t="s">
        <v>0</v>
      </c>
      <c r="C1185" t="s">
        <v>6</v>
      </c>
      <c r="D1185">
        <v>17</v>
      </c>
      <c r="E1185">
        <v>226.56</v>
      </c>
      <c r="F1185" t="s">
        <v>13</v>
      </c>
      <c r="G1185" t="s">
        <v>16</v>
      </c>
      <c r="H1185">
        <v>0.1</v>
      </c>
      <c r="I1185" t="s">
        <v>22</v>
      </c>
      <c r="J1185">
        <v>3466.3679999999999</v>
      </c>
      <c r="K1185" t="s">
        <v>25</v>
      </c>
      <c r="L1185" t="s">
        <v>31</v>
      </c>
      <c r="M1185">
        <v>1</v>
      </c>
      <c r="N1185" t="s">
        <v>1258</v>
      </c>
      <c r="O1185" t="s">
        <v>2758</v>
      </c>
      <c r="P1185">
        <v>36.89</v>
      </c>
      <c r="Q1185">
        <f t="shared" si="18"/>
        <v>203.904</v>
      </c>
      <c r="R1185">
        <v>3429.4780000000001</v>
      </c>
      <c r="S1185" s="2">
        <v>44940</v>
      </c>
      <c r="T1185" s="2">
        <v>44946</v>
      </c>
      <c r="U1185" t="s">
        <v>33</v>
      </c>
      <c r="V1185">
        <v>14</v>
      </c>
      <c r="W1185">
        <v>1</v>
      </c>
      <c r="X1185" t="s">
        <v>42</v>
      </c>
      <c r="Y1185">
        <v>2023</v>
      </c>
      <c r="Z1185">
        <v>1</v>
      </c>
      <c r="AA1185">
        <v>2</v>
      </c>
    </row>
    <row r="1186" spans="1:27" x14ac:dyDescent="0.3">
      <c r="A1186" s="2">
        <v>45294</v>
      </c>
      <c r="B1186" t="s">
        <v>4</v>
      </c>
      <c r="C1186" t="s">
        <v>5</v>
      </c>
      <c r="D1186">
        <v>2</v>
      </c>
      <c r="E1186">
        <v>132.91</v>
      </c>
      <c r="F1186" t="s">
        <v>13</v>
      </c>
      <c r="G1186" t="s">
        <v>16</v>
      </c>
      <c r="H1186">
        <v>0</v>
      </c>
      <c r="I1186" t="s">
        <v>23</v>
      </c>
      <c r="J1186">
        <v>265.82</v>
      </c>
      <c r="K1186" t="s">
        <v>27</v>
      </c>
      <c r="L1186" t="s">
        <v>31</v>
      </c>
      <c r="M1186">
        <v>0</v>
      </c>
      <c r="N1186" t="s">
        <v>1259</v>
      </c>
      <c r="O1186" t="s">
        <v>2759</v>
      </c>
      <c r="P1186">
        <v>7.76</v>
      </c>
      <c r="Q1186">
        <f t="shared" si="18"/>
        <v>132.91</v>
      </c>
      <c r="R1186">
        <v>258.06</v>
      </c>
      <c r="S1186" s="2">
        <v>45294</v>
      </c>
      <c r="T1186" s="2">
        <v>45303</v>
      </c>
      <c r="U1186" t="s">
        <v>37</v>
      </c>
      <c r="V1186">
        <v>3</v>
      </c>
      <c r="W1186">
        <v>1</v>
      </c>
      <c r="X1186" t="s">
        <v>42</v>
      </c>
      <c r="Y1186">
        <v>2024</v>
      </c>
      <c r="Z1186">
        <v>1</v>
      </c>
      <c r="AA1186">
        <v>1</v>
      </c>
    </row>
    <row r="1187" spans="1:27" x14ac:dyDescent="0.3">
      <c r="A1187" s="2">
        <v>45163</v>
      </c>
      <c r="B1187" t="s">
        <v>1</v>
      </c>
      <c r="C1187" t="s">
        <v>7</v>
      </c>
      <c r="D1187">
        <v>2</v>
      </c>
      <c r="E1187">
        <v>35.69</v>
      </c>
      <c r="F1187" t="s">
        <v>14</v>
      </c>
      <c r="G1187" t="s">
        <v>17</v>
      </c>
      <c r="H1187">
        <v>0</v>
      </c>
      <c r="I1187" t="s">
        <v>18</v>
      </c>
      <c r="J1187">
        <v>71.38</v>
      </c>
      <c r="K1187" t="s">
        <v>27</v>
      </c>
      <c r="L1187" t="s">
        <v>29</v>
      </c>
      <c r="M1187">
        <v>0</v>
      </c>
      <c r="N1187" t="s">
        <v>1260</v>
      </c>
      <c r="O1187" t="s">
        <v>2760</v>
      </c>
      <c r="P1187">
        <v>39.89</v>
      </c>
      <c r="Q1187">
        <f t="shared" si="18"/>
        <v>35.69</v>
      </c>
      <c r="R1187">
        <v>31.489999999999995</v>
      </c>
      <c r="S1187" s="2">
        <v>45163</v>
      </c>
      <c r="T1187" s="2">
        <v>45166</v>
      </c>
      <c r="U1187" t="s">
        <v>34</v>
      </c>
      <c r="V1187">
        <v>25</v>
      </c>
      <c r="W1187">
        <v>8</v>
      </c>
      <c r="X1187" t="s">
        <v>48</v>
      </c>
      <c r="Y1187">
        <v>2023</v>
      </c>
      <c r="Z1187">
        <v>3</v>
      </c>
      <c r="AA1187">
        <v>34</v>
      </c>
    </row>
    <row r="1188" spans="1:27" x14ac:dyDescent="0.3">
      <c r="A1188" s="2">
        <v>45793</v>
      </c>
      <c r="B1188" t="s">
        <v>2</v>
      </c>
      <c r="C1188" t="s">
        <v>7</v>
      </c>
      <c r="D1188">
        <v>6</v>
      </c>
      <c r="E1188">
        <v>451.93</v>
      </c>
      <c r="F1188" t="s">
        <v>13</v>
      </c>
      <c r="G1188" t="s">
        <v>16</v>
      </c>
      <c r="H1188">
        <v>0.15</v>
      </c>
      <c r="I1188" t="s">
        <v>18</v>
      </c>
      <c r="J1188">
        <v>2304.8429999999998</v>
      </c>
      <c r="K1188" t="s">
        <v>28</v>
      </c>
      <c r="L1188" t="s">
        <v>31</v>
      </c>
      <c r="M1188">
        <v>1</v>
      </c>
      <c r="N1188" t="s">
        <v>1261</v>
      </c>
      <c r="O1188" t="s">
        <v>2761</v>
      </c>
      <c r="P1188">
        <v>49.37</v>
      </c>
      <c r="Q1188">
        <f t="shared" si="18"/>
        <v>384.14049999999997</v>
      </c>
      <c r="R1188">
        <v>2255.473</v>
      </c>
      <c r="S1188" s="2">
        <v>45793</v>
      </c>
      <c r="T1188" s="2">
        <v>45802</v>
      </c>
      <c r="U1188" t="s">
        <v>35</v>
      </c>
      <c r="V1188">
        <v>16</v>
      </c>
      <c r="W1188">
        <v>5</v>
      </c>
      <c r="X1188" t="s">
        <v>40</v>
      </c>
      <c r="Y1188">
        <v>2025</v>
      </c>
      <c r="Z1188">
        <v>2</v>
      </c>
      <c r="AA1188">
        <v>20</v>
      </c>
    </row>
    <row r="1189" spans="1:27" x14ac:dyDescent="0.3">
      <c r="A1189" s="2">
        <v>45290</v>
      </c>
      <c r="B1189" t="s">
        <v>1</v>
      </c>
      <c r="C1189" t="s">
        <v>5</v>
      </c>
      <c r="D1189">
        <v>7</v>
      </c>
      <c r="E1189">
        <v>270.47000000000003</v>
      </c>
      <c r="F1189" t="s">
        <v>15</v>
      </c>
      <c r="G1189" t="s">
        <v>16</v>
      </c>
      <c r="H1189">
        <v>0.05</v>
      </c>
      <c r="I1189" t="s">
        <v>22</v>
      </c>
      <c r="J1189">
        <v>1798.6255000000001</v>
      </c>
      <c r="K1189" t="s">
        <v>26</v>
      </c>
      <c r="L1189" t="s">
        <v>31</v>
      </c>
      <c r="M1189">
        <v>1</v>
      </c>
      <c r="N1189" t="s">
        <v>1262</v>
      </c>
      <c r="O1189" t="s">
        <v>2762</v>
      </c>
      <c r="P1189">
        <v>41.56</v>
      </c>
      <c r="Q1189">
        <f t="shared" si="18"/>
        <v>256.94650000000001</v>
      </c>
      <c r="R1189">
        <v>1757.0655000000002</v>
      </c>
      <c r="S1189" s="2">
        <v>45290</v>
      </c>
      <c r="T1189" s="2">
        <v>45294</v>
      </c>
      <c r="U1189" t="s">
        <v>34</v>
      </c>
      <c r="V1189">
        <v>30</v>
      </c>
      <c r="W1189">
        <v>12</v>
      </c>
      <c r="X1189" t="s">
        <v>39</v>
      </c>
      <c r="Y1189">
        <v>2023</v>
      </c>
      <c r="Z1189">
        <v>4</v>
      </c>
      <c r="AA1189">
        <v>52</v>
      </c>
    </row>
    <row r="1190" spans="1:27" x14ac:dyDescent="0.3">
      <c r="A1190" s="2">
        <v>45571</v>
      </c>
      <c r="B1190" t="s">
        <v>1</v>
      </c>
      <c r="C1190" t="s">
        <v>6</v>
      </c>
      <c r="D1190">
        <v>13</v>
      </c>
      <c r="E1190">
        <v>55.46</v>
      </c>
      <c r="F1190" t="s">
        <v>13</v>
      </c>
      <c r="G1190" t="s">
        <v>17</v>
      </c>
      <c r="H1190">
        <v>0.05</v>
      </c>
      <c r="I1190" t="s">
        <v>23</v>
      </c>
      <c r="J1190">
        <v>684.93100000000004</v>
      </c>
      <c r="K1190" t="s">
        <v>26</v>
      </c>
      <c r="L1190" t="s">
        <v>29</v>
      </c>
      <c r="M1190">
        <v>1</v>
      </c>
      <c r="N1190" t="s">
        <v>1263</v>
      </c>
      <c r="O1190" t="s">
        <v>2763</v>
      </c>
      <c r="P1190">
        <v>18.010000000000002</v>
      </c>
      <c r="Q1190">
        <f t="shared" si="18"/>
        <v>52.687000000000005</v>
      </c>
      <c r="R1190">
        <v>666.92100000000005</v>
      </c>
      <c r="S1190" s="2">
        <v>45571</v>
      </c>
      <c r="T1190" s="2">
        <v>45574</v>
      </c>
      <c r="U1190" t="s">
        <v>34</v>
      </c>
      <c r="V1190">
        <v>6</v>
      </c>
      <c r="W1190">
        <v>10</v>
      </c>
      <c r="X1190" t="s">
        <v>43</v>
      </c>
      <c r="Y1190">
        <v>2024</v>
      </c>
      <c r="Z1190">
        <v>4</v>
      </c>
      <c r="AA1190">
        <v>40</v>
      </c>
    </row>
    <row r="1191" spans="1:27" x14ac:dyDescent="0.3">
      <c r="A1191" s="2">
        <v>44997</v>
      </c>
      <c r="B1191" t="s">
        <v>3</v>
      </c>
      <c r="C1191" t="s">
        <v>10</v>
      </c>
      <c r="D1191">
        <v>17</v>
      </c>
      <c r="E1191">
        <v>515.12</v>
      </c>
      <c r="F1191" t="s">
        <v>15</v>
      </c>
      <c r="G1191" t="s">
        <v>16</v>
      </c>
      <c r="H1191">
        <v>0.15</v>
      </c>
      <c r="I1191" t="s">
        <v>23</v>
      </c>
      <c r="J1191">
        <v>7443.4840000000004</v>
      </c>
      <c r="K1191" t="s">
        <v>26</v>
      </c>
      <c r="L1191" t="s">
        <v>30</v>
      </c>
      <c r="M1191">
        <v>1</v>
      </c>
      <c r="N1191" t="s">
        <v>1264</v>
      </c>
      <c r="O1191" t="s">
        <v>2764</v>
      </c>
      <c r="P1191">
        <v>32.74</v>
      </c>
      <c r="Q1191">
        <f t="shared" si="18"/>
        <v>437.85200000000003</v>
      </c>
      <c r="R1191">
        <v>7410.7440000000006</v>
      </c>
      <c r="S1191" s="2">
        <v>44997</v>
      </c>
      <c r="T1191" s="2">
        <v>45007</v>
      </c>
      <c r="U1191" t="s">
        <v>36</v>
      </c>
      <c r="V1191">
        <v>12</v>
      </c>
      <c r="W1191">
        <v>3</v>
      </c>
      <c r="X1191" t="s">
        <v>44</v>
      </c>
      <c r="Y1191">
        <v>2023</v>
      </c>
      <c r="Z1191">
        <v>1</v>
      </c>
      <c r="AA1191">
        <v>10</v>
      </c>
    </row>
    <row r="1192" spans="1:27" x14ac:dyDescent="0.3">
      <c r="A1192" s="2">
        <v>45388</v>
      </c>
      <c r="B1192" t="s">
        <v>2</v>
      </c>
      <c r="C1192" t="s">
        <v>6</v>
      </c>
      <c r="D1192">
        <v>1</v>
      </c>
      <c r="E1192">
        <v>256.63</v>
      </c>
      <c r="F1192" t="s">
        <v>15</v>
      </c>
      <c r="G1192" t="s">
        <v>16</v>
      </c>
      <c r="H1192">
        <v>0</v>
      </c>
      <c r="I1192" t="s">
        <v>21</v>
      </c>
      <c r="J1192">
        <v>256.63</v>
      </c>
      <c r="K1192" t="s">
        <v>25</v>
      </c>
      <c r="L1192" t="s">
        <v>29</v>
      </c>
      <c r="M1192">
        <v>0</v>
      </c>
      <c r="N1192" t="s">
        <v>1265</v>
      </c>
      <c r="O1192" t="s">
        <v>2765</v>
      </c>
      <c r="P1192">
        <v>12.97</v>
      </c>
      <c r="Q1192">
        <f t="shared" si="18"/>
        <v>256.63</v>
      </c>
      <c r="R1192">
        <v>243.66</v>
      </c>
      <c r="S1192" s="2">
        <v>45388</v>
      </c>
      <c r="T1192" s="2">
        <v>45390</v>
      </c>
      <c r="U1192" t="s">
        <v>35</v>
      </c>
      <c r="V1192">
        <v>6</v>
      </c>
      <c r="W1192">
        <v>4</v>
      </c>
      <c r="X1192" t="s">
        <v>45</v>
      </c>
      <c r="Y1192">
        <v>2024</v>
      </c>
      <c r="Z1192">
        <v>2</v>
      </c>
      <c r="AA1192">
        <v>14</v>
      </c>
    </row>
    <row r="1193" spans="1:27" x14ac:dyDescent="0.3">
      <c r="A1193" s="2">
        <v>44946</v>
      </c>
      <c r="B1193" t="s">
        <v>2</v>
      </c>
      <c r="C1193" t="s">
        <v>10</v>
      </c>
      <c r="D1193">
        <v>4</v>
      </c>
      <c r="E1193">
        <v>423.99</v>
      </c>
      <c r="F1193" t="s">
        <v>12</v>
      </c>
      <c r="G1193" t="s">
        <v>17</v>
      </c>
      <c r="H1193">
        <v>0.05</v>
      </c>
      <c r="I1193" t="s">
        <v>20</v>
      </c>
      <c r="J1193">
        <v>1611.162</v>
      </c>
      <c r="K1193" t="s">
        <v>24</v>
      </c>
      <c r="L1193" t="s">
        <v>29</v>
      </c>
      <c r="M1193">
        <v>0</v>
      </c>
      <c r="N1193" t="s">
        <v>1266</v>
      </c>
      <c r="O1193" t="s">
        <v>2766</v>
      </c>
      <c r="P1193">
        <v>20.05</v>
      </c>
      <c r="Q1193">
        <f t="shared" si="18"/>
        <v>402.79050000000001</v>
      </c>
      <c r="R1193">
        <v>1591.1120000000001</v>
      </c>
      <c r="S1193" s="2">
        <v>44946</v>
      </c>
      <c r="T1193" s="2">
        <v>44951</v>
      </c>
      <c r="U1193" t="s">
        <v>35</v>
      </c>
      <c r="V1193">
        <v>20</v>
      </c>
      <c r="W1193">
        <v>1</v>
      </c>
      <c r="X1193" t="s">
        <v>42</v>
      </c>
      <c r="Y1193">
        <v>2023</v>
      </c>
      <c r="Z1193">
        <v>1</v>
      </c>
      <c r="AA1193">
        <v>3</v>
      </c>
    </row>
    <row r="1194" spans="1:27" x14ac:dyDescent="0.3">
      <c r="A1194" s="2">
        <v>45481</v>
      </c>
      <c r="B1194" t="s">
        <v>4</v>
      </c>
      <c r="C1194" t="s">
        <v>5</v>
      </c>
      <c r="D1194">
        <v>15</v>
      </c>
      <c r="E1194">
        <v>77.89</v>
      </c>
      <c r="F1194" t="s">
        <v>12</v>
      </c>
      <c r="G1194" t="s">
        <v>16</v>
      </c>
      <c r="H1194">
        <v>0.05</v>
      </c>
      <c r="I1194" t="s">
        <v>22</v>
      </c>
      <c r="J1194">
        <v>1109.9324999999999</v>
      </c>
      <c r="K1194" t="s">
        <v>26</v>
      </c>
      <c r="L1194" t="s">
        <v>32</v>
      </c>
      <c r="M1194">
        <v>0</v>
      </c>
      <c r="N1194" t="s">
        <v>1267</v>
      </c>
      <c r="O1194" t="s">
        <v>2767</v>
      </c>
      <c r="P1194">
        <v>20.87</v>
      </c>
      <c r="Q1194">
        <f t="shared" si="18"/>
        <v>73.995499999999993</v>
      </c>
      <c r="R1194">
        <v>1089.0625</v>
      </c>
      <c r="S1194" s="2">
        <v>45481</v>
      </c>
      <c r="T1194" s="2">
        <v>45485</v>
      </c>
      <c r="U1194" t="s">
        <v>37</v>
      </c>
      <c r="V1194">
        <v>8</v>
      </c>
      <c r="W1194">
        <v>7</v>
      </c>
      <c r="X1194" t="s">
        <v>46</v>
      </c>
      <c r="Y1194">
        <v>2024</v>
      </c>
      <c r="Z1194">
        <v>3</v>
      </c>
      <c r="AA1194">
        <v>28</v>
      </c>
    </row>
    <row r="1195" spans="1:27" x14ac:dyDescent="0.3">
      <c r="A1195" s="2">
        <v>45205</v>
      </c>
      <c r="B1195" t="s">
        <v>2</v>
      </c>
      <c r="C1195" t="s">
        <v>6</v>
      </c>
      <c r="D1195">
        <v>12</v>
      </c>
      <c r="E1195">
        <v>11.95</v>
      </c>
      <c r="F1195" t="s">
        <v>13</v>
      </c>
      <c r="G1195" t="s">
        <v>17</v>
      </c>
      <c r="H1195">
        <v>0.05</v>
      </c>
      <c r="I1195" t="s">
        <v>21</v>
      </c>
      <c r="J1195">
        <v>136.22999999999999</v>
      </c>
      <c r="K1195" t="s">
        <v>24</v>
      </c>
      <c r="L1195" t="s">
        <v>32</v>
      </c>
      <c r="M1195">
        <v>0</v>
      </c>
      <c r="N1195" t="s">
        <v>1268</v>
      </c>
      <c r="O1195" t="s">
        <v>2768</v>
      </c>
      <c r="P1195">
        <v>26.66</v>
      </c>
      <c r="Q1195">
        <f t="shared" si="18"/>
        <v>11.352499999999999</v>
      </c>
      <c r="R1195">
        <v>109.57</v>
      </c>
      <c r="S1195" s="2">
        <v>45205</v>
      </c>
      <c r="T1195" s="2">
        <v>45215</v>
      </c>
      <c r="U1195" t="s">
        <v>35</v>
      </c>
      <c r="V1195">
        <v>6</v>
      </c>
      <c r="W1195">
        <v>10</v>
      </c>
      <c r="X1195" t="s">
        <v>43</v>
      </c>
      <c r="Y1195">
        <v>2023</v>
      </c>
      <c r="Z1195">
        <v>4</v>
      </c>
      <c r="AA1195">
        <v>40</v>
      </c>
    </row>
    <row r="1196" spans="1:27" x14ac:dyDescent="0.3">
      <c r="A1196" s="2">
        <v>45180</v>
      </c>
      <c r="B1196" t="s">
        <v>0</v>
      </c>
      <c r="C1196" t="s">
        <v>7</v>
      </c>
      <c r="D1196">
        <v>7</v>
      </c>
      <c r="E1196">
        <v>67.05</v>
      </c>
      <c r="F1196" t="s">
        <v>15</v>
      </c>
      <c r="G1196" t="s">
        <v>16</v>
      </c>
      <c r="H1196">
        <v>0.1</v>
      </c>
      <c r="I1196" t="s">
        <v>21</v>
      </c>
      <c r="J1196">
        <v>422.41500000000002</v>
      </c>
      <c r="K1196" t="s">
        <v>28</v>
      </c>
      <c r="L1196" t="s">
        <v>29</v>
      </c>
      <c r="M1196">
        <v>0</v>
      </c>
      <c r="N1196" t="s">
        <v>1269</v>
      </c>
      <c r="O1196" t="s">
        <v>2769</v>
      </c>
      <c r="P1196">
        <v>36.67</v>
      </c>
      <c r="Q1196">
        <f t="shared" si="18"/>
        <v>60.345000000000006</v>
      </c>
      <c r="R1196">
        <v>385.745</v>
      </c>
      <c r="S1196" s="2">
        <v>45180</v>
      </c>
      <c r="T1196" s="2">
        <v>45187</v>
      </c>
      <c r="U1196" t="s">
        <v>33</v>
      </c>
      <c r="V1196">
        <v>11</v>
      </c>
      <c r="W1196">
        <v>9</v>
      </c>
      <c r="X1196" t="s">
        <v>49</v>
      </c>
      <c r="Y1196">
        <v>2023</v>
      </c>
      <c r="Z1196">
        <v>3</v>
      </c>
      <c r="AA1196">
        <v>37</v>
      </c>
    </row>
    <row r="1197" spans="1:27" x14ac:dyDescent="0.3">
      <c r="A1197" s="2">
        <v>45183</v>
      </c>
      <c r="B1197" t="s">
        <v>2</v>
      </c>
      <c r="C1197" t="s">
        <v>6</v>
      </c>
      <c r="D1197">
        <v>19</v>
      </c>
      <c r="E1197">
        <v>118.15</v>
      </c>
      <c r="F1197" t="s">
        <v>14</v>
      </c>
      <c r="G1197" t="s">
        <v>17</v>
      </c>
      <c r="H1197">
        <v>0.15</v>
      </c>
      <c r="I1197" t="s">
        <v>20</v>
      </c>
      <c r="J1197">
        <v>1908.1224999999999</v>
      </c>
      <c r="K1197" t="s">
        <v>28</v>
      </c>
      <c r="L1197" t="s">
        <v>30</v>
      </c>
      <c r="M1197">
        <v>0</v>
      </c>
      <c r="N1197" t="s">
        <v>1270</v>
      </c>
      <c r="O1197" t="s">
        <v>2770</v>
      </c>
      <c r="P1197">
        <v>12.95</v>
      </c>
      <c r="Q1197">
        <f t="shared" si="18"/>
        <v>100.42749999999999</v>
      </c>
      <c r="R1197">
        <v>1895.1724999999999</v>
      </c>
      <c r="S1197" s="2">
        <v>45183</v>
      </c>
      <c r="T1197" s="2">
        <v>45188</v>
      </c>
      <c r="U1197" t="s">
        <v>35</v>
      </c>
      <c r="V1197">
        <v>14</v>
      </c>
      <c r="W1197">
        <v>9</v>
      </c>
      <c r="X1197" t="s">
        <v>49</v>
      </c>
      <c r="Y1197">
        <v>2023</v>
      </c>
      <c r="Z1197">
        <v>3</v>
      </c>
      <c r="AA1197">
        <v>37</v>
      </c>
    </row>
    <row r="1198" spans="1:27" x14ac:dyDescent="0.3">
      <c r="A1198" s="2">
        <v>45236</v>
      </c>
      <c r="B1198" t="s">
        <v>2</v>
      </c>
      <c r="C1198" t="s">
        <v>11</v>
      </c>
      <c r="D1198">
        <v>16</v>
      </c>
      <c r="E1198">
        <v>114.47</v>
      </c>
      <c r="F1198" t="s">
        <v>12</v>
      </c>
      <c r="G1198" t="s">
        <v>16</v>
      </c>
      <c r="H1198">
        <v>0.15</v>
      </c>
      <c r="I1198" t="s">
        <v>21</v>
      </c>
      <c r="J1198">
        <v>1556.7919999999999</v>
      </c>
      <c r="K1198" t="s">
        <v>24</v>
      </c>
      <c r="L1198" t="s">
        <v>32</v>
      </c>
      <c r="M1198">
        <v>0</v>
      </c>
      <c r="N1198" t="s">
        <v>1271</v>
      </c>
      <c r="O1198" t="s">
        <v>2771</v>
      </c>
      <c r="P1198">
        <v>43.85</v>
      </c>
      <c r="Q1198">
        <f t="shared" si="18"/>
        <v>97.299499999999995</v>
      </c>
      <c r="R1198">
        <v>1512.942</v>
      </c>
      <c r="S1198" s="2">
        <v>45236</v>
      </c>
      <c r="T1198" s="2">
        <v>45241</v>
      </c>
      <c r="U1198" t="s">
        <v>35</v>
      </c>
      <c r="V1198">
        <v>6</v>
      </c>
      <c r="W1198">
        <v>11</v>
      </c>
      <c r="X1198" t="s">
        <v>47</v>
      </c>
      <c r="Y1198">
        <v>2023</v>
      </c>
      <c r="Z1198">
        <v>4</v>
      </c>
      <c r="AA1198">
        <v>45</v>
      </c>
    </row>
    <row r="1199" spans="1:27" x14ac:dyDescent="0.3">
      <c r="A1199" s="2">
        <v>45466</v>
      </c>
      <c r="B1199" t="s">
        <v>2</v>
      </c>
      <c r="C1199" t="s">
        <v>9</v>
      </c>
      <c r="D1199">
        <v>9</v>
      </c>
      <c r="E1199">
        <v>36.21</v>
      </c>
      <c r="F1199" t="s">
        <v>14</v>
      </c>
      <c r="G1199" t="s">
        <v>16</v>
      </c>
      <c r="H1199">
        <v>0.15</v>
      </c>
      <c r="I1199" t="s">
        <v>23</v>
      </c>
      <c r="J1199">
        <v>277.00650000000002</v>
      </c>
      <c r="K1199" t="s">
        <v>26</v>
      </c>
      <c r="L1199" t="s">
        <v>29</v>
      </c>
      <c r="M1199">
        <v>0</v>
      </c>
      <c r="N1199" t="s">
        <v>1272</v>
      </c>
      <c r="O1199" t="s">
        <v>2772</v>
      </c>
      <c r="P1199">
        <v>6.71</v>
      </c>
      <c r="Q1199">
        <f t="shared" si="18"/>
        <v>30.778500000000001</v>
      </c>
      <c r="R1199">
        <v>270.29650000000004</v>
      </c>
      <c r="S1199" s="2">
        <v>45466</v>
      </c>
      <c r="T1199" s="2">
        <v>45473</v>
      </c>
      <c r="U1199" t="s">
        <v>35</v>
      </c>
      <c r="V1199">
        <v>23</v>
      </c>
      <c r="W1199">
        <v>6</v>
      </c>
      <c r="X1199" t="s">
        <v>41</v>
      </c>
      <c r="Y1199">
        <v>2024</v>
      </c>
      <c r="Z1199">
        <v>2</v>
      </c>
      <c r="AA1199">
        <v>25</v>
      </c>
    </row>
    <row r="1200" spans="1:27" x14ac:dyDescent="0.3">
      <c r="A1200" s="2">
        <v>45015</v>
      </c>
      <c r="B1200" t="s">
        <v>4</v>
      </c>
      <c r="C1200" t="s">
        <v>11</v>
      </c>
      <c r="D1200">
        <v>10</v>
      </c>
      <c r="E1200">
        <v>52.58</v>
      </c>
      <c r="F1200" t="s">
        <v>12</v>
      </c>
      <c r="G1200" t="s">
        <v>16</v>
      </c>
      <c r="H1200">
        <v>0.1</v>
      </c>
      <c r="I1200" t="s">
        <v>18</v>
      </c>
      <c r="J1200">
        <v>473.22</v>
      </c>
      <c r="K1200" t="s">
        <v>28</v>
      </c>
      <c r="L1200" t="s">
        <v>31</v>
      </c>
      <c r="M1200">
        <v>0</v>
      </c>
      <c r="N1200" t="s">
        <v>1273</v>
      </c>
      <c r="O1200" t="s">
        <v>2773</v>
      </c>
      <c r="P1200">
        <v>14.01</v>
      </c>
      <c r="Q1200">
        <f t="shared" si="18"/>
        <v>47.322000000000003</v>
      </c>
      <c r="R1200">
        <v>459.21000000000004</v>
      </c>
      <c r="S1200" s="2">
        <v>45015</v>
      </c>
      <c r="T1200" s="2">
        <v>45025</v>
      </c>
      <c r="U1200" t="s">
        <v>37</v>
      </c>
      <c r="V1200">
        <v>30</v>
      </c>
      <c r="W1200">
        <v>3</v>
      </c>
      <c r="X1200" t="s">
        <v>44</v>
      </c>
      <c r="Y1200">
        <v>2023</v>
      </c>
      <c r="Z1200">
        <v>1</v>
      </c>
      <c r="AA1200">
        <v>13</v>
      </c>
    </row>
    <row r="1201" spans="1:27" x14ac:dyDescent="0.3">
      <c r="A1201" s="2">
        <v>45570</v>
      </c>
      <c r="B1201" t="s">
        <v>0</v>
      </c>
      <c r="C1201" t="s">
        <v>6</v>
      </c>
      <c r="D1201">
        <v>6</v>
      </c>
      <c r="E1201">
        <v>272.26</v>
      </c>
      <c r="F1201" t="s">
        <v>13</v>
      </c>
      <c r="G1201" t="s">
        <v>17</v>
      </c>
      <c r="H1201">
        <v>0.1</v>
      </c>
      <c r="I1201" t="s">
        <v>21</v>
      </c>
      <c r="J1201">
        <v>1470.204</v>
      </c>
      <c r="K1201" t="s">
        <v>27</v>
      </c>
      <c r="L1201" t="s">
        <v>30</v>
      </c>
      <c r="M1201">
        <v>0</v>
      </c>
      <c r="N1201" t="s">
        <v>1274</v>
      </c>
      <c r="O1201" t="s">
        <v>2774</v>
      </c>
      <c r="P1201">
        <v>43.67</v>
      </c>
      <c r="Q1201">
        <f t="shared" si="18"/>
        <v>245.03399999999999</v>
      </c>
      <c r="R1201">
        <v>1426.5339999999999</v>
      </c>
      <c r="S1201" s="2">
        <v>45570</v>
      </c>
      <c r="T1201" s="2">
        <v>45580</v>
      </c>
      <c r="U1201" t="s">
        <v>33</v>
      </c>
      <c r="V1201">
        <v>5</v>
      </c>
      <c r="W1201">
        <v>10</v>
      </c>
      <c r="X1201" t="s">
        <v>43</v>
      </c>
      <c r="Y1201">
        <v>2024</v>
      </c>
      <c r="Z1201">
        <v>4</v>
      </c>
      <c r="AA1201">
        <v>40</v>
      </c>
    </row>
    <row r="1202" spans="1:27" x14ac:dyDescent="0.3">
      <c r="A1202" s="2">
        <v>45004</v>
      </c>
      <c r="B1202" t="s">
        <v>3</v>
      </c>
      <c r="C1202" t="s">
        <v>8</v>
      </c>
      <c r="D1202">
        <v>10</v>
      </c>
      <c r="E1202">
        <v>124.97</v>
      </c>
      <c r="F1202" t="s">
        <v>15</v>
      </c>
      <c r="G1202" t="s">
        <v>17</v>
      </c>
      <c r="H1202">
        <v>0.15</v>
      </c>
      <c r="I1202" t="s">
        <v>18</v>
      </c>
      <c r="J1202">
        <v>1062.2449999999999</v>
      </c>
      <c r="K1202" t="s">
        <v>25</v>
      </c>
      <c r="L1202" t="s">
        <v>31</v>
      </c>
      <c r="M1202">
        <v>1</v>
      </c>
      <c r="N1202" t="s">
        <v>1275</v>
      </c>
      <c r="O1202" t="s">
        <v>2775</v>
      </c>
      <c r="P1202">
        <v>40.229999999999997</v>
      </c>
      <c r="Q1202">
        <f t="shared" si="18"/>
        <v>106.22449999999999</v>
      </c>
      <c r="R1202">
        <v>1022.0149999999999</v>
      </c>
      <c r="S1202" s="2">
        <v>45004</v>
      </c>
      <c r="T1202" s="2">
        <v>45014</v>
      </c>
      <c r="U1202" t="s">
        <v>36</v>
      </c>
      <c r="V1202">
        <v>19</v>
      </c>
      <c r="W1202">
        <v>3</v>
      </c>
      <c r="X1202" t="s">
        <v>44</v>
      </c>
      <c r="Y1202">
        <v>2023</v>
      </c>
      <c r="Z1202">
        <v>1</v>
      </c>
      <c r="AA1202">
        <v>11</v>
      </c>
    </row>
    <row r="1203" spans="1:27" x14ac:dyDescent="0.3">
      <c r="A1203" s="2">
        <v>45733</v>
      </c>
      <c r="B1203" t="s">
        <v>2</v>
      </c>
      <c r="C1203" t="s">
        <v>6</v>
      </c>
      <c r="D1203">
        <v>9</v>
      </c>
      <c r="E1203">
        <v>228.62</v>
      </c>
      <c r="F1203" t="s">
        <v>14</v>
      </c>
      <c r="G1203" t="s">
        <v>17</v>
      </c>
      <c r="H1203">
        <v>0.05</v>
      </c>
      <c r="I1203" t="s">
        <v>18</v>
      </c>
      <c r="J1203">
        <v>1954.701</v>
      </c>
      <c r="K1203" t="s">
        <v>25</v>
      </c>
      <c r="L1203" t="s">
        <v>30</v>
      </c>
      <c r="M1203">
        <v>0</v>
      </c>
      <c r="N1203" t="s">
        <v>1276</v>
      </c>
      <c r="O1203" t="s">
        <v>2776</v>
      </c>
      <c r="P1203">
        <v>31.43</v>
      </c>
      <c r="Q1203">
        <f t="shared" si="18"/>
        <v>217.18899999999999</v>
      </c>
      <c r="R1203">
        <v>1923.271</v>
      </c>
      <c r="S1203" s="2">
        <v>45733</v>
      </c>
      <c r="T1203" s="2">
        <v>45737</v>
      </c>
      <c r="U1203" t="s">
        <v>35</v>
      </c>
      <c r="V1203">
        <v>17</v>
      </c>
      <c r="W1203">
        <v>3</v>
      </c>
      <c r="X1203" t="s">
        <v>44</v>
      </c>
      <c r="Y1203">
        <v>2025</v>
      </c>
      <c r="Z1203">
        <v>1</v>
      </c>
      <c r="AA1203">
        <v>12</v>
      </c>
    </row>
    <row r="1204" spans="1:27" x14ac:dyDescent="0.3">
      <c r="A1204" s="2">
        <v>45644</v>
      </c>
      <c r="B1204" t="s">
        <v>3</v>
      </c>
      <c r="C1204" t="s">
        <v>5</v>
      </c>
      <c r="D1204">
        <v>20</v>
      </c>
      <c r="E1204">
        <v>282.91000000000003</v>
      </c>
      <c r="F1204" t="s">
        <v>13</v>
      </c>
      <c r="G1204" t="s">
        <v>16</v>
      </c>
      <c r="H1204">
        <v>0.15</v>
      </c>
      <c r="I1204" t="s">
        <v>20</v>
      </c>
      <c r="J1204">
        <v>4809.47</v>
      </c>
      <c r="K1204" t="s">
        <v>27</v>
      </c>
      <c r="L1204" t="s">
        <v>29</v>
      </c>
      <c r="M1204">
        <v>0</v>
      </c>
      <c r="N1204" t="s">
        <v>1277</v>
      </c>
      <c r="O1204" t="s">
        <v>2777</v>
      </c>
      <c r="P1204">
        <v>8.19</v>
      </c>
      <c r="Q1204">
        <f t="shared" si="18"/>
        <v>240.4735</v>
      </c>
      <c r="R1204">
        <v>4801.2800000000007</v>
      </c>
      <c r="S1204" s="2">
        <v>45644</v>
      </c>
      <c r="T1204" s="2">
        <v>45654</v>
      </c>
      <c r="U1204" t="s">
        <v>36</v>
      </c>
      <c r="V1204">
        <v>18</v>
      </c>
      <c r="W1204">
        <v>12</v>
      </c>
      <c r="X1204" t="s">
        <v>39</v>
      </c>
      <c r="Y1204">
        <v>2024</v>
      </c>
      <c r="Z1204">
        <v>4</v>
      </c>
      <c r="AA1204">
        <v>51</v>
      </c>
    </row>
    <row r="1205" spans="1:27" x14ac:dyDescent="0.3">
      <c r="A1205" s="2">
        <v>45663</v>
      </c>
      <c r="B1205" t="s">
        <v>4</v>
      </c>
      <c r="C1205" t="s">
        <v>10</v>
      </c>
      <c r="D1205">
        <v>17</v>
      </c>
      <c r="E1205">
        <v>129.62</v>
      </c>
      <c r="F1205" t="s">
        <v>15</v>
      </c>
      <c r="G1205" t="s">
        <v>17</v>
      </c>
      <c r="H1205">
        <v>0.15</v>
      </c>
      <c r="I1205" t="s">
        <v>18</v>
      </c>
      <c r="J1205">
        <v>1873.009</v>
      </c>
      <c r="K1205" t="s">
        <v>24</v>
      </c>
      <c r="L1205" t="s">
        <v>29</v>
      </c>
      <c r="M1205">
        <v>0</v>
      </c>
      <c r="N1205" t="s">
        <v>1278</v>
      </c>
      <c r="O1205" t="s">
        <v>2778</v>
      </c>
      <c r="P1205">
        <v>24.28</v>
      </c>
      <c r="Q1205">
        <f t="shared" si="18"/>
        <v>110.17700000000001</v>
      </c>
      <c r="R1205">
        <v>1848.729</v>
      </c>
      <c r="S1205" s="2">
        <v>45663</v>
      </c>
      <c r="T1205" s="2">
        <v>45665</v>
      </c>
      <c r="U1205" t="s">
        <v>37</v>
      </c>
      <c r="V1205">
        <v>6</v>
      </c>
      <c r="W1205">
        <v>1</v>
      </c>
      <c r="X1205" t="s">
        <v>42</v>
      </c>
      <c r="Y1205">
        <v>2025</v>
      </c>
      <c r="Z1205">
        <v>1</v>
      </c>
      <c r="AA1205">
        <v>2</v>
      </c>
    </row>
    <row r="1206" spans="1:27" x14ac:dyDescent="0.3">
      <c r="A1206" s="2">
        <v>45671</v>
      </c>
      <c r="B1206" t="s">
        <v>3</v>
      </c>
      <c r="C1206" t="s">
        <v>9</v>
      </c>
      <c r="D1206">
        <v>6</v>
      </c>
      <c r="E1206">
        <v>162.35</v>
      </c>
      <c r="F1206" t="s">
        <v>12</v>
      </c>
      <c r="G1206" t="s">
        <v>16</v>
      </c>
      <c r="H1206">
        <v>0.05</v>
      </c>
      <c r="I1206" t="s">
        <v>18</v>
      </c>
      <c r="J1206">
        <v>925.39499999999987</v>
      </c>
      <c r="K1206" t="s">
        <v>26</v>
      </c>
      <c r="L1206" t="s">
        <v>30</v>
      </c>
      <c r="M1206">
        <v>1</v>
      </c>
      <c r="N1206" t="s">
        <v>1279</v>
      </c>
      <c r="O1206" t="s">
        <v>2779</v>
      </c>
      <c r="P1206">
        <v>19.18</v>
      </c>
      <c r="Q1206">
        <f t="shared" si="18"/>
        <v>154.23249999999999</v>
      </c>
      <c r="R1206">
        <v>906.21499999999992</v>
      </c>
      <c r="S1206" s="2">
        <v>45671</v>
      </c>
      <c r="T1206" s="2">
        <v>45677</v>
      </c>
      <c r="U1206" t="s">
        <v>36</v>
      </c>
      <c r="V1206">
        <v>14</v>
      </c>
      <c r="W1206">
        <v>1</v>
      </c>
      <c r="X1206" t="s">
        <v>42</v>
      </c>
      <c r="Y1206">
        <v>2025</v>
      </c>
      <c r="Z1206">
        <v>1</v>
      </c>
      <c r="AA1206">
        <v>3</v>
      </c>
    </row>
    <row r="1207" spans="1:27" x14ac:dyDescent="0.3">
      <c r="A1207" s="2">
        <v>44952</v>
      </c>
      <c r="B1207" t="s">
        <v>1</v>
      </c>
      <c r="C1207" t="s">
        <v>11</v>
      </c>
      <c r="D1207">
        <v>14</v>
      </c>
      <c r="E1207">
        <v>209.82</v>
      </c>
      <c r="F1207" t="s">
        <v>12</v>
      </c>
      <c r="G1207" t="s">
        <v>16</v>
      </c>
      <c r="H1207">
        <v>0</v>
      </c>
      <c r="I1207" t="s">
        <v>18</v>
      </c>
      <c r="J1207">
        <v>2937.48</v>
      </c>
      <c r="K1207" t="s">
        <v>28</v>
      </c>
      <c r="L1207" t="s">
        <v>30</v>
      </c>
      <c r="M1207">
        <v>0</v>
      </c>
      <c r="N1207" t="s">
        <v>1280</v>
      </c>
      <c r="O1207" t="s">
        <v>2780</v>
      </c>
      <c r="P1207">
        <v>36.11</v>
      </c>
      <c r="Q1207">
        <f t="shared" si="18"/>
        <v>209.82</v>
      </c>
      <c r="R1207">
        <v>2901.37</v>
      </c>
      <c r="S1207" s="2">
        <v>44952</v>
      </c>
      <c r="T1207" s="2">
        <v>44956</v>
      </c>
      <c r="U1207" t="s">
        <v>34</v>
      </c>
      <c r="V1207">
        <v>26</v>
      </c>
      <c r="W1207">
        <v>1</v>
      </c>
      <c r="X1207" t="s">
        <v>42</v>
      </c>
      <c r="Y1207">
        <v>2023</v>
      </c>
      <c r="Z1207">
        <v>1</v>
      </c>
      <c r="AA1207">
        <v>4</v>
      </c>
    </row>
    <row r="1208" spans="1:27" x14ac:dyDescent="0.3">
      <c r="A1208" s="2">
        <v>45508</v>
      </c>
      <c r="B1208" t="s">
        <v>2</v>
      </c>
      <c r="C1208" t="s">
        <v>5</v>
      </c>
      <c r="D1208">
        <v>16</v>
      </c>
      <c r="E1208">
        <v>293.44</v>
      </c>
      <c r="F1208" t="s">
        <v>15</v>
      </c>
      <c r="G1208" t="s">
        <v>16</v>
      </c>
      <c r="H1208">
        <v>0.05</v>
      </c>
      <c r="I1208" t="s">
        <v>22</v>
      </c>
      <c r="J1208">
        <v>4460.2879999999996</v>
      </c>
      <c r="K1208" t="s">
        <v>25</v>
      </c>
      <c r="L1208" t="s">
        <v>30</v>
      </c>
      <c r="M1208">
        <v>0</v>
      </c>
      <c r="N1208" t="s">
        <v>1281</v>
      </c>
      <c r="O1208" t="s">
        <v>2781</v>
      </c>
      <c r="P1208">
        <v>42.56</v>
      </c>
      <c r="Q1208">
        <f t="shared" si="18"/>
        <v>278.76799999999997</v>
      </c>
      <c r="R1208">
        <v>4417.7279999999992</v>
      </c>
      <c r="S1208" s="2">
        <v>45508</v>
      </c>
      <c r="T1208" s="2">
        <v>45518</v>
      </c>
      <c r="U1208" t="s">
        <v>35</v>
      </c>
      <c r="V1208">
        <v>4</v>
      </c>
      <c r="W1208">
        <v>8</v>
      </c>
      <c r="X1208" t="s">
        <v>48</v>
      </c>
      <c r="Y1208">
        <v>2024</v>
      </c>
      <c r="Z1208">
        <v>3</v>
      </c>
      <c r="AA1208">
        <v>31</v>
      </c>
    </row>
    <row r="1209" spans="1:27" x14ac:dyDescent="0.3">
      <c r="A1209" s="2">
        <v>45335</v>
      </c>
      <c r="B1209" t="s">
        <v>2</v>
      </c>
      <c r="C1209" t="s">
        <v>6</v>
      </c>
      <c r="D1209">
        <v>11</v>
      </c>
      <c r="E1209">
        <v>185.52</v>
      </c>
      <c r="F1209" t="s">
        <v>15</v>
      </c>
      <c r="G1209" t="s">
        <v>16</v>
      </c>
      <c r="H1209">
        <v>0.15</v>
      </c>
      <c r="I1209" t="s">
        <v>22</v>
      </c>
      <c r="J1209">
        <v>1734.6120000000001</v>
      </c>
      <c r="K1209" t="s">
        <v>26</v>
      </c>
      <c r="L1209" t="s">
        <v>31</v>
      </c>
      <c r="M1209">
        <v>0</v>
      </c>
      <c r="N1209" t="s">
        <v>1282</v>
      </c>
      <c r="O1209" t="s">
        <v>2782</v>
      </c>
      <c r="P1209">
        <v>38.53</v>
      </c>
      <c r="Q1209">
        <f t="shared" si="18"/>
        <v>157.69200000000001</v>
      </c>
      <c r="R1209">
        <v>1696.0820000000001</v>
      </c>
      <c r="S1209" s="2">
        <v>45335</v>
      </c>
      <c r="T1209" s="2">
        <v>45338</v>
      </c>
      <c r="U1209" t="s">
        <v>35</v>
      </c>
      <c r="V1209">
        <v>13</v>
      </c>
      <c r="W1209">
        <v>2</v>
      </c>
      <c r="X1209" t="s">
        <v>38</v>
      </c>
      <c r="Y1209">
        <v>2024</v>
      </c>
      <c r="Z1209">
        <v>1</v>
      </c>
      <c r="AA1209">
        <v>7</v>
      </c>
    </row>
    <row r="1210" spans="1:27" x14ac:dyDescent="0.3">
      <c r="A1210" s="2">
        <v>44968</v>
      </c>
      <c r="B1210" t="s">
        <v>3</v>
      </c>
      <c r="C1210" t="s">
        <v>7</v>
      </c>
      <c r="D1210">
        <v>18</v>
      </c>
      <c r="E1210">
        <v>268.38</v>
      </c>
      <c r="F1210" t="s">
        <v>15</v>
      </c>
      <c r="G1210" t="s">
        <v>16</v>
      </c>
      <c r="H1210">
        <v>0.15</v>
      </c>
      <c r="I1210" t="s">
        <v>19</v>
      </c>
      <c r="J1210">
        <v>4106.2139999999999</v>
      </c>
      <c r="K1210" t="s">
        <v>28</v>
      </c>
      <c r="L1210" t="s">
        <v>29</v>
      </c>
      <c r="M1210">
        <v>0</v>
      </c>
      <c r="N1210" t="s">
        <v>1283</v>
      </c>
      <c r="O1210" t="s">
        <v>2783</v>
      </c>
      <c r="P1210">
        <v>48.38</v>
      </c>
      <c r="Q1210">
        <f t="shared" si="18"/>
        <v>228.12299999999999</v>
      </c>
      <c r="R1210">
        <v>4057.8339999999998</v>
      </c>
      <c r="S1210" s="2">
        <v>44968</v>
      </c>
      <c r="T1210" s="2">
        <v>44971</v>
      </c>
      <c r="U1210" t="s">
        <v>36</v>
      </c>
      <c r="V1210">
        <v>11</v>
      </c>
      <c r="W1210">
        <v>2</v>
      </c>
      <c r="X1210" t="s">
        <v>38</v>
      </c>
      <c r="Y1210">
        <v>2023</v>
      </c>
      <c r="Z1210">
        <v>1</v>
      </c>
      <c r="AA1210">
        <v>6</v>
      </c>
    </row>
    <row r="1211" spans="1:27" x14ac:dyDescent="0.3">
      <c r="A1211" s="2">
        <v>45460</v>
      </c>
      <c r="B1211" t="s">
        <v>0</v>
      </c>
      <c r="C1211" t="s">
        <v>11</v>
      </c>
      <c r="D1211">
        <v>18</v>
      </c>
      <c r="E1211">
        <v>547.04999999999995</v>
      </c>
      <c r="F1211" t="s">
        <v>14</v>
      </c>
      <c r="G1211" t="s">
        <v>16</v>
      </c>
      <c r="H1211">
        <v>0.1</v>
      </c>
      <c r="I1211" t="s">
        <v>21</v>
      </c>
      <c r="J1211">
        <v>8862.2099999999991</v>
      </c>
      <c r="K1211" t="s">
        <v>28</v>
      </c>
      <c r="L1211" t="s">
        <v>29</v>
      </c>
      <c r="M1211">
        <v>0</v>
      </c>
      <c r="N1211" t="s">
        <v>1284</v>
      </c>
      <c r="O1211" t="s">
        <v>2784</v>
      </c>
      <c r="P1211">
        <v>10.99</v>
      </c>
      <c r="Q1211">
        <f t="shared" si="18"/>
        <v>492.34499999999997</v>
      </c>
      <c r="R1211">
        <v>8851.2199999999993</v>
      </c>
      <c r="S1211" s="2">
        <v>45460</v>
      </c>
      <c r="T1211" s="2">
        <v>45465</v>
      </c>
      <c r="U1211" t="s">
        <v>33</v>
      </c>
      <c r="V1211">
        <v>17</v>
      </c>
      <c r="W1211">
        <v>6</v>
      </c>
      <c r="X1211" t="s">
        <v>41</v>
      </c>
      <c r="Y1211">
        <v>2024</v>
      </c>
      <c r="Z1211">
        <v>2</v>
      </c>
      <c r="AA1211">
        <v>25</v>
      </c>
    </row>
    <row r="1212" spans="1:27" x14ac:dyDescent="0.3">
      <c r="A1212" s="2">
        <v>45449</v>
      </c>
      <c r="B1212" t="s">
        <v>1</v>
      </c>
      <c r="C1212" t="s">
        <v>5</v>
      </c>
      <c r="D1212">
        <v>1</v>
      </c>
      <c r="E1212">
        <v>354.21</v>
      </c>
      <c r="F1212" t="s">
        <v>13</v>
      </c>
      <c r="G1212" t="s">
        <v>16</v>
      </c>
      <c r="H1212">
        <v>0.15</v>
      </c>
      <c r="I1212" t="s">
        <v>21</v>
      </c>
      <c r="J1212">
        <v>301.07850000000002</v>
      </c>
      <c r="K1212" t="s">
        <v>24</v>
      </c>
      <c r="L1212" t="s">
        <v>32</v>
      </c>
      <c r="M1212">
        <v>0</v>
      </c>
      <c r="N1212" t="s">
        <v>1285</v>
      </c>
      <c r="O1212" t="s">
        <v>2785</v>
      </c>
      <c r="P1212">
        <v>26.16</v>
      </c>
      <c r="Q1212">
        <f t="shared" si="18"/>
        <v>301.07850000000002</v>
      </c>
      <c r="R1212">
        <v>274.91849999999999</v>
      </c>
      <c r="S1212" s="2">
        <v>45449</v>
      </c>
      <c r="T1212" s="2">
        <v>45455</v>
      </c>
      <c r="U1212" t="s">
        <v>34</v>
      </c>
      <c r="V1212">
        <v>6</v>
      </c>
      <c r="W1212">
        <v>6</v>
      </c>
      <c r="X1212" t="s">
        <v>41</v>
      </c>
      <c r="Y1212">
        <v>2024</v>
      </c>
      <c r="Z1212">
        <v>2</v>
      </c>
      <c r="AA1212">
        <v>23</v>
      </c>
    </row>
    <row r="1213" spans="1:27" x14ac:dyDescent="0.3">
      <c r="A1213" s="2">
        <v>45256</v>
      </c>
      <c r="B1213" t="s">
        <v>1</v>
      </c>
      <c r="C1213" t="s">
        <v>8</v>
      </c>
      <c r="D1213">
        <v>18</v>
      </c>
      <c r="E1213">
        <v>250.93</v>
      </c>
      <c r="F1213" t="s">
        <v>14</v>
      </c>
      <c r="G1213" t="s">
        <v>16</v>
      </c>
      <c r="H1213">
        <v>0.05</v>
      </c>
      <c r="I1213" t="s">
        <v>23</v>
      </c>
      <c r="J1213">
        <v>4290.9029999999993</v>
      </c>
      <c r="K1213" t="s">
        <v>25</v>
      </c>
      <c r="L1213" t="s">
        <v>32</v>
      </c>
      <c r="M1213">
        <v>0</v>
      </c>
      <c r="N1213" t="s">
        <v>1286</v>
      </c>
      <c r="O1213" t="s">
        <v>2786</v>
      </c>
      <c r="P1213">
        <v>47.67</v>
      </c>
      <c r="Q1213">
        <f t="shared" si="18"/>
        <v>238.38349999999997</v>
      </c>
      <c r="R1213">
        <v>4243.2329999999993</v>
      </c>
      <c r="S1213" s="2">
        <v>45256</v>
      </c>
      <c r="T1213" s="2">
        <v>45262</v>
      </c>
      <c r="U1213" t="s">
        <v>34</v>
      </c>
      <c r="V1213">
        <v>26</v>
      </c>
      <c r="W1213">
        <v>11</v>
      </c>
      <c r="X1213" t="s">
        <v>47</v>
      </c>
      <c r="Y1213">
        <v>2023</v>
      </c>
      <c r="Z1213">
        <v>4</v>
      </c>
      <c r="AA1213">
        <v>47</v>
      </c>
    </row>
    <row r="1214" spans="1:27" x14ac:dyDescent="0.3">
      <c r="A1214" s="2">
        <v>45389</v>
      </c>
      <c r="B1214" t="s">
        <v>4</v>
      </c>
      <c r="C1214" t="s">
        <v>11</v>
      </c>
      <c r="D1214">
        <v>18</v>
      </c>
      <c r="E1214">
        <v>587.25</v>
      </c>
      <c r="F1214" t="s">
        <v>14</v>
      </c>
      <c r="G1214" t="s">
        <v>16</v>
      </c>
      <c r="H1214">
        <v>0.15</v>
      </c>
      <c r="I1214" t="s">
        <v>21</v>
      </c>
      <c r="J1214">
        <v>8984.9249999999993</v>
      </c>
      <c r="K1214" t="s">
        <v>24</v>
      </c>
      <c r="L1214" t="s">
        <v>32</v>
      </c>
      <c r="M1214">
        <v>0</v>
      </c>
      <c r="N1214" t="s">
        <v>1287</v>
      </c>
      <c r="O1214" t="s">
        <v>2787</v>
      </c>
      <c r="P1214">
        <v>42.15</v>
      </c>
      <c r="Q1214">
        <f t="shared" si="18"/>
        <v>499.16249999999997</v>
      </c>
      <c r="R1214">
        <v>8942.7749999999996</v>
      </c>
      <c r="S1214" s="2">
        <v>45389</v>
      </c>
      <c r="T1214" s="2">
        <v>45391</v>
      </c>
      <c r="U1214" t="s">
        <v>37</v>
      </c>
      <c r="V1214">
        <v>7</v>
      </c>
      <c r="W1214">
        <v>4</v>
      </c>
      <c r="X1214" t="s">
        <v>45</v>
      </c>
      <c r="Y1214">
        <v>2024</v>
      </c>
      <c r="Z1214">
        <v>2</v>
      </c>
      <c r="AA1214">
        <v>14</v>
      </c>
    </row>
    <row r="1215" spans="1:27" x14ac:dyDescent="0.3">
      <c r="A1215" s="2">
        <v>44960</v>
      </c>
      <c r="B1215" t="s">
        <v>4</v>
      </c>
      <c r="C1215" t="s">
        <v>7</v>
      </c>
      <c r="D1215">
        <v>2</v>
      </c>
      <c r="E1215">
        <v>438.06</v>
      </c>
      <c r="F1215" t="s">
        <v>12</v>
      </c>
      <c r="G1215" t="s">
        <v>17</v>
      </c>
      <c r="H1215">
        <v>0</v>
      </c>
      <c r="I1215" t="s">
        <v>20</v>
      </c>
      <c r="J1215">
        <v>876.12</v>
      </c>
      <c r="K1215" t="s">
        <v>24</v>
      </c>
      <c r="L1215" t="s">
        <v>29</v>
      </c>
      <c r="M1215">
        <v>1</v>
      </c>
      <c r="N1215" t="s">
        <v>1288</v>
      </c>
      <c r="O1215" t="s">
        <v>2788</v>
      </c>
      <c r="P1215">
        <v>12.9</v>
      </c>
      <c r="Q1215">
        <f t="shared" si="18"/>
        <v>438.06</v>
      </c>
      <c r="R1215">
        <v>863.22</v>
      </c>
      <c r="S1215" s="2">
        <v>44960</v>
      </c>
      <c r="T1215" s="2">
        <v>44966</v>
      </c>
      <c r="U1215" t="s">
        <v>37</v>
      </c>
      <c r="V1215">
        <v>3</v>
      </c>
      <c r="W1215">
        <v>2</v>
      </c>
      <c r="X1215" t="s">
        <v>38</v>
      </c>
      <c r="Y1215">
        <v>2023</v>
      </c>
      <c r="Z1215">
        <v>1</v>
      </c>
      <c r="AA1215">
        <v>5</v>
      </c>
    </row>
    <row r="1216" spans="1:27" x14ac:dyDescent="0.3">
      <c r="A1216" s="2">
        <v>45621</v>
      </c>
      <c r="B1216" t="s">
        <v>0</v>
      </c>
      <c r="C1216" t="s">
        <v>8</v>
      </c>
      <c r="D1216">
        <v>14</v>
      </c>
      <c r="E1216">
        <v>6.1</v>
      </c>
      <c r="F1216" t="s">
        <v>14</v>
      </c>
      <c r="G1216" t="s">
        <v>16</v>
      </c>
      <c r="H1216">
        <v>0.15</v>
      </c>
      <c r="I1216" t="s">
        <v>21</v>
      </c>
      <c r="J1216">
        <v>72.589999999999989</v>
      </c>
      <c r="K1216" t="s">
        <v>24</v>
      </c>
      <c r="L1216" t="s">
        <v>29</v>
      </c>
      <c r="M1216">
        <v>1</v>
      </c>
      <c r="N1216" t="s">
        <v>1289</v>
      </c>
      <c r="O1216" t="s">
        <v>2789</v>
      </c>
      <c r="P1216">
        <v>10.18</v>
      </c>
      <c r="Q1216">
        <f t="shared" si="18"/>
        <v>5.1849999999999996</v>
      </c>
      <c r="R1216">
        <v>62.409999999999989</v>
      </c>
      <c r="S1216" s="2">
        <v>45621</v>
      </c>
      <c r="T1216" s="2">
        <v>45626</v>
      </c>
      <c r="U1216" t="s">
        <v>33</v>
      </c>
      <c r="V1216">
        <v>25</v>
      </c>
      <c r="W1216">
        <v>11</v>
      </c>
      <c r="X1216" t="s">
        <v>47</v>
      </c>
      <c r="Y1216">
        <v>2024</v>
      </c>
      <c r="Z1216">
        <v>4</v>
      </c>
      <c r="AA1216">
        <v>48</v>
      </c>
    </row>
    <row r="1217" spans="1:27" x14ac:dyDescent="0.3">
      <c r="A1217" s="2">
        <v>45473</v>
      </c>
      <c r="B1217" t="s">
        <v>2</v>
      </c>
      <c r="C1217" t="s">
        <v>5</v>
      </c>
      <c r="D1217">
        <v>2</v>
      </c>
      <c r="E1217">
        <v>80.14</v>
      </c>
      <c r="F1217" t="s">
        <v>15</v>
      </c>
      <c r="G1217" t="s">
        <v>16</v>
      </c>
      <c r="H1217">
        <v>0</v>
      </c>
      <c r="I1217" t="s">
        <v>21</v>
      </c>
      <c r="J1217">
        <v>160.28</v>
      </c>
      <c r="K1217" t="s">
        <v>24</v>
      </c>
      <c r="L1217" t="s">
        <v>29</v>
      </c>
      <c r="M1217">
        <v>1</v>
      </c>
      <c r="N1217" t="s">
        <v>1290</v>
      </c>
      <c r="O1217" t="s">
        <v>2790</v>
      </c>
      <c r="P1217">
        <v>13.41</v>
      </c>
      <c r="Q1217">
        <f t="shared" si="18"/>
        <v>80.14</v>
      </c>
      <c r="R1217">
        <v>146.87</v>
      </c>
      <c r="S1217" s="2">
        <v>45473</v>
      </c>
      <c r="T1217" s="2">
        <v>45476</v>
      </c>
      <c r="U1217" t="s">
        <v>35</v>
      </c>
      <c r="V1217">
        <v>30</v>
      </c>
      <c r="W1217">
        <v>6</v>
      </c>
      <c r="X1217" t="s">
        <v>41</v>
      </c>
      <c r="Y1217">
        <v>2024</v>
      </c>
      <c r="Z1217">
        <v>2</v>
      </c>
      <c r="AA1217">
        <v>26</v>
      </c>
    </row>
    <row r="1218" spans="1:27" x14ac:dyDescent="0.3">
      <c r="A1218" s="2">
        <v>45140</v>
      </c>
      <c r="B1218" t="s">
        <v>1</v>
      </c>
      <c r="C1218" t="s">
        <v>5</v>
      </c>
      <c r="D1218">
        <v>11</v>
      </c>
      <c r="E1218">
        <v>66.97</v>
      </c>
      <c r="F1218" t="s">
        <v>13</v>
      </c>
      <c r="G1218" t="s">
        <v>17</v>
      </c>
      <c r="H1218">
        <v>0.15</v>
      </c>
      <c r="I1218" t="s">
        <v>23</v>
      </c>
      <c r="J1218">
        <v>626.16949999999997</v>
      </c>
      <c r="K1218" t="s">
        <v>25</v>
      </c>
      <c r="L1218" t="s">
        <v>29</v>
      </c>
      <c r="M1218">
        <v>1</v>
      </c>
      <c r="N1218" t="s">
        <v>1291</v>
      </c>
      <c r="O1218" t="s">
        <v>2791</v>
      </c>
      <c r="P1218">
        <v>20.350000000000001</v>
      </c>
      <c r="Q1218">
        <f t="shared" si="18"/>
        <v>56.924499999999995</v>
      </c>
      <c r="R1218">
        <v>605.81949999999995</v>
      </c>
      <c r="S1218" s="2">
        <v>45140</v>
      </c>
      <c r="T1218" s="2">
        <v>45149</v>
      </c>
      <c r="U1218" t="s">
        <v>34</v>
      </c>
      <c r="V1218">
        <v>2</v>
      </c>
      <c r="W1218">
        <v>8</v>
      </c>
      <c r="X1218" t="s">
        <v>48</v>
      </c>
      <c r="Y1218">
        <v>2023</v>
      </c>
      <c r="Z1218">
        <v>3</v>
      </c>
      <c r="AA1218">
        <v>31</v>
      </c>
    </row>
    <row r="1219" spans="1:27" x14ac:dyDescent="0.3">
      <c r="A1219" s="2">
        <v>45344</v>
      </c>
      <c r="B1219" t="s">
        <v>1</v>
      </c>
      <c r="C1219" t="s">
        <v>8</v>
      </c>
      <c r="D1219">
        <v>6</v>
      </c>
      <c r="E1219">
        <v>181.34</v>
      </c>
      <c r="F1219" t="s">
        <v>13</v>
      </c>
      <c r="G1219" t="s">
        <v>16</v>
      </c>
      <c r="H1219">
        <v>0</v>
      </c>
      <c r="I1219" t="s">
        <v>19</v>
      </c>
      <c r="J1219">
        <v>1088.04</v>
      </c>
      <c r="K1219" t="s">
        <v>28</v>
      </c>
      <c r="L1219" t="s">
        <v>29</v>
      </c>
      <c r="M1219">
        <v>0</v>
      </c>
      <c r="N1219" t="s">
        <v>1292</v>
      </c>
      <c r="O1219" t="s">
        <v>2792</v>
      </c>
      <c r="P1219">
        <v>27.65</v>
      </c>
      <c r="Q1219">
        <f t="shared" ref="Q1219:Q1282" si="19">J1219/D1219</f>
        <v>181.34</v>
      </c>
      <c r="R1219">
        <v>1060.3899999999999</v>
      </c>
      <c r="S1219" s="2">
        <v>45344</v>
      </c>
      <c r="T1219" s="2">
        <v>45349</v>
      </c>
      <c r="U1219" t="s">
        <v>34</v>
      </c>
      <c r="V1219">
        <v>22</v>
      </c>
      <c r="W1219">
        <v>2</v>
      </c>
      <c r="X1219" t="s">
        <v>38</v>
      </c>
      <c r="Y1219">
        <v>2024</v>
      </c>
      <c r="Z1219">
        <v>1</v>
      </c>
      <c r="AA1219">
        <v>8</v>
      </c>
    </row>
    <row r="1220" spans="1:27" x14ac:dyDescent="0.3">
      <c r="A1220" s="2">
        <v>45625</v>
      </c>
      <c r="B1220" t="s">
        <v>2</v>
      </c>
      <c r="C1220" t="s">
        <v>9</v>
      </c>
      <c r="D1220">
        <v>15</v>
      </c>
      <c r="E1220">
        <v>570</v>
      </c>
      <c r="F1220" t="s">
        <v>15</v>
      </c>
      <c r="G1220" t="s">
        <v>16</v>
      </c>
      <c r="H1220">
        <v>0.05</v>
      </c>
      <c r="I1220" t="s">
        <v>20</v>
      </c>
      <c r="J1220">
        <v>8122.5</v>
      </c>
      <c r="K1220" t="s">
        <v>25</v>
      </c>
      <c r="L1220" t="s">
        <v>32</v>
      </c>
      <c r="M1220">
        <v>0</v>
      </c>
      <c r="N1220" t="s">
        <v>1293</v>
      </c>
      <c r="O1220" t="s">
        <v>2793</v>
      </c>
      <c r="P1220">
        <v>7.62</v>
      </c>
      <c r="Q1220">
        <f t="shared" si="19"/>
        <v>541.5</v>
      </c>
      <c r="R1220">
        <v>8114.88</v>
      </c>
      <c r="S1220" s="2">
        <v>45625</v>
      </c>
      <c r="T1220" s="2">
        <v>45635</v>
      </c>
      <c r="U1220" t="s">
        <v>35</v>
      </c>
      <c r="V1220">
        <v>29</v>
      </c>
      <c r="W1220">
        <v>11</v>
      </c>
      <c r="X1220" t="s">
        <v>47</v>
      </c>
      <c r="Y1220">
        <v>2024</v>
      </c>
      <c r="Z1220">
        <v>4</v>
      </c>
      <c r="AA1220">
        <v>48</v>
      </c>
    </row>
    <row r="1221" spans="1:27" x14ac:dyDescent="0.3">
      <c r="A1221" s="2">
        <v>45128</v>
      </c>
      <c r="B1221" t="s">
        <v>2</v>
      </c>
      <c r="C1221" t="s">
        <v>9</v>
      </c>
      <c r="D1221">
        <v>9</v>
      </c>
      <c r="E1221">
        <v>587.79</v>
      </c>
      <c r="F1221" t="s">
        <v>15</v>
      </c>
      <c r="G1221" t="s">
        <v>16</v>
      </c>
      <c r="H1221">
        <v>0.15</v>
      </c>
      <c r="I1221" t="s">
        <v>23</v>
      </c>
      <c r="J1221">
        <v>4496.5934999999999</v>
      </c>
      <c r="K1221" t="s">
        <v>24</v>
      </c>
      <c r="L1221" t="s">
        <v>32</v>
      </c>
      <c r="M1221">
        <v>0</v>
      </c>
      <c r="N1221" t="s">
        <v>1294</v>
      </c>
      <c r="O1221" t="s">
        <v>2794</v>
      </c>
      <c r="P1221">
        <v>24.64</v>
      </c>
      <c r="Q1221">
        <f t="shared" si="19"/>
        <v>499.62149999999997</v>
      </c>
      <c r="R1221">
        <v>4471.9534999999996</v>
      </c>
      <c r="S1221" s="2">
        <v>45128</v>
      </c>
      <c r="T1221" s="2">
        <v>45138</v>
      </c>
      <c r="U1221" t="s">
        <v>35</v>
      </c>
      <c r="V1221">
        <v>21</v>
      </c>
      <c r="W1221">
        <v>7</v>
      </c>
      <c r="X1221" t="s">
        <v>46</v>
      </c>
      <c r="Y1221">
        <v>2023</v>
      </c>
      <c r="Z1221">
        <v>3</v>
      </c>
      <c r="AA1221">
        <v>29</v>
      </c>
    </row>
    <row r="1222" spans="1:27" x14ac:dyDescent="0.3">
      <c r="A1222" s="2">
        <v>45030</v>
      </c>
      <c r="B1222" t="s">
        <v>3</v>
      </c>
      <c r="C1222" t="s">
        <v>6</v>
      </c>
      <c r="D1222">
        <v>6</v>
      </c>
      <c r="E1222">
        <v>196.31</v>
      </c>
      <c r="F1222" t="s">
        <v>14</v>
      </c>
      <c r="G1222" t="s">
        <v>17</v>
      </c>
      <c r="H1222">
        <v>0.1</v>
      </c>
      <c r="I1222" t="s">
        <v>21</v>
      </c>
      <c r="J1222">
        <v>1060.0740000000001</v>
      </c>
      <c r="K1222" t="s">
        <v>24</v>
      </c>
      <c r="L1222" t="s">
        <v>31</v>
      </c>
      <c r="M1222">
        <v>0</v>
      </c>
      <c r="N1222" t="s">
        <v>1295</v>
      </c>
      <c r="O1222" t="s">
        <v>2795</v>
      </c>
      <c r="P1222">
        <v>38.65</v>
      </c>
      <c r="Q1222">
        <f t="shared" si="19"/>
        <v>176.679</v>
      </c>
      <c r="R1222">
        <v>1021.4240000000001</v>
      </c>
      <c r="S1222" s="2">
        <v>45030</v>
      </c>
      <c r="T1222" s="2">
        <v>45033</v>
      </c>
      <c r="U1222" t="s">
        <v>36</v>
      </c>
      <c r="V1222">
        <v>14</v>
      </c>
      <c r="W1222">
        <v>4</v>
      </c>
      <c r="X1222" t="s">
        <v>45</v>
      </c>
      <c r="Y1222">
        <v>2023</v>
      </c>
      <c r="Z1222">
        <v>2</v>
      </c>
      <c r="AA1222">
        <v>15</v>
      </c>
    </row>
    <row r="1223" spans="1:27" x14ac:dyDescent="0.3">
      <c r="A1223" s="2">
        <v>44958</v>
      </c>
      <c r="B1223" t="s">
        <v>2</v>
      </c>
      <c r="C1223" t="s">
        <v>6</v>
      </c>
      <c r="D1223">
        <v>8</v>
      </c>
      <c r="E1223">
        <v>430.06</v>
      </c>
      <c r="F1223" t="s">
        <v>12</v>
      </c>
      <c r="G1223" t="s">
        <v>16</v>
      </c>
      <c r="H1223">
        <v>0.05</v>
      </c>
      <c r="I1223" t="s">
        <v>23</v>
      </c>
      <c r="J1223">
        <v>3268.4560000000001</v>
      </c>
      <c r="K1223" t="s">
        <v>27</v>
      </c>
      <c r="L1223" t="s">
        <v>30</v>
      </c>
      <c r="M1223">
        <v>0</v>
      </c>
      <c r="N1223" t="s">
        <v>1296</v>
      </c>
      <c r="O1223" t="s">
        <v>2796</v>
      </c>
      <c r="P1223">
        <v>38.450000000000003</v>
      </c>
      <c r="Q1223">
        <f t="shared" si="19"/>
        <v>408.55700000000002</v>
      </c>
      <c r="R1223">
        <v>3230.0060000000003</v>
      </c>
      <c r="S1223" s="2">
        <v>44958</v>
      </c>
      <c r="T1223" s="2">
        <v>44962</v>
      </c>
      <c r="U1223" t="s">
        <v>35</v>
      </c>
      <c r="V1223">
        <v>1</v>
      </c>
      <c r="W1223">
        <v>2</v>
      </c>
      <c r="X1223" t="s">
        <v>38</v>
      </c>
      <c r="Y1223">
        <v>2023</v>
      </c>
      <c r="Z1223">
        <v>1</v>
      </c>
      <c r="AA1223">
        <v>5</v>
      </c>
    </row>
    <row r="1224" spans="1:27" x14ac:dyDescent="0.3">
      <c r="A1224" s="2">
        <v>45473</v>
      </c>
      <c r="B1224" t="s">
        <v>0</v>
      </c>
      <c r="C1224" t="s">
        <v>9</v>
      </c>
      <c r="D1224">
        <v>14</v>
      </c>
      <c r="E1224">
        <v>429.72</v>
      </c>
      <c r="F1224" t="s">
        <v>13</v>
      </c>
      <c r="G1224" t="s">
        <v>17</v>
      </c>
      <c r="H1224">
        <v>0.1</v>
      </c>
      <c r="I1224" t="s">
        <v>18</v>
      </c>
      <c r="J1224">
        <v>5414.4719999999998</v>
      </c>
      <c r="K1224" t="s">
        <v>28</v>
      </c>
      <c r="L1224" t="s">
        <v>30</v>
      </c>
      <c r="M1224">
        <v>0</v>
      </c>
      <c r="N1224" t="s">
        <v>1297</v>
      </c>
      <c r="O1224" t="s">
        <v>2797</v>
      </c>
      <c r="P1224">
        <v>45.78</v>
      </c>
      <c r="Q1224">
        <f t="shared" si="19"/>
        <v>386.74799999999999</v>
      </c>
      <c r="R1224">
        <v>5368.692</v>
      </c>
      <c r="S1224" s="2">
        <v>45473</v>
      </c>
      <c r="T1224" s="2">
        <v>45478</v>
      </c>
      <c r="U1224" t="s">
        <v>33</v>
      </c>
      <c r="V1224">
        <v>30</v>
      </c>
      <c r="W1224">
        <v>6</v>
      </c>
      <c r="X1224" t="s">
        <v>41</v>
      </c>
      <c r="Y1224">
        <v>2024</v>
      </c>
      <c r="Z1224">
        <v>2</v>
      </c>
      <c r="AA1224">
        <v>26</v>
      </c>
    </row>
    <row r="1225" spans="1:27" x14ac:dyDescent="0.3">
      <c r="A1225" s="2">
        <v>45217</v>
      </c>
      <c r="B1225" t="s">
        <v>3</v>
      </c>
      <c r="C1225" t="s">
        <v>6</v>
      </c>
      <c r="D1225">
        <v>13</v>
      </c>
      <c r="E1225">
        <v>127.34</v>
      </c>
      <c r="F1225" t="s">
        <v>15</v>
      </c>
      <c r="G1225" t="s">
        <v>16</v>
      </c>
      <c r="H1225">
        <v>0</v>
      </c>
      <c r="I1225" t="s">
        <v>19</v>
      </c>
      <c r="J1225">
        <v>1655.42</v>
      </c>
      <c r="K1225" t="s">
        <v>26</v>
      </c>
      <c r="L1225" t="s">
        <v>31</v>
      </c>
      <c r="M1225">
        <v>0</v>
      </c>
      <c r="N1225" t="s">
        <v>1298</v>
      </c>
      <c r="O1225" t="s">
        <v>2798</v>
      </c>
      <c r="P1225">
        <v>6.15</v>
      </c>
      <c r="Q1225">
        <f t="shared" si="19"/>
        <v>127.34</v>
      </c>
      <c r="R1225">
        <v>1649.27</v>
      </c>
      <c r="S1225" s="2">
        <v>45217</v>
      </c>
      <c r="T1225" s="2">
        <v>45220</v>
      </c>
      <c r="U1225" t="s">
        <v>36</v>
      </c>
      <c r="V1225">
        <v>18</v>
      </c>
      <c r="W1225">
        <v>10</v>
      </c>
      <c r="X1225" t="s">
        <v>43</v>
      </c>
      <c r="Y1225">
        <v>2023</v>
      </c>
      <c r="Z1225">
        <v>4</v>
      </c>
      <c r="AA1225">
        <v>42</v>
      </c>
    </row>
    <row r="1226" spans="1:27" x14ac:dyDescent="0.3">
      <c r="A1226" s="2">
        <v>45477</v>
      </c>
      <c r="B1226" t="s">
        <v>0</v>
      </c>
      <c r="C1226" t="s">
        <v>9</v>
      </c>
      <c r="D1226">
        <v>6</v>
      </c>
      <c r="E1226">
        <v>421.97</v>
      </c>
      <c r="F1226" t="s">
        <v>12</v>
      </c>
      <c r="G1226" t="s">
        <v>16</v>
      </c>
      <c r="H1226">
        <v>0.05</v>
      </c>
      <c r="I1226" t="s">
        <v>23</v>
      </c>
      <c r="J1226">
        <v>2405.2289999999998</v>
      </c>
      <c r="K1226" t="s">
        <v>28</v>
      </c>
      <c r="L1226" t="s">
        <v>31</v>
      </c>
      <c r="M1226">
        <v>0</v>
      </c>
      <c r="N1226" t="s">
        <v>1299</v>
      </c>
      <c r="O1226" t="s">
        <v>2799</v>
      </c>
      <c r="P1226">
        <v>41.31</v>
      </c>
      <c r="Q1226">
        <f t="shared" si="19"/>
        <v>400.87149999999997</v>
      </c>
      <c r="R1226">
        <v>2363.9189999999999</v>
      </c>
      <c r="S1226" s="2">
        <v>45477</v>
      </c>
      <c r="T1226" s="2">
        <v>45486</v>
      </c>
      <c r="U1226" t="s">
        <v>33</v>
      </c>
      <c r="V1226">
        <v>4</v>
      </c>
      <c r="W1226">
        <v>7</v>
      </c>
      <c r="X1226" t="s">
        <v>46</v>
      </c>
      <c r="Y1226">
        <v>2024</v>
      </c>
      <c r="Z1226">
        <v>3</v>
      </c>
      <c r="AA1226">
        <v>27</v>
      </c>
    </row>
    <row r="1227" spans="1:27" x14ac:dyDescent="0.3">
      <c r="A1227" s="2">
        <v>45477</v>
      </c>
      <c r="B1227" t="s">
        <v>0</v>
      </c>
      <c r="C1227" t="s">
        <v>10</v>
      </c>
      <c r="D1227">
        <v>5</v>
      </c>
      <c r="E1227">
        <v>225.69</v>
      </c>
      <c r="F1227" t="s">
        <v>13</v>
      </c>
      <c r="G1227" t="s">
        <v>16</v>
      </c>
      <c r="H1227">
        <v>0.15</v>
      </c>
      <c r="I1227" t="s">
        <v>21</v>
      </c>
      <c r="J1227">
        <v>959.1825</v>
      </c>
      <c r="K1227" t="s">
        <v>25</v>
      </c>
      <c r="L1227" t="s">
        <v>31</v>
      </c>
      <c r="M1227">
        <v>0</v>
      </c>
      <c r="N1227" t="s">
        <v>1300</v>
      </c>
      <c r="O1227" t="s">
        <v>2800</v>
      </c>
      <c r="P1227">
        <v>47.6</v>
      </c>
      <c r="Q1227">
        <f t="shared" si="19"/>
        <v>191.8365</v>
      </c>
      <c r="R1227">
        <v>911.58249999999998</v>
      </c>
      <c r="S1227" s="2">
        <v>45477</v>
      </c>
      <c r="T1227" s="2">
        <v>45485</v>
      </c>
      <c r="U1227" t="s">
        <v>33</v>
      </c>
      <c r="V1227">
        <v>4</v>
      </c>
      <c r="W1227">
        <v>7</v>
      </c>
      <c r="X1227" t="s">
        <v>46</v>
      </c>
      <c r="Y1227">
        <v>2024</v>
      </c>
      <c r="Z1227">
        <v>3</v>
      </c>
      <c r="AA1227">
        <v>27</v>
      </c>
    </row>
    <row r="1228" spans="1:27" x14ac:dyDescent="0.3">
      <c r="A1228" s="2">
        <v>45134</v>
      </c>
      <c r="B1228" t="s">
        <v>2</v>
      </c>
      <c r="C1228" t="s">
        <v>9</v>
      </c>
      <c r="D1228">
        <v>10</v>
      </c>
      <c r="E1228">
        <v>322.11</v>
      </c>
      <c r="F1228" t="s">
        <v>13</v>
      </c>
      <c r="G1228" t="s">
        <v>17</v>
      </c>
      <c r="H1228">
        <v>0.15</v>
      </c>
      <c r="I1228" t="s">
        <v>22</v>
      </c>
      <c r="J1228">
        <v>2737.9349999999999</v>
      </c>
      <c r="K1228" t="s">
        <v>27</v>
      </c>
      <c r="L1228" t="s">
        <v>31</v>
      </c>
      <c r="M1228">
        <v>0</v>
      </c>
      <c r="N1228" t="s">
        <v>1301</v>
      </c>
      <c r="O1228" t="s">
        <v>2801</v>
      </c>
      <c r="P1228">
        <v>28.72</v>
      </c>
      <c r="Q1228">
        <f t="shared" si="19"/>
        <v>273.79349999999999</v>
      </c>
      <c r="R1228">
        <v>2709.2150000000001</v>
      </c>
      <c r="S1228" s="2">
        <v>45134</v>
      </c>
      <c r="T1228" s="2">
        <v>45140</v>
      </c>
      <c r="U1228" t="s">
        <v>35</v>
      </c>
      <c r="V1228">
        <v>27</v>
      </c>
      <c r="W1228">
        <v>7</v>
      </c>
      <c r="X1228" t="s">
        <v>46</v>
      </c>
      <c r="Y1228">
        <v>2023</v>
      </c>
      <c r="Z1228">
        <v>3</v>
      </c>
      <c r="AA1228">
        <v>30</v>
      </c>
    </row>
    <row r="1229" spans="1:27" x14ac:dyDescent="0.3">
      <c r="A1229" s="2">
        <v>45717</v>
      </c>
      <c r="B1229" t="s">
        <v>4</v>
      </c>
      <c r="C1229" t="s">
        <v>7</v>
      </c>
      <c r="D1229">
        <v>4</v>
      </c>
      <c r="E1229">
        <v>209.3</v>
      </c>
      <c r="F1229" t="s">
        <v>12</v>
      </c>
      <c r="G1229" t="s">
        <v>17</v>
      </c>
      <c r="H1229">
        <v>0.05</v>
      </c>
      <c r="I1229" t="s">
        <v>19</v>
      </c>
      <c r="J1229">
        <v>795.34</v>
      </c>
      <c r="K1229" t="s">
        <v>25</v>
      </c>
      <c r="L1229" t="s">
        <v>32</v>
      </c>
      <c r="M1229">
        <v>0</v>
      </c>
      <c r="N1229" t="s">
        <v>1302</v>
      </c>
      <c r="O1229" t="s">
        <v>2802</v>
      </c>
      <c r="P1229">
        <v>6.89</v>
      </c>
      <c r="Q1229">
        <f t="shared" si="19"/>
        <v>198.83500000000001</v>
      </c>
      <c r="R1229">
        <v>788.45</v>
      </c>
      <c r="S1229" s="2">
        <v>45717</v>
      </c>
      <c r="T1229" s="2">
        <v>45722</v>
      </c>
      <c r="U1229" t="s">
        <v>37</v>
      </c>
      <c r="V1229">
        <v>1</v>
      </c>
      <c r="W1229">
        <v>3</v>
      </c>
      <c r="X1229" t="s">
        <v>44</v>
      </c>
      <c r="Y1229">
        <v>2025</v>
      </c>
      <c r="Z1229">
        <v>1</v>
      </c>
      <c r="AA1229">
        <v>9</v>
      </c>
    </row>
    <row r="1230" spans="1:27" x14ac:dyDescent="0.3">
      <c r="A1230" s="2">
        <v>44980</v>
      </c>
      <c r="B1230" t="s">
        <v>3</v>
      </c>
      <c r="C1230" t="s">
        <v>7</v>
      </c>
      <c r="D1230">
        <v>16</v>
      </c>
      <c r="E1230">
        <v>326.16000000000003</v>
      </c>
      <c r="F1230" t="s">
        <v>14</v>
      </c>
      <c r="G1230" t="s">
        <v>16</v>
      </c>
      <c r="H1230">
        <v>0.1</v>
      </c>
      <c r="I1230" t="s">
        <v>20</v>
      </c>
      <c r="J1230">
        <v>4696.7040000000006</v>
      </c>
      <c r="K1230" t="s">
        <v>26</v>
      </c>
      <c r="L1230" t="s">
        <v>32</v>
      </c>
      <c r="M1230">
        <v>0</v>
      </c>
      <c r="N1230" t="s">
        <v>1303</v>
      </c>
      <c r="O1230" t="s">
        <v>2803</v>
      </c>
      <c r="P1230">
        <v>44.3</v>
      </c>
      <c r="Q1230">
        <f t="shared" si="19"/>
        <v>293.54400000000004</v>
      </c>
      <c r="R1230">
        <v>4652.4040000000005</v>
      </c>
      <c r="S1230" s="2">
        <v>44980</v>
      </c>
      <c r="T1230" s="2">
        <v>44982</v>
      </c>
      <c r="U1230" t="s">
        <v>36</v>
      </c>
      <c r="V1230">
        <v>23</v>
      </c>
      <c r="W1230">
        <v>2</v>
      </c>
      <c r="X1230" t="s">
        <v>38</v>
      </c>
      <c r="Y1230">
        <v>2023</v>
      </c>
      <c r="Z1230">
        <v>1</v>
      </c>
      <c r="AA1230">
        <v>8</v>
      </c>
    </row>
    <row r="1231" spans="1:27" x14ac:dyDescent="0.3">
      <c r="A1231" s="2">
        <v>44937</v>
      </c>
      <c r="B1231" t="s">
        <v>0</v>
      </c>
      <c r="C1231" t="s">
        <v>9</v>
      </c>
      <c r="D1231">
        <v>13</v>
      </c>
      <c r="E1231">
        <v>515.41999999999996</v>
      </c>
      <c r="F1231" t="s">
        <v>15</v>
      </c>
      <c r="G1231" t="s">
        <v>17</v>
      </c>
      <c r="H1231">
        <v>0</v>
      </c>
      <c r="I1231" t="s">
        <v>23</v>
      </c>
      <c r="J1231">
        <v>6700.4599999999991</v>
      </c>
      <c r="K1231" t="s">
        <v>24</v>
      </c>
      <c r="L1231" t="s">
        <v>29</v>
      </c>
      <c r="M1231">
        <v>0</v>
      </c>
      <c r="N1231" t="s">
        <v>1304</v>
      </c>
      <c r="O1231" t="s">
        <v>2804</v>
      </c>
      <c r="P1231">
        <v>43.37</v>
      </c>
      <c r="Q1231">
        <f t="shared" si="19"/>
        <v>515.41999999999996</v>
      </c>
      <c r="R1231">
        <v>6657.0899999999992</v>
      </c>
      <c r="S1231" s="2">
        <v>44937</v>
      </c>
      <c r="T1231" s="2">
        <v>44946</v>
      </c>
      <c r="U1231" t="s">
        <v>33</v>
      </c>
      <c r="V1231">
        <v>11</v>
      </c>
      <c r="W1231">
        <v>1</v>
      </c>
      <c r="X1231" t="s">
        <v>42</v>
      </c>
      <c r="Y1231">
        <v>2023</v>
      </c>
      <c r="Z1231">
        <v>1</v>
      </c>
      <c r="AA1231">
        <v>2</v>
      </c>
    </row>
    <row r="1232" spans="1:27" x14ac:dyDescent="0.3">
      <c r="A1232" s="2">
        <v>45398</v>
      </c>
      <c r="B1232" t="s">
        <v>4</v>
      </c>
      <c r="C1232" t="s">
        <v>10</v>
      </c>
      <c r="D1232">
        <v>7</v>
      </c>
      <c r="E1232">
        <v>129.83000000000001</v>
      </c>
      <c r="F1232" t="s">
        <v>13</v>
      </c>
      <c r="G1232" t="s">
        <v>16</v>
      </c>
      <c r="H1232">
        <v>0</v>
      </c>
      <c r="I1232" t="s">
        <v>21</v>
      </c>
      <c r="J1232">
        <v>908.81000000000006</v>
      </c>
      <c r="K1232" t="s">
        <v>25</v>
      </c>
      <c r="L1232" t="s">
        <v>31</v>
      </c>
      <c r="M1232">
        <v>0</v>
      </c>
      <c r="N1232" t="s">
        <v>1305</v>
      </c>
      <c r="O1232" t="s">
        <v>2805</v>
      </c>
      <c r="P1232">
        <v>13.12</v>
      </c>
      <c r="Q1232">
        <f t="shared" si="19"/>
        <v>129.83000000000001</v>
      </c>
      <c r="R1232">
        <v>895.69</v>
      </c>
      <c r="S1232" s="2">
        <v>45398</v>
      </c>
      <c r="T1232" s="2">
        <v>45402</v>
      </c>
      <c r="U1232" t="s">
        <v>37</v>
      </c>
      <c r="V1232">
        <v>16</v>
      </c>
      <c r="W1232">
        <v>4</v>
      </c>
      <c r="X1232" t="s">
        <v>45</v>
      </c>
      <c r="Y1232">
        <v>2024</v>
      </c>
      <c r="Z1232">
        <v>2</v>
      </c>
      <c r="AA1232">
        <v>16</v>
      </c>
    </row>
    <row r="1233" spans="1:27" x14ac:dyDescent="0.3">
      <c r="A1233" s="2">
        <v>45360</v>
      </c>
      <c r="B1233" t="s">
        <v>3</v>
      </c>
      <c r="C1233" t="s">
        <v>9</v>
      </c>
      <c r="D1233">
        <v>17</v>
      </c>
      <c r="E1233">
        <v>376.15</v>
      </c>
      <c r="F1233" t="s">
        <v>14</v>
      </c>
      <c r="G1233" t="s">
        <v>17</v>
      </c>
      <c r="H1233">
        <v>0.05</v>
      </c>
      <c r="I1233" t="s">
        <v>22</v>
      </c>
      <c r="J1233">
        <v>6074.8224999999993</v>
      </c>
      <c r="K1233" t="s">
        <v>25</v>
      </c>
      <c r="L1233" t="s">
        <v>31</v>
      </c>
      <c r="M1233">
        <v>1</v>
      </c>
      <c r="N1233" t="s">
        <v>1306</v>
      </c>
      <c r="O1233" t="s">
        <v>2806</v>
      </c>
      <c r="P1233">
        <v>31.96</v>
      </c>
      <c r="Q1233">
        <f t="shared" si="19"/>
        <v>357.34249999999997</v>
      </c>
      <c r="R1233">
        <v>6042.8624999999993</v>
      </c>
      <c r="S1233" s="2">
        <v>45360</v>
      </c>
      <c r="T1233" s="2">
        <v>45363</v>
      </c>
      <c r="U1233" t="s">
        <v>36</v>
      </c>
      <c r="V1233">
        <v>9</v>
      </c>
      <c r="W1233">
        <v>3</v>
      </c>
      <c r="X1233" t="s">
        <v>44</v>
      </c>
      <c r="Y1233">
        <v>2024</v>
      </c>
      <c r="Z1233">
        <v>1</v>
      </c>
      <c r="AA1233">
        <v>10</v>
      </c>
    </row>
    <row r="1234" spans="1:27" x14ac:dyDescent="0.3">
      <c r="A1234" s="2">
        <v>45572</v>
      </c>
      <c r="B1234" t="s">
        <v>1</v>
      </c>
      <c r="C1234" t="s">
        <v>8</v>
      </c>
      <c r="D1234">
        <v>8</v>
      </c>
      <c r="E1234">
        <v>385.46</v>
      </c>
      <c r="F1234" t="s">
        <v>13</v>
      </c>
      <c r="G1234" t="s">
        <v>16</v>
      </c>
      <c r="H1234">
        <v>0</v>
      </c>
      <c r="I1234" t="s">
        <v>23</v>
      </c>
      <c r="J1234">
        <v>3083.68</v>
      </c>
      <c r="K1234" t="s">
        <v>28</v>
      </c>
      <c r="L1234" t="s">
        <v>30</v>
      </c>
      <c r="M1234">
        <v>0</v>
      </c>
      <c r="N1234" t="s">
        <v>1307</v>
      </c>
      <c r="O1234" t="s">
        <v>2807</v>
      </c>
      <c r="P1234">
        <v>8.89</v>
      </c>
      <c r="Q1234">
        <f t="shared" si="19"/>
        <v>385.46</v>
      </c>
      <c r="R1234">
        <v>3074.79</v>
      </c>
      <c r="S1234" s="2">
        <v>45572</v>
      </c>
      <c r="T1234" s="2">
        <v>45576</v>
      </c>
      <c r="U1234" t="s">
        <v>34</v>
      </c>
      <c r="V1234">
        <v>7</v>
      </c>
      <c r="W1234">
        <v>10</v>
      </c>
      <c r="X1234" t="s">
        <v>43</v>
      </c>
      <c r="Y1234">
        <v>2024</v>
      </c>
      <c r="Z1234">
        <v>4</v>
      </c>
      <c r="AA1234">
        <v>41</v>
      </c>
    </row>
    <row r="1235" spans="1:27" x14ac:dyDescent="0.3">
      <c r="A1235" s="2">
        <v>45205</v>
      </c>
      <c r="B1235" t="s">
        <v>4</v>
      </c>
      <c r="C1235" t="s">
        <v>11</v>
      </c>
      <c r="D1235">
        <v>2</v>
      </c>
      <c r="E1235">
        <v>474.13</v>
      </c>
      <c r="F1235" t="s">
        <v>15</v>
      </c>
      <c r="G1235" t="s">
        <v>16</v>
      </c>
      <c r="H1235">
        <v>0</v>
      </c>
      <c r="I1235" t="s">
        <v>21</v>
      </c>
      <c r="J1235">
        <v>948.26</v>
      </c>
      <c r="K1235" t="s">
        <v>25</v>
      </c>
      <c r="L1235" t="s">
        <v>29</v>
      </c>
      <c r="M1235">
        <v>1</v>
      </c>
      <c r="N1235" t="s">
        <v>1308</v>
      </c>
      <c r="O1235" t="s">
        <v>2808</v>
      </c>
      <c r="P1235">
        <v>14.41</v>
      </c>
      <c r="Q1235">
        <f t="shared" si="19"/>
        <v>474.13</v>
      </c>
      <c r="R1235">
        <v>933.85</v>
      </c>
      <c r="S1235" s="2">
        <v>45205</v>
      </c>
      <c r="T1235" s="2">
        <v>45214</v>
      </c>
      <c r="U1235" t="s">
        <v>37</v>
      </c>
      <c r="V1235">
        <v>6</v>
      </c>
      <c r="W1235">
        <v>10</v>
      </c>
      <c r="X1235" t="s">
        <v>43</v>
      </c>
      <c r="Y1235">
        <v>2023</v>
      </c>
      <c r="Z1235">
        <v>4</v>
      </c>
      <c r="AA1235">
        <v>40</v>
      </c>
    </row>
    <row r="1236" spans="1:27" x14ac:dyDescent="0.3">
      <c r="A1236" s="2">
        <v>45024</v>
      </c>
      <c r="B1236" t="s">
        <v>4</v>
      </c>
      <c r="C1236" t="s">
        <v>9</v>
      </c>
      <c r="D1236">
        <v>15</v>
      </c>
      <c r="E1236">
        <v>506.17</v>
      </c>
      <c r="F1236" t="s">
        <v>12</v>
      </c>
      <c r="G1236" t="s">
        <v>16</v>
      </c>
      <c r="H1236">
        <v>0.05</v>
      </c>
      <c r="I1236" t="s">
        <v>19</v>
      </c>
      <c r="J1236">
        <v>7212.9224999999997</v>
      </c>
      <c r="K1236" t="s">
        <v>24</v>
      </c>
      <c r="L1236" t="s">
        <v>32</v>
      </c>
      <c r="M1236">
        <v>0</v>
      </c>
      <c r="N1236" t="s">
        <v>1309</v>
      </c>
      <c r="O1236" t="s">
        <v>2809</v>
      </c>
      <c r="P1236">
        <v>41.73</v>
      </c>
      <c r="Q1236">
        <f t="shared" si="19"/>
        <v>480.86149999999998</v>
      </c>
      <c r="R1236">
        <v>7171.1925000000001</v>
      </c>
      <c r="S1236" s="2">
        <v>45024</v>
      </c>
      <c r="T1236" s="2">
        <v>45029</v>
      </c>
      <c r="U1236" t="s">
        <v>37</v>
      </c>
      <c r="V1236">
        <v>8</v>
      </c>
      <c r="W1236">
        <v>4</v>
      </c>
      <c r="X1236" t="s">
        <v>45</v>
      </c>
      <c r="Y1236">
        <v>2023</v>
      </c>
      <c r="Z1236">
        <v>2</v>
      </c>
      <c r="AA1236">
        <v>14</v>
      </c>
    </row>
    <row r="1237" spans="1:27" x14ac:dyDescent="0.3">
      <c r="A1237" s="2">
        <v>45342</v>
      </c>
      <c r="B1237" t="s">
        <v>1</v>
      </c>
      <c r="C1237" t="s">
        <v>6</v>
      </c>
      <c r="D1237">
        <v>1</v>
      </c>
      <c r="E1237">
        <v>67.38</v>
      </c>
      <c r="F1237" t="s">
        <v>15</v>
      </c>
      <c r="G1237" t="s">
        <v>17</v>
      </c>
      <c r="H1237">
        <v>0.15</v>
      </c>
      <c r="I1237" t="s">
        <v>19</v>
      </c>
      <c r="J1237">
        <v>57.273000000000003</v>
      </c>
      <c r="K1237" t="s">
        <v>26</v>
      </c>
      <c r="L1237" t="s">
        <v>31</v>
      </c>
      <c r="M1237">
        <v>0</v>
      </c>
      <c r="N1237" t="s">
        <v>1310</v>
      </c>
      <c r="O1237" t="s">
        <v>2810</v>
      </c>
      <c r="P1237">
        <v>6.14</v>
      </c>
      <c r="Q1237">
        <f t="shared" si="19"/>
        <v>57.273000000000003</v>
      </c>
      <c r="R1237">
        <v>51.133000000000003</v>
      </c>
      <c r="S1237" s="2">
        <v>45342</v>
      </c>
      <c r="T1237" s="2">
        <v>45349</v>
      </c>
      <c r="U1237" t="s">
        <v>34</v>
      </c>
      <c r="V1237">
        <v>20</v>
      </c>
      <c r="W1237">
        <v>2</v>
      </c>
      <c r="X1237" t="s">
        <v>38</v>
      </c>
      <c r="Y1237">
        <v>2024</v>
      </c>
      <c r="Z1237">
        <v>1</v>
      </c>
      <c r="AA1237">
        <v>8</v>
      </c>
    </row>
    <row r="1238" spans="1:27" x14ac:dyDescent="0.3">
      <c r="A1238" s="2">
        <v>44956</v>
      </c>
      <c r="B1238" t="s">
        <v>4</v>
      </c>
      <c r="C1238" t="s">
        <v>8</v>
      </c>
      <c r="D1238">
        <v>15</v>
      </c>
      <c r="E1238">
        <v>274.3</v>
      </c>
      <c r="F1238" t="s">
        <v>12</v>
      </c>
      <c r="G1238" t="s">
        <v>17</v>
      </c>
      <c r="H1238">
        <v>0.15</v>
      </c>
      <c r="I1238" t="s">
        <v>20</v>
      </c>
      <c r="J1238">
        <v>3497.3249999999998</v>
      </c>
      <c r="K1238" t="s">
        <v>26</v>
      </c>
      <c r="L1238" t="s">
        <v>32</v>
      </c>
      <c r="M1238">
        <v>0</v>
      </c>
      <c r="N1238" t="s">
        <v>1311</v>
      </c>
      <c r="O1238" t="s">
        <v>2811</v>
      </c>
      <c r="P1238">
        <v>21.56</v>
      </c>
      <c r="Q1238">
        <f t="shared" si="19"/>
        <v>233.155</v>
      </c>
      <c r="R1238">
        <v>3475.7649999999999</v>
      </c>
      <c r="S1238" s="2">
        <v>44956</v>
      </c>
      <c r="T1238" s="2">
        <v>44965</v>
      </c>
      <c r="U1238" t="s">
        <v>37</v>
      </c>
      <c r="V1238">
        <v>30</v>
      </c>
      <c r="W1238">
        <v>1</v>
      </c>
      <c r="X1238" t="s">
        <v>42</v>
      </c>
      <c r="Y1238">
        <v>2023</v>
      </c>
      <c r="Z1238">
        <v>1</v>
      </c>
      <c r="AA1238">
        <v>5</v>
      </c>
    </row>
    <row r="1239" spans="1:27" x14ac:dyDescent="0.3">
      <c r="A1239" s="2">
        <v>45058</v>
      </c>
      <c r="B1239" t="s">
        <v>1</v>
      </c>
      <c r="C1239" t="s">
        <v>9</v>
      </c>
      <c r="D1239">
        <v>2</v>
      </c>
      <c r="E1239">
        <v>334.48</v>
      </c>
      <c r="F1239" t="s">
        <v>12</v>
      </c>
      <c r="G1239" t="s">
        <v>16</v>
      </c>
      <c r="H1239">
        <v>0</v>
      </c>
      <c r="I1239" t="s">
        <v>19</v>
      </c>
      <c r="J1239">
        <v>668.96</v>
      </c>
      <c r="K1239" t="s">
        <v>27</v>
      </c>
      <c r="L1239" t="s">
        <v>32</v>
      </c>
      <c r="M1239">
        <v>0</v>
      </c>
      <c r="N1239" t="s">
        <v>1312</v>
      </c>
      <c r="O1239" t="s">
        <v>2812</v>
      </c>
      <c r="P1239">
        <v>31.53</v>
      </c>
      <c r="Q1239">
        <f t="shared" si="19"/>
        <v>334.48</v>
      </c>
      <c r="R1239">
        <v>637.43000000000006</v>
      </c>
      <c r="S1239" s="2">
        <v>45058</v>
      </c>
      <c r="T1239" s="2">
        <v>45066</v>
      </c>
      <c r="U1239" t="s">
        <v>34</v>
      </c>
      <c r="V1239">
        <v>12</v>
      </c>
      <c r="W1239">
        <v>5</v>
      </c>
      <c r="X1239" t="s">
        <v>40</v>
      </c>
      <c r="Y1239">
        <v>2023</v>
      </c>
      <c r="Z1239">
        <v>2</v>
      </c>
      <c r="AA1239">
        <v>19</v>
      </c>
    </row>
    <row r="1240" spans="1:27" x14ac:dyDescent="0.3">
      <c r="A1240" s="2">
        <v>45299</v>
      </c>
      <c r="B1240" t="s">
        <v>1</v>
      </c>
      <c r="C1240" t="s">
        <v>8</v>
      </c>
      <c r="D1240">
        <v>7</v>
      </c>
      <c r="E1240">
        <v>562.6</v>
      </c>
      <c r="F1240" t="s">
        <v>13</v>
      </c>
      <c r="G1240" t="s">
        <v>17</v>
      </c>
      <c r="H1240">
        <v>0.15</v>
      </c>
      <c r="I1240" t="s">
        <v>18</v>
      </c>
      <c r="J1240">
        <v>3347.47</v>
      </c>
      <c r="K1240" t="s">
        <v>24</v>
      </c>
      <c r="L1240" t="s">
        <v>31</v>
      </c>
      <c r="M1240">
        <v>0</v>
      </c>
      <c r="N1240" t="s">
        <v>1313</v>
      </c>
      <c r="O1240" t="s">
        <v>2813</v>
      </c>
      <c r="P1240">
        <v>19.95</v>
      </c>
      <c r="Q1240">
        <f t="shared" si="19"/>
        <v>478.21</v>
      </c>
      <c r="R1240">
        <v>3327.52</v>
      </c>
      <c r="S1240" s="2">
        <v>45299</v>
      </c>
      <c r="T1240" s="2">
        <v>45303</v>
      </c>
      <c r="U1240" t="s">
        <v>34</v>
      </c>
      <c r="V1240">
        <v>8</v>
      </c>
      <c r="W1240">
        <v>1</v>
      </c>
      <c r="X1240" t="s">
        <v>42</v>
      </c>
      <c r="Y1240">
        <v>2024</v>
      </c>
      <c r="Z1240">
        <v>1</v>
      </c>
      <c r="AA1240">
        <v>2</v>
      </c>
    </row>
    <row r="1241" spans="1:27" x14ac:dyDescent="0.3">
      <c r="A1241" s="2">
        <v>45448</v>
      </c>
      <c r="B1241" t="s">
        <v>2</v>
      </c>
      <c r="C1241" t="s">
        <v>9</v>
      </c>
      <c r="D1241">
        <v>7</v>
      </c>
      <c r="E1241">
        <v>14.34</v>
      </c>
      <c r="F1241" t="s">
        <v>15</v>
      </c>
      <c r="G1241" t="s">
        <v>17</v>
      </c>
      <c r="H1241">
        <v>0.05</v>
      </c>
      <c r="I1241" t="s">
        <v>19</v>
      </c>
      <c r="J1241">
        <v>95.36099999999999</v>
      </c>
      <c r="K1241" t="s">
        <v>27</v>
      </c>
      <c r="L1241" t="s">
        <v>31</v>
      </c>
      <c r="M1241">
        <v>0</v>
      </c>
      <c r="N1241" t="s">
        <v>1314</v>
      </c>
      <c r="O1241" t="s">
        <v>2814</v>
      </c>
      <c r="P1241">
        <v>19.45</v>
      </c>
      <c r="Q1241">
        <f t="shared" si="19"/>
        <v>13.622999999999999</v>
      </c>
      <c r="R1241">
        <v>75.910999999999987</v>
      </c>
      <c r="S1241" s="2">
        <v>45448</v>
      </c>
      <c r="T1241" s="2">
        <v>45451</v>
      </c>
      <c r="U1241" t="s">
        <v>35</v>
      </c>
      <c r="V1241">
        <v>5</v>
      </c>
      <c r="W1241">
        <v>6</v>
      </c>
      <c r="X1241" t="s">
        <v>41</v>
      </c>
      <c r="Y1241">
        <v>2024</v>
      </c>
      <c r="Z1241">
        <v>2</v>
      </c>
      <c r="AA1241">
        <v>23</v>
      </c>
    </row>
    <row r="1242" spans="1:27" x14ac:dyDescent="0.3">
      <c r="A1242" s="2">
        <v>45798</v>
      </c>
      <c r="B1242" t="s">
        <v>0</v>
      </c>
      <c r="C1242" t="s">
        <v>6</v>
      </c>
      <c r="D1242">
        <v>11</v>
      </c>
      <c r="E1242">
        <v>34.72</v>
      </c>
      <c r="F1242" t="s">
        <v>12</v>
      </c>
      <c r="G1242" t="s">
        <v>16</v>
      </c>
      <c r="H1242">
        <v>0.1</v>
      </c>
      <c r="I1242" t="s">
        <v>22</v>
      </c>
      <c r="J1242">
        <v>343.72800000000001</v>
      </c>
      <c r="K1242" t="s">
        <v>25</v>
      </c>
      <c r="L1242" t="s">
        <v>29</v>
      </c>
      <c r="M1242">
        <v>0</v>
      </c>
      <c r="N1242" t="s">
        <v>1315</v>
      </c>
      <c r="O1242" t="s">
        <v>2815</v>
      </c>
      <c r="P1242">
        <v>9.31</v>
      </c>
      <c r="Q1242">
        <f t="shared" si="19"/>
        <v>31.248000000000001</v>
      </c>
      <c r="R1242">
        <v>334.41800000000001</v>
      </c>
      <c r="S1242" s="2">
        <v>45798</v>
      </c>
      <c r="T1242" s="2">
        <v>45800</v>
      </c>
      <c r="U1242" t="s">
        <v>33</v>
      </c>
      <c r="V1242">
        <v>21</v>
      </c>
      <c r="W1242">
        <v>5</v>
      </c>
      <c r="X1242" t="s">
        <v>40</v>
      </c>
      <c r="Y1242">
        <v>2025</v>
      </c>
      <c r="Z1242">
        <v>2</v>
      </c>
      <c r="AA1242">
        <v>21</v>
      </c>
    </row>
    <row r="1243" spans="1:27" x14ac:dyDescent="0.3">
      <c r="A1243" s="2">
        <v>45798</v>
      </c>
      <c r="B1243" t="s">
        <v>0</v>
      </c>
      <c r="C1243" t="s">
        <v>8</v>
      </c>
      <c r="D1243">
        <v>7</v>
      </c>
      <c r="E1243">
        <v>15.06</v>
      </c>
      <c r="F1243" t="s">
        <v>13</v>
      </c>
      <c r="G1243" t="s">
        <v>17</v>
      </c>
      <c r="H1243">
        <v>0</v>
      </c>
      <c r="I1243" t="s">
        <v>19</v>
      </c>
      <c r="J1243">
        <v>105.42</v>
      </c>
      <c r="K1243" t="s">
        <v>28</v>
      </c>
      <c r="L1243" t="s">
        <v>32</v>
      </c>
      <c r="M1243">
        <v>1</v>
      </c>
      <c r="N1243" t="s">
        <v>1316</v>
      </c>
      <c r="O1243" t="s">
        <v>2816</v>
      </c>
      <c r="P1243">
        <v>46.57</v>
      </c>
      <c r="Q1243">
        <f t="shared" si="19"/>
        <v>15.06</v>
      </c>
      <c r="R1243">
        <v>58.85</v>
      </c>
      <c r="S1243" s="2">
        <v>45798</v>
      </c>
      <c r="T1243" s="2">
        <v>45803</v>
      </c>
      <c r="U1243" t="s">
        <v>33</v>
      </c>
      <c r="V1243">
        <v>21</v>
      </c>
      <c r="W1243">
        <v>5</v>
      </c>
      <c r="X1243" t="s">
        <v>40</v>
      </c>
      <c r="Y1243">
        <v>2025</v>
      </c>
      <c r="Z1243">
        <v>2</v>
      </c>
      <c r="AA1243">
        <v>21</v>
      </c>
    </row>
    <row r="1244" spans="1:27" x14ac:dyDescent="0.3">
      <c r="A1244" s="2">
        <v>44990</v>
      </c>
      <c r="B1244" t="s">
        <v>0</v>
      </c>
      <c r="C1244" t="s">
        <v>11</v>
      </c>
      <c r="D1244">
        <v>11</v>
      </c>
      <c r="E1244">
        <v>488.17</v>
      </c>
      <c r="F1244" t="s">
        <v>12</v>
      </c>
      <c r="G1244" t="s">
        <v>16</v>
      </c>
      <c r="H1244">
        <v>0.05</v>
      </c>
      <c r="I1244" t="s">
        <v>23</v>
      </c>
      <c r="J1244">
        <v>5101.3764999999994</v>
      </c>
      <c r="K1244" t="s">
        <v>28</v>
      </c>
      <c r="L1244" t="s">
        <v>31</v>
      </c>
      <c r="M1244">
        <v>1</v>
      </c>
      <c r="N1244" t="s">
        <v>1317</v>
      </c>
      <c r="O1244" t="s">
        <v>2817</v>
      </c>
      <c r="P1244">
        <v>37.47</v>
      </c>
      <c r="Q1244">
        <f t="shared" si="19"/>
        <v>463.76149999999996</v>
      </c>
      <c r="R1244">
        <v>5063.9064999999991</v>
      </c>
      <c r="S1244" s="2">
        <v>44990</v>
      </c>
      <c r="T1244" s="2">
        <v>44996</v>
      </c>
      <c r="U1244" t="s">
        <v>33</v>
      </c>
      <c r="V1244">
        <v>5</v>
      </c>
      <c r="W1244">
        <v>3</v>
      </c>
      <c r="X1244" t="s">
        <v>44</v>
      </c>
      <c r="Y1244">
        <v>2023</v>
      </c>
      <c r="Z1244">
        <v>1</v>
      </c>
      <c r="AA1244">
        <v>9</v>
      </c>
    </row>
    <row r="1245" spans="1:27" x14ac:dyDescent="0.3">
      <c r="A1245" s="2">
        <v>45592</v>
      </c>
      <c r="B1245" t="s">
        <v>1</v>
      </c>
      <c r="C1245" t="s">
        <v>10</v>
      </c>
      <c r="D1245">
        <v>10</v>
      </c>
      <c r="E1245">
        <v>268.39</v>
      </c>
      <c r="F1245" t="s">
        <v>12</v>
      </c>
      <c r="G1245" t="s">
        <v>17</v>
      </c>
      <c r="H1245">
        <v>0.05</v>
      </c>
      <c r="I1245" t="s">
        <v>19</v>
      </c>
      <c r="J1245">
        <v>2549.704999999999</v>
      </c>
      <c r="K1245" t="s">
        <v>26</v>
      </c>
      <c r="L1245" t="s">
        <v>30</v>
      </c>
      <c r="M1245">
        <v>0</v>
      </c>
      <c r="N1245" t="s">
        <v>1318</v>
      </c>
      <c r="O1245" t="s">
        <v>2818</v>
      </c>
      <c r="P1245">
        <v>25.86</v>
      </c>
      <c r="Q1245">
        <f t="shared" si="19"/>
        <v>254.9704999999999</v>
      </c>
      <c r="R1245">
        <v>2523.8449999999989</v>
      </c>
      <c r="S1245" s="2">
        <v>45592</v>
      </c>
      <c r="T1245" s="2">
        <v>45598</v>
      </c>
      <c r="U1245" t="s">
        <v>34</v>
      </c>
      <c r="V1245">
        <v>27</v>
      </c>
      <c r="W1245">
        <v>10</v>
      </c>
      <c r="X1245" t="s">
        <v>43</v>
      </c>
      <c r="Y1245">
        <v>2024</v>
      </c>
      <c r="Z1245">
        <v>4</v>
      </c>
      <c r="AA1245">
        <v>43</v>
      </c>
    </row>
    <row r="1246" spans="1:27" x14ac:dyDescent="0.3">
      <c r="A1246" s="2">
        <v>45740</v>
      </c>
      <c r="B1246" t="s">
        <v>2</v>
      </c>
      <c r="C1246" t="s">
        <v>10</v>
      </c>
      <c r="D1246">
        <v>5</v>
      </c>
      <c r="E1246">
        <v>64.180000000000007</v>
      </c>
      <c r="F1246" t="s">
        <v>14</v>
      </c>
      <c r="G1246" t="s">
        <v>17</v>
      </c>
      <c r="H1246">
        <v>0.1</v>
      </c>
      <c r="I1246" t="s">
        <v>18</v>
      </c>
      <c r="J1246">
        <v>288.81000000000012</v>
      </c>
      <c r="K1246" t="s">
        <v>25</v>
      </c>
      <c r="L1246" t="s">
        <v>30</v>
      </c>
      <c r="M1246">
        <v>0</v>
      </c>
      <c r="N1246" t="s">
        <v>1319</v>
      </c>
      <c r="O1246" t="s">
        <v>2819</v>
      </c>
      <c r="P1246">
        <v>21.17</v>
      </c>
      <c r="Q1246">
        <f t="shared" si="19"/>
        <v>57.762000000000022</v>
      </c>
      <c r="R1246">
        <v>267.6400000000001</v>
      </c>
      <c r="S1246" s="2">
        <v>45740</v>
      </c>
      <c r="T1246" s="2">
        <v>45745</v>
      </c>
      <c r="U1246" t="s">
        <v>35</v>
      </c>
      <c r="V1246">
        <v>24</v>
      </c>
      <c r="W1246">
        <v>3</v>
      </c>
      <c r="X1246" t="s">
        <v>44</v>
      </c>
      <c r="Y1246">
        <v>2025</v>
      </c>
      <c r="Z1246">
        <v>1</v>
      </c>
      <c r="AA1246">
        <v>13</v>
      </c>
    </row>
    <row r="1247" spans="1:27" x14ac:dyDescent="0.3">
      <c r="A1247" s="2">
        <v>45556</v>
      </c>
      <c r="B1247" t="s">
        <v>4</v>
      </c>
      <c r="C1247" t="s">
        <v>6</v>
      </c>
      <c r="D1247">
        <v>15</v>
      </c>
      <c r="E1247">
        <v>466.55</v>
      </c>
      <c r="F1247" t="s">
        <v>13</v>
      </c>
      <c r="G1247" t="s">
        <v>17</v>
      </c>
      <c r="H1247">
        <v>0.05</v>
      </c>
      <c r="I1247" t="s">
        <v>19</v>
      </c>
      <c r="J1247">
        <v>6648.3374999999996</v>
      </c>
      <c r="K1247" t="s">
        <v>28</v>
      </c>
      <c r="L1247" t="s">
        <v>30</v>
      </c>
      <c r="M1247">
        <v>1</v>
      </c>
      <c r="N1247" t="s">
        <v>1320</v>
      </c>
      <c r="O1247" t="s">
        <v>2820</v>
      </c>
      <c r="P1247">
        <v>36.68</v>
      </c>
      <c r="Q1247">
        <f t="shared" si="19"/>
        <v>443.22249999999997</v>
      </c>
      <c r="R1247">
        <v>6611.6574999999993</v>
      </c>
      <c r="S1247" s="2">
        <v>45556</v>
      </c>
      <c r="T1247" s="2">
        <v>45562</v>
      </c>
      <c r="U1247" t="s">
        <v>37</v>
      </c>
      <c r="V1247">
        <v>21</v>
      </c>
      <c r="W1247">
        <v>9</v>
      </c>
      <c r="X1247" t="s">
        <v>49</v>
      </c>
      <c r="Y1247">
        <v>2024</v>
      </c>
      <c r="Z1247">
        <v>3</v>
      </c>
      <c r="AA1247">
        <v>38</v>
      </c>
    </row>
    <row r="1248" spans="1:27" x14ac:dyDescent="0.3">
      <c r="A1248" s="2">
        <v>45795</v>
      </c>
      <c r="B1248" t="s">
        <v>2</v>
      </c>
      <c r="C1248" t="s">
        <v>7</v>
      </c>
      <c r="D1248">
        <v>8</v>
      </c>
      <c r="E1248">
        <v>505.34</v>
      </c>
      <c r="F1248" t="s">
        <v>12</v>
      </c>
      <c r="G1248" t="s">
        <v>17</v>
      </c>
      <c r="H1248">
        <v>0.05</v>
      </c>
      <c r="I1248" t="s">
        <v>23</v>
      </c>
      <c r="J1248">
        <v>3840.5839999999998</v>
      </c>
      <c r="K1248" t="s">
        <v>27</v>
      </c>
      <c r="L1248" t="s">
        <v>32</v>
      </c>
      <c r="M1248">
        <v>0</v>
      </c>
      <c r="N1248" t="s">
        <v>1321</v>
      </c>
      <c r="O1248" t="s">
        <v>2821</v>
      </c>
      <c r="P1248">
        <v>22.88</v>
      </c>
      <c r="Q1248">
        <f t="shared" si="19"/>
        <v>480.07299999999998</v>
      </c>
      <c r="R1248">
        <v>3817.7039999999997</v>
      </c>
      <c r="S1248" s="2">
        <v>45795</v>
      </c>
      <c r="T1248" s="2">
        <v>45804</v>
      </c>
      <c r="U1248" t="s">
        <v>35</v>
      </c>
      <c r="V1248">
        <v>18</v>
      </c>
      <c r="W1248">
        <v>5</v>
      </c>
      <c r="X1248" t="s">
        <v>40</v>
      </c>
      <c r="Y1248">
        <v>2025</v>
      </c>
      <c r="Z1248">
        <v>2</v>
      </c>
      <c r="AA1248">
        <v>20</v>
      </c>
    </row>
    <row r="1249" spans="1:27" x14ac:dyDescent="0.3">
      <c r="A1249" s="2">
        <v>45484</v>
      </c>
      <c r="B1249" t="s">
        <v>0</v>
      </c>
      <c r="C1249" t="s">
        <v>9</v>
      </c>
      <c r="D1249">
        <v>6</v>
      </c>
      <c r="E1249">
        <v>100.75</v>
      </c>
      <c r="F1249" t="s">
        <v>13</v>
      </c>
      <c r="G1249" t="s">
        <v>16</v>
      </c>
      <c r="H1249">
        <v>0.1</v>
      </c>
      <c r="I1249" t="s">
        <v>20</v>
      </c>
      <c r="J1249">
        <v>544.05000000000007</v>
      </c>
      <c r="K1249" t="s">
        <v>26</v>
      </c>
      <c r="L1249" t="s">
        <v>29</v>
      </c>
      <c r="M1249">
        <v>0</v>
      </c>
      <c r="N1249" t="s">
        <v>1322</v>
      </c>
      <c r="O1249" t="s">
        <v>2822</v>
      </c>
      <c r="P1249">
        <v>12.98</v>
      </c>
      <c r="Q1249">
        <f t="shared" si="19"/>
        <v>90.675000000000011</v>
      </c>
      <c r="R1249">
        <v>531.07000000000005</v>
      </c>
      <c r="S1249" s="2">
        <v>45484</v>
      </c>
      <c r="T1249" s="2">
        <v>45487</v>
      </c>
      <c r="U1249" t="s">
        <v>33</v>
      </c>
      <c r="V1249">
        <v>11</v>
      </c>
      <c r="W1249">
        <v>7</v>
      </c>
      <c r="X1249" t="s">
        <v>46</v>
      </c>
      <c r="Y1249">
        <v>2024</v>
      </c>
      <c r="Z1249">
        <v>3</v>
      </c>
      <c r="AA1249">
        <v>28</v>
      </c>
    </row>
    <row r="1250" spans="1:27" x14ac:dyDescent="0.3">
      <c r="A1250" s="2">
        <v>45684</v>
      </c>
      <c r="B1250" t="s">
        <v>2</v>
      </c>
      <c r="C1250" t="s">
        <v>10</v>
      </c>
      <c r="D1250">
        <v>8</v>
      </c>
      <c r="E1250">
        <v>352.72</v>
      </c>
      <c r="F1250" t="s">
        <v>14</v>
      </c>
      <c r="G1250" t="s">
        <v>17</v>
      </c>
      <c r="H1250">
        <v>0.05</v>
      </c>
      <c r="I1250" t="s">
        <v>21</v>
      </c>
      <c r="J1250">
        <v>2680.672</v>
      </c>
      <c r="K1250" t="s">
        <v>28</v>
      </c>
      <c r="L1250" t="s">
        <v>32</v>
      </c>
      <c r="M1250">
        <v>0</v>
      </c>
      <c r="N1250" t="s">
        <v>1323</v>
      </c>
      <c r="O1250" t="s">
        <v>2823</v>
      </c>
      <c r="P1250">
        <v>30.8</v>
      </c>
      <c r="Q1250">
        <f t="shared" si="19"/>
        <v>335.084</v>
      </c>
      <c r="R1250">
        <v>2649.8719999999998</v>
      </c>
      <c r="S1250" s="2">
        <v>45684</v>
      </c>
      <c r="T1250" s="2">
        <v>45692</v>
      </c>
      <c r="U1250" t="s">
        <v>35</v>
      </c>
      <c r="V1250">
        <v>27</v>
      </c>
      <c r="W1250">
        <v>1</v>
      </c>
      <c r="X1250" t="s">
        <v>42</v>
      </c>
      <c r="Y1250">
        <v>2025</v>
      </c>
      <c r="Z1250">
        <v>1</v>
      </c>
      <c r="AA1250">
        <v>5</v>
      </c>
    </row>
    <row r="1251" spans="1:27" x14ac:dyDescent="0.3">
      <c r="A1251" s="2">
        <v>45256</v>
      </c>
      <c r="B1251" t="s">
        <v>0</v>
      </c>
      <c r="C1251" t="s">
        <v>5</v>
      </c>
      <c r="D1251">
        <v>9</v>
      </c>
      <c r="E1251">
        <v>526.26</v>
      </c>
      <c r="F1251" t="s">
        <v>12</v>
      </c>
      <c r="G1251" t="s">
        <v>17</v>
      </c>
      <c r="H1251">
        <v>0</v>
      </c>
      <c r="I1251" t="s">
        <v>23</v>
      </c>
      <c r="J1251">
        <v>4736.34</v>
      </c>
      <c r="K1251" t="s">
        <v>28</v>
      </c>
      <c r="L1251" t="s">
        <v>29</v>
      </c>
      <c r="M1251">
        <v>0</v>
      </c>
      <c r="N1251" t="s">
        <v>1324</v>
      </c>
      <c r="O1251" t="s">
        <v>2824</v>
      </c>
      <c r="P1251">
        <v>15.47</v>
      </c>
      <c r="Q1251">
        <f t="shared" si="19"/>
        <v>526.26</v>
      </c>
      <c r="R1251">
        <v>4720.87</v>
      </c>
      <c r="S1251" s="2">
        <v>45256</v>
      </c>
      <c r="T1251" s="2">
        <v>45266</v>
      </c>
      <c r="U1251" t="s">
        <v>33</v>
      </c>
      <c r="V1251">
        <v>26</v>
      </c>
      <c r="W1251">
        <v>11</v>
      </c>
      <c r="X1251" t="s">
        <v>47</v>
      </c>
      <c r="Y1251">
        <v>2023</v>
      </c>
      <c r="Z1251">
        <v>4</v>
      </c>
      <c r="AA1251">
        <v>47</v>
      </c>
    </row>
    <row r="1252" spans="1:27" x14ac:dyDescent="0.3">
      <c r="A1252" s="2">
        <v>45445</v>
      </c>
      <c r="B1252" t="s">
        <v>3</v>
      </c>
      <c r="C1252" t="s">
        <v>11</v>
      </c>
      <c r="D1252">
        <v>18</v>
      </c>
      <c r="E1252">
        <v>519.41999999999996</v>
      </c>
      <c r="F1252" t="s">
        <v>14</v>
      </c>
      <c r="G1252" t="s">
        <v>17</v>
      </c>
      <c r="H1252">
        <v>0.15</v>
      </c>
      <c r="I1252" t="s">
        <v>18</v>
      </c>
      <c r="J1252">
        <v>7947.1259999999993</v>
      </c>
      <c r="K1252" t="s">
        <v>28</v>
      </c>
      <c r="L1252" t="s">
        <v>31</v>
      </c>
      <c r="M1252">
        <v>0</v>
      </c>
      <c r="N1252" t="s">
        <v>1325</v>
      </c>
      <c r="O1252" t="s">
        <v>2825</v>
      </c>
      <c r="P1252">
        <v>32.96</v>
      </c>
      <c r="Q1252">
        <f t="shared" si="19"/>
        <v>441.50699999999995</v>
      </c>
      <c r="R1252">
        <v>7914.1659999999993</v>
      </c>
      <c r="S1252" s="2">
        <v>45445</v>
      </c>
      <c r="T1252" s="2">
        <v>45447</v>
      </c>
      <c r="U1252" t="s">
        <v>36</v>
      </c>
      <c r="V1252">
        <v>2</v>
      </c>
      <c r="W1252">
        <v>6</v>
      </c>
      <c r="X1252" t="s">
        <v>41</v>
      </c>
      <c r="Y1252">
        <v>2024</v>
      </c>
      <c r="Z1252">
        <v>2</v>
      </c>
      <c r="AA1252">
        <v>22</v>
      </c>
    </row>
    <row r="1253" spans="1:27" x14ac:dyDescent="0.3">
      <c r="A1253" s="2">
        <v>44943</v>
      </c>
      <c r="B1253" t="s">
        <v>2</v>
      </c>
      <c r="C1253" t="s">
        <v>8</v>
      </c>
      <c r="D1253">
        <v>18</v>
      </c>
      <c r="E1253">
        <v>108.46</v>
      </c>
      <c r="F1253" t="s">
        <v>15</v>
      </c>
      <c r="G1253" t="s">
        <v>16</v>
      </c>
      <c r="H1253">
        <v>0.05</v>
      </c>
      <c r="I1253" t="s">
        <v>20</v>
      </c>
      <c r="J1253">
        <v>1854.6659999999999</v>
      </c>
      <c r="K1253" t="s">
        <v>24</v>
      </c>
      <c r="L1253" t="s">
        <v>30</v>
      </c>
      <c r="M1253">
        <v>0</v>
      </c>
      <c r="N1253" t="s">
        <v>1326</v>
      </c>
      <c r="O1253" t="s">
        <v>2826</v>
      </c>
      <c r="P1253">
        <v>10.72</v>
      </c>
      <c r="Q1253">
        <f t="shared" si="19"/>
        <v>103.03699999999999</v>
      </c>
      <c r="R1253">
        <v>1843.9459999999999</v>
      </c>
      <c r="S1253" s="2">
        <v>44943</v>
      </c>
      <c r="T1253" s="2">
        <v>44950</v>
      </c>
      <c r="U1253" t="s">
        <v>35</v>
      </c>
      <c r="V1253">
        <v>17</v>
      </c>
      <c r="W1253">
        <v>1</v>
      </c>
      <c r="X1253" t="s">
        <v>42</v>
      </c>
      <c r="Y1253">
        <v>2023</v>
      </c>
      <c r="Z1253">
        <v>1</v>
      </c>
      <c r="AA1253">
        <v>3</v>
      </c>
    </row>
    <row r="1254" spans="1:27" x14ac:dyDescent="0.3">
      <c r="A1254" s="2">
        <v>45780</v>
      </c>
      <c r="B1254" t="s">
        <v>2</v>
      </c>
      <c r="C1254" t="s">
        <v>7</v>
      </c>
      <c r="D1254">
        <v>13</v>
      </c>
      <c r="E1254">
        <v>420.68</v>
      </c>
      <c r="F1254" t="s">
        <v>15</v>
      </c>
      <c r="G1254" t="s">
        <v>16</v>
      </c>
      <c r="H1254">
        <v>0.05</v>
      </c>
      <c r="I1254" t="s">
        <v>20</v>
      </c>
      <c r="J1254">
        <v>5195.3980000000001</v>
      </c>
      <c r="K1254" t="s">
        <v>24</v>
      </c>
      <c r="L1254" t="s">
        <v>32</v>
      </c>
      <c r="M1254">
        <v>0</v>
      </c>
      <c r="N1254" t="s">
        <v>1327</v>
      </c>
      <c r="O1254" t="s">
        <v>2827</v>
      </c>
      <c r="P1254">
        <v>24.51</v>
      </c>
      <c r="Q1254">
        <f t="shared" si="19"/>
        <v>399.64600000000002</v>
      </c>
      <c r="R1254">
        <v>5170.8879999999999</v>
      </c>
      <c r="S1254" s="2">
        <v>45780</v>
      </c>
      <c r="T1254" s="2">
        <v>45788</v>
      </c>
      <c r="U1254" t="s">
        <v>35</v>
      </c>
      <c r="V1254">
        <v>3</v>
      </c>
      <c r="W1254">
        <v>5</v>
      </c>
      <c r="X1254" t="s">
        <v>40</v>
      </c>
      <c r="Y1254">
        <v>2025</v>
      </c>
      <c r="Z1254">
        <v>2</v>
      </c>
      <c r="AA1254">
        <v>18</v>
      </c>
    </row>
    <row r="1255" spans="1:27" x14ac:dyDescent="0.3">
      <c r="A1255" s="2">
        <v>45662</v>
      </c>
      <c r="B1255" t="s">
        <v>2</v>
      </c>
      <c r="C1255" t="s">
        <v>11</v>
      </c>
      <c r="D1255">
        <v>17</v>
      </c>
      <c r="E1255">
        <v>5.91</v>
      </c>
      <c r="F1255" t="s">
        <v>13</v>
      </c>
      <c r="G1255" t="s">
        <v>16</v>
      </c>
      <c r="H1255">
        <v>0.15</v>
      </c>
      <c r="I1255" t="s">
        <v>18</v>
      </c>
      <c r="J1255">
        <v>85.399500000000003</v>
      </c>
      <c r="K1255" t="s">
        <v>24</v>
      </c>
      <c r="L1255" t="s">
        <v>30</v>
      </c>
      <c r="M1255">
        <v>0</v>
      </c>
      <c r="N1255" t="s">
        <v>1328</v>
      </c>
      <c r="O1255" t="s">
        <v>2828</v>
      </c>
      <c r="P1255">
        <v>44.85</v>
      </c>
      <c r="Q1255">
        <f t="shared" si="19"/>
        <v>5.0235000000000003</v>
      </c>
      <c r="R1255">
        <v>40.549500000000002</v>
      </c>
      <c r="S1255" s="2">
        <v>45662</v>
      </c>
      <c r="T1255" s="2">
        <v>45670</v>
      </c>
      <c r="U1255" t="s">
        <v>35</v>
      </c>
      <c r="V1255">
        <v>5</v>
      </c>
      <c r="W1255">
        <v>1</v>
      </c>
      <c r="X1255" t="s">
        <v>42</v>
      </c>
      <c r="Y1255">
        <v>2025</v>
      </c>
      <c r="Z1255">
        <v>1</v>
      </c>
      <c r="AA1255">
        <v>1</v>
      </c>
    </row>
    <row r="1256" spans="1:27" x14ac:dyDescent="0.3">
      <c r="A1256" s="2">
        <v>45342</v>
      </c>
      <c r="B1256" t="s">
        <v>0</v>
      </c>
      <c r="C1256" t="s">
        <v>6</v>
      </c>
      <c r="D1256">
        <v>4</v>
      </c>
      <c r="E1256">
        <v>452.77</v>
      </c>
      <c r="F1256" t="s">
        <v>12</v>
      </c>
      <c r="G1256" t="s">
        <v>17</v>
      </c>
      <c r="H1256">
        <v>0</v>
      </c>
      <c r="I1256" t="s">
        <v>22</v>
      </c>
      <c r="J1256">
        <v>1811.08</v>
      </c>
      <c r="K1256" t="s">
        <v>27</v>
      </c>
      <c r="L1256" t="s">
        <v>30</v>
      </c>
      <c r="M1256">
        <v>0</v>
      </c>
      <c r="N1256" t="s">
        <v>1329</v>
      </c>
      <c r="O1256" t="s">
        <v>2829</v>
      </c>
      <c r="P1256">
        <v>32.01</v>
      </c>
      <c r="Q1256">
        <f t="shared" si="19"/>
        <v>452.77</v>
      </c>
      <c r="R1256">
        <v>1779.07</v>
      </c>
      <c r="S1256" s="2">
        <v>45342</v>
      </c>
      <c r="T1256" s="2">
        <v>45352</v>
      </c>
      <c r="U1256" t="s">
        <v>33</v>
      </c>
      <c r="V1256">
        <v>20</v>
      </c>
      <c r="W1256">
        <v>2</v>
      </c>
      <c r="X1256" t="s">
        <v>38</v>
      </c>
      <c r="Y1256">
        <v>2024</v>
      </c>
      <c r="Z1256">
        <v>1</v>
      </c>
      <c r="AA1256">
        <v>8</v>
      </c>
    </row>
    <row r="1257" spans="1:27" x14ac:dyDescent="0.3">
      <c r="A1257" s="2">
        <v>45286</v>
      </c>
      <c r="B1257" t="s">
        <v>2</v>
      </c>
      <c r="C1257" t="s">
        <v>9</v>
      </c>
      <c r="D1257">
        <v>7</v>
      </c>
      <c r="E1257">
        <v>157</v>
      </c>
      <c r="F1257" t="s">
        <v>13</v>
      </c>
      <c r="G1257" t="s">
        <v>16</v>
      </c>
      <c r="H1257">
        <v>0.15</v>
      </c>
      <c r="I1257" t="s">
        <v>19</v>
      </c>
      <c r="J1257">
        <v>934.15</v>
      </c>
      <c r="K1257" t="s">
        <v>24</v>
      </c>
      <c r="L1257" t="s">
        <v>30</v>
      </c>
      <c r="M1257">
        <v>1</v>
      </c>
      <c r="N1257" t="s">
        <v>1330</v>
      </c>
      <c r="O1257" t="s">
        <v>2830</v>
      </c>
      <c r="P1257">
        <v>39.72</v>
      </c>
      <c r="Q1257">
        <f t="shared" si="19"/>
        <v>133.44999999999999</v>
      </c>
      <c r="R1257">
        <v>894.43</v>
      </c>
      <c r="S1257" s="2">
        <v>45286</v>
      </c>
      <c r="T1257" s="2">
        <v>45295</v>
      </c>
      <c r="U1257" t="s">
        <v>35</v>
      </c>
      <c r="V1257">
        <v>26</v>
      </c>
      <c r="W1257">
        <v>12</v>
      </c>
      <c r="X1257" t="s">
        <v>39</v>
      </c>
      <c r="Y1257">
        <v>2023</v>
      </c>
      <c r="Z1257">
        <v>4</v>
      </c>
      <c r="AA1257">
        <v>52</v>
      </c>
    </row>
    <row r="1258" spans="1:27" x14ac:dyDescent="0.3">
      <c r="A1258" s="2">
        <v>44992</v>
      </c>
      <c r="B1258" t="s">
        <v>2</v>
      </c>
      <c r="C1258" t="s">
        <v>11</v>
      </c>
      <c r="D1258">
        <v>11</v>
      </c>
      <c r="E1258">
        <v>550.86</v>
      </c>
      <c r="F1258" t="s">
        <v>14</v>
      </c>
      <c r="G1258" t="s">
        <v>17</v>
      </c>
      <c r="H1258">
        <v>0.1</v>
      </c>
      <c r="I1258" t="s">
        <v>23</v>
      </c>
      <c r="J1258">
        <v>5453.5140000000001</v>
      </c>
      <c r="K1258" t="s">
        <v>24</v>
      </c>
      <c r="L1258" t="s">
        <v>29</v>
      </c>
      <c r="M1258">
        <v>0</v>
      </c>
      <c r="N1258" t="s">
        <v>1331</v>
      </c>
      <c r="O1258" t="s">
        <v>2831</v>
      </c>
      <c r="P1258">
        <v>21.82</v>
      </c>
      <c r="Q1258">
        <f t="shared" si="19"/>
        <v>495.774</v>
      </c>
      <c r="R1258">
        <v>5431.6940000000004</v>
      </c>
      <c r="S1258" s="2">
        <v>44992</v>
      </c>
      <c r="T1258" s="2">
        <v>44997</v>
      </c>
      <c r="U1258" t="s">
        <v>35</v>
      </c>
      <c r="V1258">
        <v>7</v>
      </c>
      <c r="W1258">
        <v>3</v>
      </c>
      <c r="X1258" t="s">
        <v>44</v>
      </c>
      <c r="Y1258">
        <v>2023</v>
      </c>
      <c r="Z1258">
        <v>1</v>
      </c>
      <c r="AA1258">
        <v>10</v>
      </c>
    </row>
    <row r="1259" spans="1:27" x14ac:dyDescent="0.3">
      <c r="A1259" s="2">
        <v>45548</v>
      </c>
      <c r="B1259" t="s">
        <v>2</v>
      </c>
      <c r="C1259" t="s">
        <v>8</v>
      </c>
      <c r="D1259">
        <v>5</v>
      </c>
      <c r="E1259">
        <v>172.65</v>
      </c>
      <c r="F1259" t="s">
        <v>14</v>
      </c>
      <c r="G1259" t="s">
        <v>16</v>
      </c>
      <c r="H1259">
        <v>0.15</v>
      </c>
      <c r="I1259" t="s">
        <v>19</v>
      </c>
      <c r="J1259">
        <v>733.76249999999993</v>
      </c>
      <c r="K1259" t="s">
        <v>28</v>
      </c>
      <c r="L1259" t="s">
        <v>30</v>
      </c>
      <c r="M1259">
        <v>0</v>
      </c>
      <c r="N1259" t="s">
        <v>1332</v>
      </c>
      <c r="O1259" t="s">
        <v>2832</v>
      </c>
      <c r="P1259">
        <v>28.3</v>
      </c>
      <c r="Q1259">
        <f t="shared" si="19"/>
        <v>146.7525</v>
      </c>
      <c r="R1259">
        <v>705.46249999999998</v>
      </c>
      <c r="S1259" s="2">
        <v>45548</v>
      </c>
      <c r="T1259" s="2">
        <v>45557</v>
      </c>
      <c r="U1259" t="s">
        <v>35</v>
      </c>
      <c r="V1259">
        <v>13</v>
      </c>
      <c r="W1259">
        <v>9</v>
      </c>
      <c r="X1259" t="s">
        <v>49</v>
      </c>
      <c r="Y1259">
        <v>2024</v>
      </c>
      <c r="Z1259">
        <v>3</v>
      </c>
      <c r="AA1259">
        <v>37</v>
      </c>
    </row>
    <row r="1260" spans="1:27" x14ac:dyDescent="0.3">
      <c r="A1260" s="2">
        <v>45293</v>
      </c>
      <c r="B1260" t="s">
        <v>0</v>
      </c>
      <c r="C1260" t="s">
        <v>10</v>
      </c>
      <c r="D1260">
        <v>16</v>
      </c>
      <c r="E1260">
        <v>145.30000000000001</v>
      </c>
      <c r="F1260" t="s">
        <v>12</v>
      </c>
      <c r="G1260" t="s">
        <v>16</v>
      </c>
      <c r="H1260">
        <v>0</v>
      </c>
      <c r="I1260" t="s">
        <v>18</v>
      </c>
      <c r="J1260">
        <v>2324.8000000000002</v>
      </c>
      <c r="K1260" t="s">
        <v>26</v>
      </c>
      <c r="L1260" t="s">
        <v>29</v>
      </c>
      <c r="M1260">
        <v>1</v>
      </c>
      <c r="N1260" t="s">
        <v>1333</v>
      </c>
      <c r="O1260" t="s">
        <v>2833</v>
      </c>
      <c r="P1260">
        <v>29.64</v>
      </c>
      <c r="Q1260">
        <f t="shared" si="19"/>
        <v>145.30000000000001</v>
      </c>
      <c r="R1260">
        <v>2295.1600000000003</v>
      </c>
      <c r="S1260" s="2">
        <v>45293</v>
      </c>
      <c r="T1260" s="2">
        <v>45303</v>
      </c>
      <c r="U1260" t="s">
        <v>33</v>
      </c>
      <c r="V1260">
        <v>2</v>
      </c>
      <c r="W1260">
        <v>1</v>
      </c>
      <c r="X1260" t="s">
        <v>42</v>
      </c>
      <c r="Y1260">
        <v>2024</v>
      </c>
      <c r="Z1260">
        <v>1</v>
      </c>
      <c r="AA1260">
        <v>1</v>
      </c>
    </row>
    <row r="1261" spans="1:27" x14ac:dyDescent="0.3">
      <c r="A1261" s="2">
        <v>45696</v>
      </c>
      <c r="B1261" t="s">
        <v>1</v>
      </c>
      <c r="C1261" t="s">
        <v>11</v>
      </c>
      <c r="D1261">
        <v>10</v>
      </c>
      <c r="E1261">
        <v>67.38</v>
      </c>
      <c r="F1261" t="s">
        <v>14</v>
      </c>
      <c r="G1261" t="s">
        <v>17</v>
      </c>
      <c r="H1261">
        <v>0.1</v>
      </c>
      <c r="I1261" t="s">
        <v>22</v>
      </c>
      <c r="J1261">
        <v>606.41999999999996</v>
      </c>
      <c r="K1261" t="s">
        <v>25</v>
      </c>
      <c r="L1261" t="s">
        <v>29</v>
      </c>
      <c r="M1261">
        <v>1</v>
      </c>
      <c r="N1261" t="s">
        <v>1334</v>
      </c>
      <c r="O1261" t="s">
        <v>2834</v>
      </c>
      <c r="P1261">
        <v>20.58</v>
      </c>
      <c r="Q1261">
        <f t="shared" si="19"/>
        <v>60.641999999999996</v>
      </c>
      <c r="R1261">
        <v>585.83999999999992</v>
      </c>
      <c r="S1261" s="2">
        <v>45696</v>
      </c>
      <c r="T1261" s="2">
        <v>45706</v>
      </c>
      <c r="U1261" t="s">
        <v>34</v>
      </c>
      <c r="V1261">
        <v>8</v>
      </c>
      <c r="W1261">
        <v>2</v>
      </c>
      <c r="X1261" t="s">
        <v>38</v>
      </c>
      <c r="Y1261">
        <v>2025</v>
      </c>
      <c r="Z1261">
        <v>1</v>
      </c>
      <c r="AA1261">
        <v>6</v>
      </c>
    </row>
    <row r="1262" spans="1:27" x14ac:dyDescent="0.3">
      <c r="A1262" s="2">
        <v>45720</v>
      </c>
      <c r="B1262" t="s">
        <v>1</v>
      </c>
      <c r="C1262" t="s">
        <v>11</v>
      </c>
      <c r="D1262">
        <v>15</v>
      </c>
      <c r="E1262">
        <v>141.13</v>
      </c>
      <c r="F1262" t="s">
        <v>15</v>
      </c>
      <c r="G1262" t="s">
        <v>16</v>
      </c>
      <c r="H1262">
        <v>0</v>
      </c>
      <c r="I1262" t="s">
        <v>21</v>
      </c>
      <c r="J1262">
        <v>2116.9499999999998</v>
      </c>
      <c r="K1262" t="s">
        <v>28</v>
      </c>
      <c r="L1262" t="s">
        <v>30</v>
      </c>
      <c r="M1262">
        <v>0</v>
      </c>
      <c r="N1262" t="s">
        <v>1335</v>
      </c>
      <c r="O1262" t="s">
        <v>2835</v>
      </c>
      <c r="P1262">
        <v>19.63</v>
      </c>
      <c r="Q1262">
        <f t="shared" si="19"/>
        <v>141.13</v>
      </c>
      <c r="R1262">
        <v>2097.3199999999997</v>
      </c>
      <c r="S1262" s="2">
        <v>45720</v>
      </c>
      <c r="T1262" s="2">
        <v>45728</v>
      </c>
      <c r="U1262" t="s">
        <v>34</v>
      </c>
      <c r="V1262">
        <v>4</v>
      </c>
      <c r="W1262">
        <v>3</v>
      </c>
      <c r="X1262" t="s">
        <v>44</v>
      </c>
      <c r="Y1262">
        <v>2025</v>
      </c>
      <c r="Z1262">
        <v>1</v>
      </c>
      <c r="AA1262">
        <v>10</v>
      </c>
    </row>
    <row r="1263" spans="1:27" x14ac:dyDescent="0.3">
      <c r="A1263" s="2">
        <v>45363</v>
      </c>
      <c r="B1263" t="s">
        <v>3</v>
      </c>
      <c r="C1263" t="s">
        <v>10</v>
      </c>
      <c r="D1263">
        <v>1</v>
      </c>
      <c r="E1263">
        <v>534.61</v>
      </c>
      <c r="F1263" t="s">
        <v>15</v>
      </c>
      <c r="G1263" t="s">
        <v>17</v>
      </c>
      <c r="H1263">
        <v>0.05</v>
      </c>
      <c r="I1263" t="s">
        <v>20</v>
      </c>
      <c r="J1263">
        <v>507.87950000000001</v>
      </c>
      <c r="K1263" t="s">
        <v>24</v>
      </c>
      <c r="L1263" t="s">
        <v>30</v>
      </c>
      <c r="M1263">
        <v>0</v>
      </c>
      <c r="N1263" t="s">
        <v>1336</v>
      </c>
      <c r="O1263" t="s">
        <v>2836</v>
      </c>
      <c r="P1263">
        <v>22.68</v>
      </c>
      <c r="Q1263">
        <f t="shared" si="19"/>
        <v>507.87950000000001</v>
      </c>
      <c r="R1263">
        <v>485.1995</v>
      </c>
      <c r="S1263" s="2">
        <v>45363</v>
      </c>
      <c r="T1263" s="2">
        <v>45372</v>
      </c>
      <c r="U1263" t="s">
        <v>36</v>
      </c>
      <c r="V1263">
        <v>12</v>
      </c>
      <c r="W1263">
        <v>3</v>
      </c>
      <c r="X1263" t="s">
        <v>44</v>
      </c>
      <c r="Y1263">
        <v>2024</v>
      </c>
      <c r="Z1263">
        <v>1</v>
      </c>
      <c r="AA1263">
        <v>11</v>
      </c>
    </row>
    <row r="1264" spans="1:27" x14ac:dyDescent="0.3">
      <c r="A1264" s="2">
        <v>45476</v>
      </c>
      <c r="B1264" t="s">
        <v>0</v>
      </c>
      <c r="C1264" t="s">
        <v>6</v>
      </c>
      <c r="D1264">
        <v>9</v>
      </c>
      <c r="E1264">
        <v>560.04</v>
      </c>
      <c r="F1264" t="s">
        <v>15</v>
      </c>
      <c r="G1264" t="s">
        <v>17</v>
      </c>
      <c r="H1264">
        <v>0.05</v>
      </c>
      <c r="I1264" t="s">
        <v>21</v>
      </c>
      <c r="J1264">
        <v>4788.3419999999996</v>
      </c>
      <c r="K1264" t="s">
        <v>25</v>
      </c>
      <c r="L1264" t="s">
        <v>31</v>
      </c>
      <c r="M1264">
        <v>0</v>
      </c>
      <c r="N1264" t="s">
        <v>1337</v>
      </c>
      <c r="O1264" t="s">
        <v>2837</v>
      </c>
      <c r="P1264">
        <v>22.81</v>
      </c>
      <c r="Q1264">
        <f t="shared" si="19"/>
        <v>532.03800000000001</v>
      </c>
      <c r="R1264">
        <v>4765.5319999999992</v>
      </c>
      <c r="S1264" s="2">
        <v>45476</v>
      </c>
      <c r="T1264" s="2">
        <v>45480</v>
      </c>
      <c r="U1264" t="s">
        <v>33</v>
      </c>
      <c r="V1264">
        <v>3</v>
      </c>
      <c r="W1264">
        <v>7</v>
      </c>
      <c r="X1264" t="s">
        <v>46</v>
      </c>
      <c r="Y1264">
        <v>2024</v>
      </c>
      <c r="Z1264">
        <v>3</v>
      </c>
      <c r="AA1264">
        <v>27</v>
      </c>
    </row>
    <row r="1265" spans="1:27" x14ac:dyDescent="0.3">
      <c r="A1265" s="2">
        <v>45662</v>
      </c>
      <c r="B1265" t="s">
        <v>2</v>
      </c>
      <c r="C1265" t="s">
        <v>5</v>
      </c>
      <c r="D1265">
        <v>8</v>
      </c>
      <c r="E1265">
        <v>275.32</v>
      </c>
      <c r="F1265" t="s">
        <v>15</v>
      </c>
      <c r="G1265" t="s">
        <v>17</v>
      </c>
      <c r="H1265">
        <v>0.1</v>
      </c>
      <c r="I1265" t="s">
        <v>22</v>
      </c>
      <c r="J1265">
        <v>1982.3040000000001</v>
      </c>
      <c r="K1265" t="s">
        <v>28</v>
      </c>
      <c r="L1265" t="s">
        <v>30</v>
      </c>
      <c r="M1265">
        <v>0</v>
      </c>
      <c r="N1265" t="s">
        <v>1338</v>
      </c>
      <c r="O1265" t="s">
        <v>2838</v>
      </c>
      <c r="P1265">
        <v>18.260000000000002</v>
      </c>
      <c r="Q1265">
        <f t="shared" si="19"/>
        <v>247.78800000000001</v>
      </c>
      <c r="R1265">
        <v>1964.0440000000001</v>
      </c>
      <c r="S1265" s="2">
        <v>45662</v>
      </c>
      <c r="T1265" s="2">
        <v>45670</v>
      </c>
      <c r="U1265" t="s">
        <v>35</v>
      </c>
      <c r="V1265">
        <v>5</v>
      </c>
      <c r="W1265">
        <v>1</v>
      </c>
      <c r="X1265" t="s">
        <v>42</v>
      </c>
      <c r="Y1265">
        <v>2025</v>
      </c>
      <c r="Z1265">
        <v>1</v>
      </c>
      <c r="AA1265">
        <v>1</v>
      </c>
    </row>
    <row r="1266" spans="1:27" x14ac:dyDescent="0.3">
      <c r="A1266" s="2">
        <v>45372</v>
      </c>
      <c r="B1266" t="s">
        <v>0</v>
      </c>
      <c r="C1266" t="s">
        <v>6</v>
      </c>
      <c r="D1266">
        <v>3</v>
      </c>
      <c r="E1266">
        <v>105.73</v>
      </c>
      <c r="F1266" t="s">
        <v>15</v>
      </c>
      <c r="G1266" t="s">
        <v>17</v>
      </c>
      <c r="H1266">
        <v>0.05</v>
      </c>
      <c r="I1266" t="s">
        <v>23</v>
      </c>
      <c r="J1266">
        <v>301.33049999999997</v>
      </c>
      <c r="K1266" t="s">
        <v>27</v>
      </c>
      <c r="L1266" t="s">
        <v>29</v>
      </c>
      <c r="M1266">
        <v>1</v>
      </c>
      <c r="N1266" t="s">
        <v>1339</v>
      </c>
      <c r="O1266" t="s">
        <v>2839</v>
      </c>
      <c r="P1266">
        <v>12.12</v>
      </c>
      <c r="Q1266">
        <f t="shared" si="19"/>
        <v>100.44349999999999</v>
      </c>
      <c r="R1266">
        <v>289.21049999999997</v>
      </c>
      <c r="S1266" s="2">
        <v>45372</v>
      </c>
      <c r="T1266" s="2">
        <v>45379</v>
      </c>
      <c r="U1266" t="s">
        <v>33</v>
      </c>
      <c r="V1266">
        <v>21</v>
      </c>
      <c r="W1266">
        <v>3</v>
      </c>
      <c r="X1266" t="s">
        <v>44</v>
      </c>
      <c r="Y1266">
        <v>2024</v>
      </c>
      <c r="Z1266">
        <v>1</v>
      </c>
      <c r="AA1266">
        <v>12</v>
      </c>
    </row>
    <row r="1267" spans="1:27" x14ac:dyDescent="0.3">
      <c r="A1267" s="2">
        <v>45744</v>
      </c>
      <c r="B1267" t="s">
        <v>3</v>
      </c>
      <c r="C1267" t="s">
        <v>9</v>
      </c>
      <c r="D1267">
        <v>15</v>
      </c>
      <c r="E1267">
        <v>568.80999999999995</v>
      </c>
      <c r="F1267" t="s">
        <v>15</v>
      </c>
      <c r="G1267" t="s">
        <v>17</v>
      </c>
      <c r="H1267">
        <v>0.1</v>
      </c>
      <c r="I1267" t="s">
        <v>20</v>
      </c>
      <c r="J1267">
        <v>7678.9349999999986</v>
      </c>
      <c r="K1267" t="s">
        <v>25</v>
      </c>
      <c r="L1267" t="s">
        <v>32</v>
      </c>
      <c r="M1267">
        <v>0</v>
      </c>
      <c r="N1267" t="s">
        <v>1340</v>
      </c>
      <c r="O1267" t="s">
        <v>2840</v>
      </c>
      <c r="P1267">
        <v>8.5399999999999991</v>
      </c>
      <c r="Q1267">
        <f t="shared" si="19"/>
        <v>511.92899999999992</v>
      </c>
      <c r="R1267">
        <v>7670.3949999999986</v>
      </c>
      <c r="S1267" s="2">
        <v>45744</v>
      </c>
      <c r="T1267" s="2">
        <v>45750</v>
      </c>
      <c r="U1267" t="s">
        <v>36</v>
      </c>
      <c r="V1267">
        <v>28</v>
      </c>
      <c r="W1267">
        <v>3</v>
      </c>
      <c r="X1267" t="s">
        <v>44</v>
      </c>
      <c r="Y1267">
        <v>2025</v>
      </c>
      <c r="Z1267">
        <v>1</v>
      </c>
      <c r="AA1267">
        <v>13</v>
      </c>
    </row>
    <row r="1268" spans="1:27" x14ac:dyDescent="0.3">
      <c r="A1268" s="2">
        <v>45760</v>
      </c>
      <c r="B1268" t="s">
        <v>3</v>
      </c>
      <c r="C1268" t="s">
        <v>5</v>
      </c>
      <c r="D1268">
        <v>20</v>
      </c>
      <c r="E1268">
        <v>190.39</v>
      </c>
      <c r="F1268" t="s">
        <v>12</v>
      </c>
      <c r="G1268" t="s">
        <v>17</v>
      </c>
      <c r="H1268">
        <v>0.1</v>
      </c>
      <c r="I1268" t="s">
        <v>23</v>
      </c>
      <c r="J1268">
        <v>3427.02</v>
      </c>
      <c r="K1268" t="s">
        <v>25</v>
      </c>
      <c r="L1268" t="s">
        <v>30</v>
      </c>
      <c r="M1268">
        <v>0</v>
      </c>
      <c r="N1268" t="s">
        <v>1341</v>
      </c>
      <c r="O1268" t="s">
        <v>2841</v>
      </c>
      <c r="P1268">
        <v>49.93</v>
      </c>
      <c r="Q1268">
        <f t="shared" si="19"/>
        <v>171.351</v>
      </c>
      <c r="R1268">
        <v>3377.09</v>
      </c>
      <c r="S1268" s="2">
        <v>45760</v>
      </c>
      <c r="T1268" s="2">
        <v>45765</v>
      </c>
      <c r="U1268" t="s">
        <v>36</v>
      </c>
      <c r="V1268">
        <v>13</v>
      </c>
      <c r="W1268">
        <v>4</v>
      </c>
      <c r="X1268" t="s">
        <v>45</v>
      </c>
      <c r="Y1268">
        <v>2025</v>
      </c>
      <c r="Z1268">
        <v>2</v>
      </c>
      <c r="AA1268">
        <v>15</v>
      </c>
    </row>
    <row r="1269" spans="1:27" x14ac:dyDescent="0.3">
      <c r="A1269" s="2">
        <v>45412</v>
      </c>
      <c r="B1269" t="s">
        <v>4</v>
      </c>
      <c r="C1269" t="s">
        <v>8</v>
      </c>
      <c r="D1269">
        <v>19</v>
      </c>
      <c r="E1269">
        <v>433.39</v>
      </c>
      <c r="F1269" t="s">
        <v>14</v>
      </c>
      <c r="G1269" t="s">
        <v>17</v>
      </c>
      <c r="H1269">
        <v>0.05</v>
      </c>
      <c r="I1269" t="s">
        <v>23</v>
      </c>
      <c r="J1269">
        <v>7822.6894999999986</v>
      </c>
      <c r="K1269" t="s">
        <v>24</v>
      </c>
      <c r="L1269" t="s">
        <v>31</v>
      </c>
      <c r="M1269">
        <v>0</v>
      </c>
      <c r="N1269" t="s">
        <v>1342</v>
      </c>
      <c r="O1269" t="s">
        <v>2842</v>
      </c>
      <c r="P1269">
        <v>7.59</v>
      </c>
      <c r="Q1269">
        <f t="shared" si="19"/>
        <v>411.7204999999999</v>
      </c>
      <c r="R1269">
        <v>7815.0994999999984</v>
      </c>
      <c r="S1269" s="2">
        <v>45412</v>
      </c>
      <c r="T1269" s="2">
        <v>45421</v>
      </c>
      <c r="U1269" t="s">
        <v>37</v>
      </c>
      <c r="V1269">
        <v>30</v>
      </c>
      <c r="W1269">
        <v>4</v>
      </c>
      <c r="X1269" t="s">
        <v>45</v>
      </c>
      <c r="Y1269">
        <v>2024</v>
      </c>
      <c r="Z1269">
        <v>2</v>
      </c>
      <c r="AA1269">
        <v>18</v>
      </c>
    </row>
    <row r="1270" spans="1:27" x14ac:dyDescent="0.3">
      <c r="A1270" s="2">
        <v>45703</v>
      </c>
      <c r="B1270" t="s">
        <v>1</v>
      </c>
      <c r="C1270" t="s">
        <v>6</v>
      </c>
      <c r="D1270">
        <v>1</v>
      </c>
      <c r="E1270">
        <v>92.72</v>
      </c>
      <c r="F1270" t="s">
        <v>14</v>
      </c>
      <c r="G1270" t="s">
        <v>16</v>
      </c>
      <c r="H1270">
        <v>0.15</v>
      </c>
      <c r="I1270" t="s">
        <v>18</v>
      </c>
      <c r="J1270">
        <v>78.811999999999998</v>
      </c>
      <c r="K1270" t="s">
        <v>27</v>
      </c>
      <c r="L1270" t="s">
        <v>31</v>
      </c>
      <c r="M1270">
        <v>0</v>
      </c>
      <c r="N1270" t="s">
        <v>1343</v>
      </c>
      <c r="O1270" t="s">
        <v>1986</v>
      </c>
      <c r="P1270">
        <v>48.46</v>
      </c>
      <c r="Q1270">
        <f t="shared" si="19"/>
        <v>78.811999999999998</v>
      </c>
      <c r="R1270">
        <v>30.351999999999997</v>
      </c>
      <c r="S1270" s="2">
        <v>45703</v>
      </c>
      <c r="T1270" s="2">
        <v>45707</v>
      </c>
      <c r="U1270" t="s">
        <v>34</v>
      </c>
      <c r="V1270">
        <v>15</v>
      </c>
      <c r="W1270">
        <v>2</v>
      </c>
      <c r="X1270" t="s">
        <v>38</v>
      </c>
      <c r="Y1270">
        <v>2025</v>
      </c>
      <c r="Z1270">
        <v>1</v>
      </c>
      <c r="AA1270">
        <v>7</v>
      </c>
    </row>
    <row r="1271" spans="1:27" x14ac:dyDescent="0.3">
      <c r="A1271" s="2">
        <v>45706</v>
      </c>
      <c r="B1271" t="s">
        <v>4</v>
      </c>
      <c r="C1271" t="s">
        <v>5</v>
      </c>
      <c r="D1271">
        <v>1</v>
      </c>
      <c r="E1271">
        <v>263.27999999999997</v>
      </c>
      <c r="F1271" t="s">
        <v>15</v>
      </c>
      <c r="G1271" t="s">
        <v>16</v>
      </c>
      <c r="H1271">
        <v>0.1</v>
      </c>
      <c r="I1271" t="s">
        <v>18</v>
      </c>
      <c r="J1271">
        <v>236.952</v>
      </c>
      <c r="K1271" t="s">
        <v>26</v>
      </c>
      <c r="L1271" t="s">
        <v>30</v>
      </c>
      <c r="M1271">
        <v>0</v>
      </c>
      <c r="N1271" t="s">
        <v>1344</v>
      </c>
      <c r="O1271" t="s">
        <v>2843</v>
      </c>
      <c r="P1271">
        <v>36.28</v>
      </c>
      <c r="Q1271">
        <f t="shared" si="19"/>
        <v>236.952</v>
      </c>
      <c r="R1271">
        <v>200.672</v>
      </c>
      <c r="S1271" s="2">
        <v>45706</v>
      </c>
      <c r="T1271" s="2">
        <v>45711</v>
      </c>
      <c r="U1271" t="s">
        <v>37</v>
      </c>
      <c r="V1271">
        <v>18</v>
      </c>
      <c r="W1271">
        <v>2</v>
      </c>
      <c r="X1271" t="s">
        <v>38</v>
      </c>
      <c r="Y1271">
        <v>2025</v>
      </c>
      <c r="Z1271">
        <v>1</v>
      </c>
      <c r="AA1271">
        <v>8</v>
      </c>
    </row>
    <row r="1272" spans="1:27" x14ac:dyDescent="0.3">
      <c r="A1272" s="2">
        <v>45177</v>
      </c>
      <c r="B1272" t="s">
        <v>4</v>
      </c>
      <c r="C1272" t="s">
        <v>6</v>
      </c>
      <c r="D1272">
        <v>11</v>
      </c>
      <c r="E1272">
        <v>358.59</v>
      </c>
      <c r="F1272" t="s">
        <v>12</v>
      </c>
      <c r="G1272" t="s">
        <v>16</v>
      </c>
      <c r="H1272">
        <v>0</v>
      </c>
      <c r="I1272" t="s">
        <v>20</v>
      </c>
      <c r="J1272">
        <v>3944.49</v>
      </c>
      <c r="K1272" t="s">
        <v>26</v>
      </c>
      <c r="L1272" t="s">
        <v>32</v>
      </c>
      <c r="M1272">
        <v>0</v>
      </c>
      <c r="N1272" t="s">
        <v>1345</v>
      </c>
      <c r="O1272" t="s">
        <v>2844</v>
      </c>
      <c r="P1272">
        <v>29.19</v>
      </c>
      <c r="Q1272">
        <f t="shared" si="19"/>
        <v>358.59</v>
      </c>
      <c r="R1272">
        <v>3915.2999999999997</v>
      </c>
      <c r="S1272" s="2">
        <v>45177</v>
      </c>
      <c r="T1272" s="2">
        <v>45179</v>
      </c>
      <c r="U1272" t="s">
        <v>37</v>
      </c>
      <c r="V1272">
        <v>8</v>
      </c>
      <c r="W1272">
        <v>9</v>
      </c>
      <c r="X1272" t="s">
        <v>49</v>
      </c>
      <c r="Y1272">
        <v>2023</v>
      </c>
      <c r="Z1272">
        <v>3</v>
      </c>
      <c r="AA1272">
        <v>36</v>
      </c>
    </row>
    <row r="1273" spans="1:27" x14ac:dyDescent="0.3">
      <c r="A1273" s="2">
        <v>45326</v>
      </c>
      <c r="B1273" t="s">
        <v>3</v>
      </c>
      <c r="C1273" t="s">
        <v>10</v>
      </c>
      <c r="D1273">
        <v>18</v>
      </c>
      <c r="E1273">
        <v>595.53</v>
      </c>
      <c r="F1273" t="s">
        <v>12</v>
      </c>
      <c r="G1273" t="s">
        <v>17</v>
      </c>
      <c r="H1273">
        <v>0</v>
      </c>
      <c r="I1273" t="s">
        <v>20</v>
      </c>
      <c r="J1273">
        <v>10719.54</v>
      </c>
      <c r="K1273" t="s">
        <v>28</v>
      </c>
      <c r="L1273" t="s">
        <v>31</v>
      </c>
      <c r="M1273">
        <v>0</v>
      </c>
      <c r="N1273" t="s">
        <v>1346</v>
      </c>
      <c r="O1273" t="s">
        <v>2845</v>
      </c>
      <c r="P1273">
        <v>42.91</v>
      </c>
      <c r="Q1273">
        <f t="shared" si="19"/>
        <v>595.53000000000009</v>
      </c>
      <c r="R1273">
        <v>10676.630000000001</v>
      </c>
      <c r="S1273" s="2">
        <v>45326</v>
      </c>
      <c r="T1273" s="2">
        <v>45328</v>
      </c>
      <c r="U1273" t="s">
        <v>36</v>
      </c>
      <c r="V1273">
        <v>4</v>
      </c>
      <c r="W1273">
        <v>2</v>
      </c>
      <c r="X1273" t="s">
        <v>38</v>
      </c>
      <c r="Y1273">
        <v>2024</v>
      </c>
      <c r="Z1273">
        <v>1</v>
      </c>
      <c r="AA1273">
        <v>5</v>
      </c>
    </row>
    <row r="1274" spans="1:27" x14ac:dyDescent="0.3">
      <c r="A1274" s="2">
        <v>45621</v>
      </c>
      <c r="B1274" t="s">
        <v>2</v>
      </c>
      <c r="C1274" t="s">
        <v>9</v>
      </c>
      <c r="D1274">
        <v>14</v>
      </c>
      <c r="E1274">
        <v>574.32000000000005</v>
      </c>
      <c r="F1274" t="s">
        <v>15</v>
      </c>
      <c r="G1274" t="s">
        <v>16</v>
      </c>
      <c r="H1274">
        <v>0.15</v>
      </c>
      <c r="I1274" t="s">
        <v>22</v>
      </c>
      <c r="J1274">
        <v>6834.4080000000004</v>
      </c>
      <c r="K1274" t="s">
        <v>26</v>
      </c>
      <c r="L1274" t="s">
        <v>30</v>
      </c>
      <c r="M1274">
        <v>0</v>
      </c>
      <c r="N1274" t="s">
        <v>1347</v>
      </c>
      <c r="O1274" t="s">
        <v>2846</v>
      </c>
      <c r="P1274">
        <v>12.07</v>
      </c>
      <c r="Q1274">
        <f t="shared" si="19"/>
        <v>488.17200000000003</v>
      </c>
      <c r="R1274">
        <v>6822.3380000000006</v>
      </c>
      <c r="S1274" s="2">
        <v>45621</v>
      </c>
      <c r="T1274" s="2">
        <v>45631</v>
      </c>
      <c r="U1274" t="s">
        <v>35</v>
      </c>
      <c r="V1274">
        <v>25</v>
      </c>
      <c r="W1274">
        <v>11</v>
      </c>
      <c r="X1274" t="s">
        <v>47</v>
      </c>
      <c r="Y1274">
        <v>2024</v>
      </c>
      <c r="Z1274">
        <v>4</v>
      </c>
      <c r="AA1274">
        <v>48</v>
      </c>
    </row>
    <row r="1275" spans="1:27" x14ac:dyDescent="0.3">
      <c r="A1275" s="2">
        <v>45656</v>
      </c>
      <c r="B1275" t="s">
        <v>2</v>
      </c>
      <c r="C1275" t="s">
        <v>5</v>
      </c>
      <c r="D1275">
        <v>18</v>
      </c>
      <c r="E1275">
        <v>444.13</v>
      </c>
      <c r="F1275" t="s">
        <v>15</v>
      </c>
      <c r="G1275" t="s">
        <v>17</v>
      </c>
      <c r="H1275">
        <v>0</v>
      </c>
      <c r="I1275" t="s">
        <v>20</v>
      </c>
      <c r="J1275">
        <v>7994.34</v>
      </c>
      <c r="K1275" t="s">
        <v>28</v>
      </c>
      <c r="L1275" t="s">
        <v>30</v>
      </c>
      <c r="M1275">
        <v>0</v>
      </c>
      <c r="N1275" t="s">
        <v>1348</v>
      </c>
      <c r="O1275" t="s">
        <v>2847</v>
      </c>
      <c r="P1275">
        <v>5.41</v>
      </c>
      <c r="Q1275">
        <f t="shared" si="19"/>
        <v>444.13</v>
      </c>
      <c r="R1275">
        <v>7988.93</v>
      </c>
      <c r="S1275" s="2">
        <v>45656</v>
      </c>
      <c r="T1275" s="2">
        <v>45659</v>
      </c>
      <c r="U1275" t="s">
        <v>35</v>
      </c>
      <c r="V1275">
        <v>30</v>
      </c>
      <c r="W1275">
        <v>12</v>
      </c>
      <c r="X1275" t="s">
        <v>39</v>
      </c>
      <c r="Y1275">
        <v>2024</v>
      </c>
      <c r="Z1275">
        <v>4</v>
      </c>
      <c r="AA1275">
        <v>1</v>
      </c>
    </row>
    <row r="1276" spans="1:27" x14ac:dyDescent="0.3">
      <c r="A1276" s="2">
        <v>45174</v>
      </c>
      <c r="B1276" t="s">
        <v>4</v>
      </c>
      <c r="C1276" t="s">
        <v>10</v>
      </c>
      <c r="D1276">
        <v>19</v>
      </c>
      <c r="E1276">
        <v>431.47</v>
      </c>
      <c r="F1276" t="s">
        <v>13</v>
      </c>
      <c r="G1276" t="s">
        <v>17</v>
      </c>
      <c r="H1276">
        <v>0.1</v>
      </c>
      <c r="I1276" t="s">
        <v>18</v>
      </c>
      <c r="J1276">
        <v>7378.1370000000006</v>
      </c>
      <c r="K1276" t="s">
        <v>25</v>
      </c>
      <c r="L1276" t="s">
        <v>31</v>
      </c>
      <c r="M1276">
        <v>0</v>
      </c>
      <c r="N1276" t="s">
        <v>1349</v>
      </c>
      <c r="O1276" t="s">
        <v>2848</v>
      </c>
      <c r="P1276">
        <v>49.23</v>
      </c>
      <c r="Q1276">
        <f t="shared" si="19"/>
        <v>388.32300000000004</v>
      </c>
      <c r="R1276">
        <v>7328.9070000000011</v>
      </c>
      <c r="S1276" s="2">
        <v>45174</v>
      </c>
      <c r="T1276" s="2">
        <v>45179</v>
      </c>
      <c r="U1276" t="s">
        <v>37</v>
      </c>
      <c r="V1276">
        <v>5</v>
      </c>
      <c r="W1276">
        <v>9</v>
      </c>
      <c r="X1276" t="s">
        <v>49</v>
      </c>
      <c r="Y1276">
        <v>2023</v>
      </c>
      <c r="Z1276">
        <v>3</v>
      </c>
      <c r="AA1276">
        <v>36</v>
      </c>
    </row>
    <row r="1277" spans="1:27" x14ac:dyDescent="0.3">
      <c r="A1277" s="2">
        <v>45139</v>
      </c>
      <c r="B1277" t="s">
        <v>4</v>
      </c>
      <c r="C1277" t="s">
        <v>11</v>
      </c>
      <c r="D1277">
        <v>19</v>
      </c>
      <c r="E1277">
        <v>67.489999999999995</v>
      </c>
      <c r="F1277" t="s">
        <v>14</v>
      </c>
      <c r="G1277" t="s">
        <v>17</v>
      </c>
      <c r="H1277">
        <v>0</v>
      </c>
      <c r="I1277" t="s">
        <v>20</v>
      </c>
      <c r="J1277">
        <v>1282.31</v>
      </c>
      <c r="K1277" t="s">
        <v>27</v>
      </c>
      <c r="L1277" t="s">
        <v>30</v>
      </c>
      <c r="M1277">
        <v>0</v>
      </c>
      <c r="N1277" t="s">
        <v>1350</v>
      </c>
      <c r="O1277" t="s">
        <v>2849</v>
      </c>
      <c r="P1277">
        <v>32.04</v>
      </c>
      <c r="Q1277">
        <f t="shared" si="19"/>
        <v>67.489999999999995</v>
      </c>
      <c r="R1277">
        <v>1250.27</v>
      </c>
      <c r="S1277" s="2">
        <v>45139</v>
      </c>
      <c r="T1277" s="2">
        <v>45149</v>
      </c>
      <c r="U1277" t="s">
        <v>37</v>
      </c>
      <c r="V1277">
        <v>1</v>
      </c>
      <c r="W1277">
        <v>8</v>
      </c>
      <c r="X1277" t="s">
        <v>48</v>
      </c>
      <c r="Y1277">
        <v>2023</v>
      </c>
      <c r="Z1277">
        <v>3</v>
      </c>
      <c r="AA1277">
        <v>31</v>
      </c>
    </row>
    <row r="1278" spans="1:27" x14ac:dyDescent="0.3">
      <c r="A1278" s="2">
        <v>44932</v>
      </c>
      <c r="B1278" t="s">
        <v>3</v>
      </c>
      <c r="C1278" t="s">
        <v>10</v>
      </c>
      <c r="D1278">
        <v>11</v>
      </c>
      <c r="E1278">
        <v>25.67</v>
      </c>
      <c r="F1278" t="s">
        <v>14</v>
      </c>
      <c r="G1278" t="s">
        <v>17</v>
      </c>
      <c r="H1278">
        <v>0.15</v>
      </c>
      <c r="I1278" t="s">
        <v>21</v>
      </c>
      <c r="J1278">
        <v>240.0145</v>
      </c>
      <c r="K1278" t="s">
        <v>26</v>
      </c>
      <c r="L1278" t="s">
        <v>30</v>
      </c>
      <c r="M1278">
        <v>0</v>
      </c>
      <c r="N1278" t="s">
        <v>1351</v>
      </c>
      <c r="O1278" t="s">
        <v>2850</v>
      </c>
      <c r="P1278">
        <v>30.12</v>
      </c>
      <c r="Q1278">
        <f t="shared" si="19"/>
        <v>21.819500000000001</v>
      </c>
      <c r="R1278">
        <v>209.89449999999999</v>
      </c>
      <c r="S1278" s="2">
        <v>44932</v>
      </c>
      <c r="T1278" s="2">
        <v>44934</v>
      </c>
      <c r="U1278" t="s">
        <v>36</v>
      </c>
      <c r="V1278">
        <v>6</v>
      </c>
      <c r="W1278">
        <v>1</v>
      </c>
      <c r="X1278" t="s">
        <v>42</v>
      </c>
      <c r="Y1278">
        <v>2023</v>
      </c>
      <c r="Z1278">
        <v>1</v>
      </c>
      <c r="AA1278">
        <v>1</v>
      </c>
    </row>
    <row r="1279" spans="1:27" x14ac:dyDescent="0.3">
      <c r="A1279" s="2">
        <v>45779</v>
      </c>
      <c r="B1279" t="s">
        <v>3</v>
      </c>
      <c r="C1279" t="s">
        <v>6</v>
      </c>
      <c r="D1279">
        <v>4</v>
      </c>
      <c r="E1279">
        <v>368.69</v>
      </c>
      <c r="F1279" t="s">
        <v>15</v>
      </c>
      <c r="G1279" t="s">
        <v>16</v>
      </c>
      <c r="H1279">
        <v>0</v>
      </c>
      <c r="I1279" t="s">
        <v>22</v>
      </c>
      <c r="J1279">
        <v>1474.76</v>
      </c>
      <c r="K1279" t="s">
        <v>25</v>
      </c>
      <c r="L1279" t="s">
        <v>31</v>
      </c>
      <c r="M1279">
        <v>0</v>
      </c>
      <c r="N1279" t="s">
        <v>1352</v>
      </c>
      <c r="O1279" t="s">
        <v>2851</v>
      </c>
      <c r="P1279">
        <v>48.57</v>
      </c>
      <c r="Q1279">
        <f t="shared" si="19"/>
        <v>368.69</v>
      </c>
      <c r="R1279">
        <v>1426.19</v>
      </c>
      <c r="S1279" s="2">
        <v>45779</v>
      </c>
      <c r="T1279" s="2">
        <v>45783</v>
      </c>
      <c r="U1279" t="s">
        <v>36</v>
      </c>
      <c r="V1279">
        <v>2</v>
      </c>
      <c r="W1279">
        <v>5</v>
      </c>
      <c r="X1279" t="s">
        <v>40</v>
      </c>
      <c r="Y1279">
        <v>2025</v>
      </c>
      <c r="Z1279">
        <v>2</v>
      </c>
      <c r="AA1279">
        <v>18</v>
      </c>
    </row>
    <row r="1280" spans="1:27" x14ac:dyDescent="0.3">
      <c r="A1280" s="2">
        <v>45281</v>
      </c>
      <c r="B1280" t="s">
        <v>4</v>
      </c>
      <c r="C1280" t="s">
        <v>9</v>
      </c>
      <c r="D1280">
        <v>7</v>
      </c>
      <c r="E1280">
        <v>257.01</v>
      </c>
      <c r="F1280" t="s">
        <v>15</v>
      </c>
      <c r="G1280" t="s">
        <v>17</v>
      </c>
      <c r="H1280">
        <v>0.05</v>
      </c>
      <c r="I1280" t="s">
        <v>18</v>
      </c>
      <c r="J1280">
        <v>1709.1165000000001</v>
      </c>
      <c r="K1280" t="s">
        <v>26</v>
      </c>
      <c r="L1280" t="s">
        <v>32</v>
      </c>
      <c r="M1280">
        <v>0</v>
      </c>
      <c r="N1280" t="s">
        <v>1353</v>
      </c>
      <c r="O1280" t="s">
        <v>2852</v>
      </c>
      <c r="P1280">
        <v>35.520000000000003</v>
      </c>
      <c r="Q1280">
        <f t="shared" si="19"/>
        <v>244.15950000000001</v>
      </c>
      <c r="R1280">
        <v>1673.5965000000001</v>
      </c>
      <c r="S1280" s="2">
        <v>45281</v>
      </c>
      <c r="T1280" s="2">
        <v>45288</v>
      </c>
      <c r="U1280" t="s">
        <v>37</v>
      </c>
      <c r="V1280">
        <v>21</v>
      </c>
      <c r="W1280">
        <v>12</v>
      </c>
      <c r="X1280" t="s">
        <v>39</v>
      </c>
      <c r="Y1280">
        <v>2023</v>
      </c>
      <c r="Z1280">
        <v>4</v>
      </c>
      <c r="AA1280">
        <v>51</v>
      </c>
    </row>
    <row r="1281" spans="1:27" x14ac:dyDescent="0.3">
      <c r="A1281" s="2">
        <v>45545</v>
      </c>
      <c r="B1281" t="s">
        <v>0</v>
      </c>
      <c r="C1281" t="s">
        <v>5</v>
      </c>
      <c r="D1281">
        <v>14</v>
      </c>
      <c r="E1281">
        <v>85.54</v>
      </c>
      <c r="F1281" t="s">
        <v>12</v>
      </c>
      <c r="G1281" t="s">
        <v>16</v>
      </c>
      <c r="H1281">
        <v>0</v>
      </c>
      <c r="I1281" t="s">
        <v>20</v>
      </c>
      <c r="J1281">
        <v>1197.56</v>
      </c>
      <c r="K1281" t="s">
        <v>25</v>
      </c>
      <c r="L1281" t="s">
        <v>29</v>
      </c>
      <c r="M1281">
        <v>0</v>
      </c>
      <c r="N1281" t="s">
        <v>1354</v>
      </c>
      <c r="O1281" t="s">
        <v>2853</v>
      </c>
      <c r="P1281">
        <v>16.079999999999998</v>
      </c>
      <c r="Q1281">
        <f t="shared" si="19"/>
        <v>85.539999999999992</v>
      </c>
      <c r="R1281">
        <v>1181.48</v>
      </c>
      <c r="S1281" s="2">
        <v>45545</v>
      </c>
      <c r="T1281" s="2">
        <v>45549</v>
      </c>
      <c r="U1281" t="s">
        <v>33</v>
      </c>
      <c r="V1281">
        <v>10</v>
      </c>
      <c r="W1281">
        <v>9</v>
      </c>
      <c r="X1281" t="s">
        <v>49</v>
      </c>
      <c r="Y1281">
        <v>2024</v>
      </c>
      <c r="Z1281">
        <v>3</v>
      </c>
      <c r="AA1281">
        <v>37</v>
      </c>
    </row>
    <row r="1282" spans="1:27" x14ac:dyDescent="0.3">
      <c r="A1282" s="2">
        <v>45387</v>
      </c>
      <c r="B1282" t="s">
        <v>3</v>
      </c>
      <c r="C1282" t="s">
        <v>8</v>
      </c>
      <c r="D1282">
        <v>9</v>
      </c>
      <c r="E1282">
        <v>267.60000000000002</v>
      </c>
      <c r="F1282" t="s">
        <v>15</v>
      </c>
      <c r="G1282" t="s">
        <v>17</v>
      </c>
      <c r="H1282">
        <v>0.15</v>
      </c>
      <c r="I1282" t="s">
        <v>18</v>
      </c>
      <c r="J1282">
        <v>2047.14</v>
      </c>
      <c r="K1282" t="s">
        <v>26</v>
      </c>
      <c r="L1282" t="s">
        <v>29</v>
      </c>
      <c r="M1282">
        <v>0</v>
      </c>
      <c r="N1282" t="s">
        <v>1355</v>
      </c>
      <c r="O1282" t="s">
        <v>2854</v>
      </c>
      <c r="P1282">
        <v>8.48</v>
      </c>
      <c r="Q1282">
        <f t="shared" si="19"/>
        <v>227.46</v>
      </c>
      <c r="R1282">
        <v>2038.66</v>
      </c>
      <c r="S1282" s="2">
        <v>45387</v>
      </c>
      <c r="T1282" s="2">
        <v>45392</v>
      </c>
      <c r="U1282" t="s">
        <v>36</v>
      </c>
      <c r="V1282">
        <v>5</v>
      </c>
      <c r="W1282">
        <v>4</v>
      </c>
      <c r="X1282" t="s">
        <v>45</v>
      </c>
      <c r="Y1282">
        <v>2024</v>
      </c>
      <c r="Z1282">
        <v>2</v>
      </c>
      <c r="AA1282">
        <v>14</v>
      </c>
    </row>
    <row r="1283" spans="1:27" x14ac:dyDescent="0.3">
      <c r="A1283" s="2">
        <v>45133</v>
      </c>
      <c r="B1283" t="s">
        <v>0</v>
      </c>
      <c r="C1283" t="s">
        <v>7</v>
      </c>
      <c r="D1283">
        <v>15</v>
      </c>
      <c r="E1283">
        <v>261.85000000000002</v>
      </c>
      <c r="F1283" t="s">
        <v>15</v>
      </c>
      <c r="G1283" t="s">
        <v>16</v>
      </c>
      <c r="H1283">
        <v>0.15</v>
      </c>
      <c r="I1283" t="s">
        <v>22</v>
      </c>
      <c r="J1283">
        <v>3338.5875000000001</v>
      </c>
      <c r="K1283" t="s">
        <v>24</v>
      </c>
      <c r="L1283" t="s">
        <v>30</v>
      </c>
      <c r="M1283">
        <v>0</v>
      </c>
      <c r="N1283" t="s">
        <v>1356</v>
      </c>
      <c r="O1283" t="s">
        <v>2855</v>
      </c>
      <c r="P1283">
        <v>40.68</v>
      </c>
      <c r="Q1283">
        <f t="shared" ref="Q1283:Q1346" si="20">J1283/D1283</f>
        <v>222.57250000000002</v>
      </c>
      <c r="R1283">
        <v>3297.9075000000003</v>
      </c>
      <c r="S1283" s="2">
        <v>45133</v>
      </c>
      <c r="T1283" s="2">
        <v>45138</v>
      </c>
      <c r="U1283" t="s">
        <v>33</v>
      </c>
      <c r="V1283">
        <v>26</v>
      </c>
      <c r="W1283">
        <v>7</v>
      </c>
      <c r="X1283" t="s">
        <v>46</v>
      </c>
      <c r="Y1283">
        <v>2023</v>
      </c>
      <c r="Z1283">
        <v>3</v>
      </c>
      <c r="AA1283">
        <v>30</v>
      </c>
    </row>
    <row r="1284" spans="1:27" x14ac:dyDescent="0.3">
      <c r="A1284" s="2">
        <v>45242</v>
      </c>
      <c r="B1284" t="s">
        <v>0</v>
      </c>
      <c r="C1284" t="s">
        <v>11</v>
      </c>
      <c r="D1284">
        <v>11</v>
      </c>
      <c r="E1284">
        <v>199.57</v>
      </c>
      <c r="F1284" t="s">
        <v>13</v>
      </c>
      <c r="G1284" t="s">
        <v>17</v>
      </c>
      <c r="H1284">
        <v>0.05</v>
      </c>
      <c r="I1284" t="s">
        <v>23</v>
      </c>
      <c r="J1284">
        <v>2085.5065</v>
      </c>
      <c r="K1284" t="s">
        <v>27</v>
      </c>
      <c r="L1284" t="s">
        <v>30</v>
      </c>
      <c r="M1284">
        <v>0</v>
      </c>
      <c r="N1284" t="s">
        <v>1357</v>
      </c>
      <c r="O1284" t="s">
        <v>2856</v>
      </c>
      <c r="P1284">
        <v>48.94</v>
      </c>
      <c r="Q1284">
        <f t="shared" si="20"/>
        <v>189.5915</v>
      </c>
      <c r="R1284">
        <v>2036.5664999999999</v>
      </c>
      <c r="S1284" s="2">
        <v>45242</v>
      </c>
      <c r="T1284" s="2">
        <v>45244</v>
      </c>
      <c r="U1284" t="s">
        <v>33</v>
      </c>
      <c r="V1284">
        <v>12</v>
      </c>
      <c r="W1284">
        <v>11</v>
      </c>
      <c r="X1284" t="s">
        <v>47</v>
      </c>
      <c r="Y1284">
        <v>2023</v>
      </c>
      <c r="Z1284">
        <v>4</v>
      </c>
      <c r="AA1284">
        <v>45</v>
      </c>
    </row>
    <row r="1285" spans="1:27" x14ac:dyDescent="0.3">
      <c r="A1285" s="2">
        <v>45765</v>
      </c>
      <c r="B1285" t="s">
        <v>3</v>
      </c>
      <c r="C1285" t="s">
        <v>6</v>
      </c>
      <c r="D1285">
        <v>5</v>
      </c>
      <c r="E1285">
        <v>504.96</v>
      </c>
      <c r="F1285" t="s">
        <v>14</v>
      </c>
      <c r="G1285" t="s">
        <v>17</v>
      </c>
      <c r="H1285">
        <v>0.05</v>
      </c>
      <c r="I1285" t="s">
        <v>22</v>
      </c>
      <c r="J1285">
        <v>2398.559999999999</v>
      </c>
      <c r="K1285" t="s">
        <v>25</v>
      </c>
      <c r="L1285" t="s">
        <v>29</v>
      </c>
      <c r="M1285">
        <v>0</v>
      </c>
      <c r="N1285" t="s">
        <v>1358</v>
      </c>
      <c r="O1285" t="s">
        <v>2857</v>
      </c>
      <c r="P1285">
        <v>22.12</v>
      </c>
      <c r="Q1285">
        <f t="shared" si="20"/>
        <v>479.71199999999982</v>
      </c>
      <c r="R1285">
        <v>2376.4399999999991</v>
      </c>
      <c r="S1285" s="2">
        <v>45765</v>
      </c>
      <c r="T1285" s="2">
        <v>45767</v>
      </c>
      <c r="U1285" t="s">
        <v>36</v>
      </c>
      <c r="V1285">
        <v>18</v>
      </c>
      <c r="W1285">
        <v>4</v>
      </c>
      <c r="X1285" t="s">
        <v>45</v>
      </c>
      <c r="Y1285">
        <v>2025</v>
      </c>
      <c r="Z1285">
        <v>2</v>
      </c>
      <c r="AA1285">
        <v>16</v>
      </c>
    </row>
    <row r="1286" spans="1:27" x14ac:dyDescent="0.3">
      <c r="A1286" s="2">
        <v>45150</v>
      </c>
      <c r="B1286" t="s">
        <v>1</v>
      </c>
      <c r="C1286" t="s">
        <v>8</v>
      </c>
      <c r="D1286">
        <v>8</v>
      </c>
      <c r="E1286">
        <v>28.34</v>
      </c>
      <c r="F1286" t="s">
        <v>14</v>
      </c>
      <c r="G1286" t="s">
        <v>16</v>
      </c>
      <c r="H1286">
        <v>0.05</v>
      </c>
      <c r="I1286" t="s">
        <v>19</v>
      </c>
      <c r="J1286">
        <v>215.38399999999999</v>
      </c>
      <c r="K1286" t="s">
        <v>28</v>
      </c>
      <c r="L1286" t="s">
        <v>32</v>
      </c>
      <c r="M1286">
        <v>1</v>
      </c>
      <c r="N1286" t="s">
        <v>1359</v>
      </c>
      <c r="O1286" t="s">
        <v>2858</v>
      </c>
      <c r="P1286">
        <v>23.19</v>
      </c>
      <c r="Q1286">
        <f t="shared" si="20"/>
        <v>26.922999999999998</v>
      </c>
      <c r="R1286">
        <v>192.19399999999999</v>
      </c>
      <c r="S1286" s="2">
        <v>45150</v>
      </c>
      <c r="T1286" s="2">
        <v>45157</v>
      </c>
      <c r="U1286" t="s">
        <v>34</v>
      </c>
      <c r="V1286">
        <v>12</v>
      </c>
      <c r="W1286">
        <v>8</v>
      </c>
      <c r="X1286" t="s">
        <v>48</v>
      </c>
      <c r="Y1286">
        <v>2023</v>
      </c>
      <c r="Z1286">
        <v>3</v>
      </c>
      <c r="AA1286">
        <v>32</v>
      </c>
    </row>
    <row r="1287" spans="1:27" x14ac:dyDescent="0.3">
      <c r="A1287" s="2">
        <v>45638</v>
      </c>
      <c r="B1287" t="s">
        <v>4</v>
      </c>
      <c r="C1287" t="s">
        <v>11</v>
      </c>
      <c r="D1287">
        <v>17</v>
      </c>
      <c r="E1287">
        <v>495.13</v>
      </c>
      <c r="F1287" t="s">
        <v>15</v>
      </c>
      <c r="G1287" t="s">
        <v>16</v>
      </c>
      <c r="H1287">
        <v>0.1</v>
      </c>
      <c r="I1287" t="s">
        <v>19</v>
      </c>
      <c r="J1287">
        <v>7575.4889999999996</v>
      </c>
      <c r="K1287" t="s">
        <v>24</v>
      </c>
      <c r="L1287" t="s">
        <v>29</v>
      </c>
      <c r="M1287">
        <v>1</v>
      </c>
      <c r="N1287" t="s">
        <v>1360</v>
      </c>
      <c r="O1287" t="s">
        <v>2859</v>
      </c>
      <c r="P1287">
        <v>26.37</v>
      </c>
      <c r="Q1287">
        <f t="shared" si="20"/>
        <v>445.61699999999996</v>
      </c>
      <c r="R1287">
        <v>7549.1189999999997</v>
      </c>
      <c r="S1287" s="2">
        <v>45638</v>
      </c>
      <c r="T1287" s="2">
        <v>45647</v>
      </c>
      <c r="U1287" t="s">
        <v>37</v>
      </c>
      <c r="V1287">
        <v>12</v>
      </c>
      <c r="W1287">
        <v>12</v>
      </c>
      <c r="X1287" t="s">
        <v>39</v>
      </c>
      <c r="Y1287">
        <v>2024</v>
      </c>
      <c r="Z1287">
        <v>4</v>
      </c>
      <c r="AA1287">
        <v>50</v>
      </c>
    </row>
    <row r="1288" spans="1:27" x14ac:dyDescent="0.3">
      <c r="A1288" s="2">
        <v>45784</v>
      </c>
      <c r="B1288" t="s">
        <v>4</v>
      </c>
      <c r="C1288" t="s">
        <v>6</v>
      </c>
      <c r="D1288">
        <v>14</v>
      </c>
      <c r="E1288">
        <v>142.05000000000001</v>
      </c>
      <c r="F1288" t="s">
        <v>15</v>
      </c>
      <c r="G1288" t="s">
        <v>17</v>
      </c>
      <c r="H1288">
        <v>0.05</v>
      </c>
      <c r="I1288" t="s">
        <v>20</v>
      </c>
      <c r="J1288">
        <v>1889.2650000000001</v>
      </c>
      <c r="K1288" t="s">
        <v>25</v>
      </c>
      <c r="L1288" t="s">
        <v>30</v>
      </c>
      <c r="M1288">
        <v>0</v>
      </c>
      <c r="N1288" t="s">
        <v>1361</v>
      </c>
      <c r="O1288" t="s">
        <v>2860</v>
      </c>
      <c r="P1288">
        <v>33.65</v>
      </c>
      <c r="Q1288">
        <f t="shared" si="20"/>
        <v>134.94750000000002</v>
      </c>
      <c r="R1288">
        <v>1855.615</v>
      </c>
      <c r="S1288" s="2">
        <v>45784</v>
      </c>
      <c r="T1288" s="2">
        <v>45790</v>
      </c>
      <c r="U1288" t="s">
        <v>37</v>
      </c>
      <c r="V1288">
        <v>7</v>
      </c>
      <c r="W1288">
        <v>5</v>
      </c>
      <c r="X1288" t="s">
        <v>40</v>
      </c>
      <c r="Y1288">
        <v>2025</v>
      </c>
      <c r="Z1288">
        <v>2</v>
      </c>
      <c r="AA1288">
        <v>19</v>
      </c>
    </row>
    <row r="1289" spans="1:27" x14ac:dyDescent="0.3">
      <c r="A1289" s="2">
        <v>45726</v>
      </c>
      <c r="B1289" t="s">
        <v>0</v>
      </c>
      <c r="C1289" t="s">
        <v>8</v>
      </c>
      <c r="D1289">
        <v>16</v>
      </c>
      <c r="E1289">
        <v>504.36</v>
      </c>
      <c r="F1289" t="s">
        <v>15</v>
      </c>
      <c r="G1289" t="s">
        <v>16</v>
      </c>
      <c r="H1289">
        <v>0</v>
      </c>
      <c r="I1289" t="s">
        <v>23</v>
      </c>
      <c r="J1289">
        <v>8069.76</v>
      </c>
      <c r="K1289" t="s">
        <v>27</v>
      </c>
      <c r="L1289" t="s">
        <v>32</v>
      </c>
      <c r="M1289">
        <v>1</v>
      </c>
      <c r="N1289" t="s">
        <v>1362</v>
      </c>
      <c r="O1289" t="s">
        <v>2861</v>
      </c>
      <c r="P1289">
        <v>11.67</v>
      </c>
      <c r="Q1289">
        <f t="shared" si="20"/>
        <v>504.36</v>
      </c>
      <c r="R1289">
        <v>8058.09</v>
      </c>
      <c r="S1289" s="2">
        <v>45726</v>
      </c>
      <c r="T1289" s="2">
        <v>45729</v>
      </c>
      <c r="U1289" t="s">
        <v>33</v>
      </c>
      <c r="V1289">
        <v>10</v>
      </c>
      <c r="W1289">
        <v>3</v>
      </c>
      <c r="X1289" t="s">
        <v>44</v>
      </c>
      <c r="Y1289">
        <v>2025</v>
      </c>
      <c r="Z1289">
        <v>1</v>
      </c>
      <c r="AA1289">
        <v>11</v>
      </c>
    </row>
    <row r="1290" spans="1:27" x14ac:dyDescent="0.3">
      <c r="A1290" s="2">
        <v>45809</v>
      </c>
      <c r="B1290" t="s">
        <v>0</v>
      </c>
      <c r="C1290" t="s">
        <v>7</v>
      </c>
      <c r="D1290">
        <v>7</v>
      </c>
      <c r="E1290">
        <v>122.2</v>
      </c>
      <c r="F1290" t="s">
        <v>12</v>
      </c>
      <c r="G1290" t="s">
        <v>17</v>
      </c>
      <c r="H1290">
        <v>0</v>
      </c>
      <c r="I1290" t="s">
        <v>21</v>
      </c>
      <c r="J1290">
        <v>855.4</v>
      </c>
      <c r="K1290" t="s">
        <v>26</v>
      </c>
      <c r="L1290" t="s">
        <v>32</v>
      </c>
      <c r="M1290">
        <v>0</v>
      </c>
      <c r="N1290" t="s">
        <v>1363</v>
      </c>
      <c r="O1290" t="s">
        <v>2862</v>
      </c>
      <c r="P1290">
        <v>30.21</v>
      </c>
      <c r="Q1290">
        <f t="shared" si="20"/>
        <v>122.2</v>
      </c>
      <c r="R1290">
        <v>825.18999999999994</v>
      </c>
      <c r="S1290" s="2">
        <v>45809</v>
      </c>
      <c r="T1290" s="2">
        <v>45818</v>
      </c>
      <c r="U1290" t="s">
        <v>33</v>
      </c>
      <c r="V1290">
        <v>1</v>
      </c>
      <c r="W1290">
        <v>6</v>
      </c>
      <c r="X1290" t="s">
        <v>41</v>
      </c>
      <c r="Y1290">
        <v>2025</v>
      </c>
      <c r="Z1290">
        <v>2</v>
      </c>
      <c r="AA1290">
        <v>22</v>
      </c>
    </row>
    <row r="1291" spans="1:27" x14ac:dyDescent="0.3">
      <c r="A1291" s="2">
        <v>45796</v>
      </c>
      <c r="B1291" t="s">
        <v>4</v>
      </c>
      <c r="C1291" t="s">
        <v>8</v>
      </c>
      <c r="D1291">
        <v>7</v>
      </c>
      <c r="E1291">
        <v>338.42</v>
      </c>
      <c r="F1291" t="s">
        <v>12</v>
      </c>
      <c r="G1291" t="s">
        <v>17</v>
      </c>
      <c r="H1291">
        <v>0.15</v>
      </c>
      <c r="I1291" t="s">
        <v>19</v>
      </c>
      <c r="J1291">
        <v>2013.5989999999999</v>
      </c>
      <c r="K1291" t="s">
        <v>24</v>
      </c>
      <c r="L1291" t="s">
        <v>29</v>
      </c>
      <c r="M1291">
        <v>0</v>
      </c>
      <c r="N1291" t="s">
        <v>1364</v>
      </c>
      <c r="O1291" t="s">
        <v>2863</v>
      </c>
      <c r="P1291">
        <v>5.82</v>
      </c>
      <c r="Q1291">
        <f t="shared" si="20"/>
        <v>287.65699999999998</v>
      </c>
      <c r="R1291">
        <v>2007.779</v>
      </c>
      <c r="S1291" s="2">
        <v>45796</v>
      </c>
      <c r="T1291" s="2">
        <v>45798</v>
      </c>
      <c r="U1291" t="s">
        <v>37</v>
      </c>
      <c r="V1291">
        <v>19</v>
      </c>
      <c r="W1291">
        <v>5</v>
      </c>
      <c r="X1291" t="s">
        <v>40</v>
      </c>
      <c r="Y1291">
        <v>2025</v>
      </c>
      <c r="Z1291">
        <v>2</v>
      </c>
      <c r="AA1291">
        <v>21</v>
      </c>
    </row>
    <row r="1292" spans="1:27" x14ac:dyDescent="0.3">
      <c r="A1292" s="2">
        <v>44965</v>
      </c>
      <c r="B1292" t="s">
        <v>0</v>
      </c>
      <c r="C1292" t="s">
        <v>10</v>
      </c>
      <c r="D1292">
        <v>4</v>
      </c>
      <c r="E1292">
        <v>224.75</v>
      </c>
      <c r="F1292" t="s">
        <v>15</v>
      </c>
      <c r="G1292" t="s">
        <v>16</v>
      </c>
      <c r="H1292">
        <v>0</v>
      </c>
      <c r="I1292" t="s">
        <v>20</v>
      </c>
      <c r="J1292">
        <v>899</v>
      </c>
      <c r="K1292" t="s">
        <v>27</v>
      </c>
      <c r="L1292" t="s">
        <v>32</v>
      </c>
      <c r="M1292">
        <v>0</v>
      </c>
      <c r="N1292" t="s">
        <v>1365</v>
      </c>
      <c r="O1292" t="s">
        <v>2864</v>
      </c>
      <c r="P1292">
        <v>43.86</v>
      </c>
      <c r="Q1292">
        <f t="shared" si="20"/>
        <v>224.75</v>
      </c>
      <c r="R1292">
        <v>855.14</v>
      </c>
      <c r="S1292" s="2">
        <v>44965</v>
      </c>
      <c r="T1292" s="2">
        <v>44973</v>
      </c>
      <c r="U1292" t="s">
        <v>33</v>
      </c>
      <c r="V1292">
        <v>8</v>
      </c>
      <c r="W1292">
        <v>2</v>
      </c>
      <c r="X1292" t="s">
        <v>38</v>
      </c>
      <c r="Y1292">
        <v>2023</v>
      </c>
      <c r="Z1292">
        <v>1</v>
      </c>
      <c r="AA1292">
        <v>6</v>
      </c>
    </row>
    <row r="1293" spans="1:27" x14ac:dyDescent="0.3">
      <c r="A1293" s="2">
        <v>45771</v>
      </c>
      <c r="B1293" t="s">
        <v>3</v>
      </c>
      <c r="C1293" t="s">
        <v>7</v>
      </c>
      <c r="D1293">
        <v>16</v>
      </c>
      <c r="E1293">
        <v>509.71</v>
      </c>
      <c r="F1293" t="s">
        <v>14</v>
      </c>
      <c r="G1293" t="s">
        <v>16</v>
      </c>
      <c r="H1293">
        <v>0.1</v>
      </c>
      <c r="I1293" t="s">
        <v>21</v>
      </c>
      <c r="J1293">
        <v>7339.8239999999996</v>
      </c>
      <c r="K1293" t="s">
        <v>28</v>
      </c>
      <c r="L1293" t="s">
        <v>32</v>
      </c>
      <c r="M1293">
        <v>0</v>
      </c>
      <c r="N1293" t="s">
        <v>1366</v>
      </c>
      <c r="O1293" t="s">
        <v>2865</v>
      </c>
      <c r="P1293">
        <v>41.78</v>
      </c>
      <c r="Q1293">
        <f t="shared" si="20"/>
        <v>458.73899999999998</v>
      </c>
      <c r="R1293">
        <v>7298.0439999999999</v>
      </c>
      <c r="S1293" s="2">
        <v>45771</v>
      </c>
      <c r="T1293" s="2">
        <v>45780</v>
      </c>
      <c r="U1293" t="s">
        <v>36</v>
      </c>
      <c r="V1293">
        <v>24</v>
      </c>
      <c r="W1293">
        <v>4</v>
      </c>
      <c r="X1293" t="s">
        <v>45</v>
      </c>
      <c r="Y1293">
        <v>2025</v>
      </c>
      <c r="Z1293">
        <v>2</v>
      </c>
      <c r="AA1293">
        <v>17</v>
      </c>
    </row>
    <row r="1294" spans="1:27" x14ac:dyDescent="0.3">
      <c r="A1294" s="2">
        <v>45536</v>
      </c>
      <c r="B1294" t="s">
        <v>2</v>
      </c>
      <c r="C1294" t="s">
        <v>10</v>
      </c>
      <c r="D1294">
        <v>14</v>
      </c>
      <c r="E1294">
        <v>297.56</v>
      </c>
      <c r="F1294" t="s">
        <v>12</v>
      </c>
      <c r="G1294" t="s">
        <v>16</v>
      </c>
      <c r="H1294">
        <v>0.1</v>
      </c>
      <c r="I1294" t="s">
        <v>22</v>
      </c>
      <c r="J1294">
        <v>3749.2559999999999</v>
      </c>
      <c r="K1294" t="s">
        <v>27</v>
      </c>
      <c r="L1294" t="s">
        <v>29</v>
      </c>
      <c r="M1294">
        <v>0</v>
      </c>
      <c r="N1294" t="s">
        <v>1367</v>
      </c>
      <c r="O1294" t="s">
        <v>2866</v>
      </c>
      <c r="P1294">
        <v>31.44</v>
      </c>
      <c r="Q1294">
        <f t="shared" si="20"/>
        <v>267.80399999999997</v>
      </c>
      <c r="R1294">
        <v>3717.8159999999998</v>
      </c>
      <c r="S1294" s="2">
        <v>45536</v>
      </c>
      <c r="T1294" s="2">
        <v>45543</v>
      </c>
      <c r="U1294" t="s">
        <v>35</v>
      </c>
      <c r="V1294">
        <v>1</v>
      </c>
      <c r="W1294">
        <v>9</v>
      </c>
      <c r="X1294" t="s">
        <v>49</v>
      </c>
      <c r="Y1294">
        <v>2024</v>
      </c>
      <c r="Z1294">
        <v>3</v>
      </c>
      <c r="AA1294">
        <v>35</v>
      </c>
    </row>
    <row r="1295" spans="1:27" x14ac:dyDescent="0.3">
      <c r="A1295" s="2">
        <v>45603</v>
      </c>
      <c r="B1295" t="s">
        <v>3</v>
      </c>
      <c r="C1295" t="s">
        <v>11</v>
      </c>
      <c r="D1295">
        <v>13</v>
      </c>
      <c r="E1295">
        <v>365.11</v>
      </c>
      <c r="F1295" t="s">
        <v>14</v>
      </c>
      <c r="G1295" t="s">
        <v>17</v>
      </c>
      <c r="H1295">
        <v>0.05</v>
      </c>
      <c r="I1295" t="s">
        <v>22</v>
      </c>
      <c r="J1295">
        <v>4509.1085000000003</v>
      </c>
      <c r="K1295" t="s">
        <v>24</v>
      </c>
      <c r="L1295" t="s">
        <v>32</v>
      </c>
      <c r="M1295">
        <v>0</v>
      </c>
      <c r="N1295" t="s">
        <v>1368</v>
      </c>
      <c r="O1295" t="s">
        <v>2867</v>
      </c>
      <c r="P1295">
        <v>13.97</v>
      </c>
      <c r="Q1295">
        <f t="shared" si="20"/>
        <v>346.85450000000003</v>
      </c>
      <c r="R1295">
        <v>4495.1385</v>
      </c>
      <c r="S1295" s="2">
        <v>45603</v>
      </c>
      <c r="T1295" s="2">
        <v>45609</v>
      </c>
      <c r="U1295" t="s">
        <v>36</v>
      </c>
      <c r="V1295">
        <v>7</v>
      </c>
      <c r="W1295">
        <v>11</v>
      </c>
      <c r="X1295" t="s">
        <v>47</v>
      </c>
      <c r="Y1295">
        <v>2024</v>
      </c>
      <c r="Z1295">
        <v>4</v>
      </c>
      <c r="AA1295">
        <v>45</v>
      </c>
    </row>
    <row r="1296" spans="1:27" x14ac:dyDescent="0.3">
      <c r="A1296" s="2">
        <v>45625</v>
      </c>
      <c r="B1296" t="s">
        <v>0</v>
      </c>
      <c r="C1296" t="s">
        <v>8</v>
      </c>
      <c r="D1296">
        <v>1</v>
      </c>
      <c r="E1296">
        <v>139.13</v>
      </c>
      <c r="F1296" t="s">
        <v>14</v>
      </c>
      <c r="G1296" t="s">
        <v>16</v>
      </c>
      <c r="H1296">
        <v>0</v>
      </c>
      <c r="I1296" t="s">
        <v>21</v>
      </c>
      <c r="J1296">
        <v>139.13</v>
      </c>
      <c r="K1296" t="s">
        <v>28</v>
      </c>
      <c r="L1296" t="s">
        <v>32</v>
      </c>
      <c r="M1296">
        <v>1</v>
      </c>
      <c r="N1296" t="s">
        <v>1369</v>
      </c>
      <c r="O1296" t="s">
        <v>2868</v>
      </c>
      <c r="P1296">
        <v>35.92</v>
      </c>
      <c r="Q1296">
        <f t="shared" si="20"/>
        <v>139.13</v>
      </c>
      <c r="R1296">
        <v>103.21</v>
      </c>
      <c r="S1296" s="2">
        <v>45625</v>
      </c>
      <c r="T1296" s="2">
        <v>45628</v>
      </c>
      <c r="U1296" t="s">
        <v>33</v>
      </c>
      <c r="V1296">
        <v>29</v>
      </c>
      <c r="W1296">
        <v>11</v>
      </c>
      <c r="X1296" t="s">
        <v>47</v>
      </c>
      <c r="Y1296">
        <v>2024</v>
      </c>
      <c r="Z1296">
        <v>4</v>
      </c>
      <c r="AA1296">
        <v>48</v>
      </c>
    </row>
    <row r="1297" spans="1:27" x14ac:dyDescent="0.3">
      <c r="A1297" s="2">
        <v>45026</v>
      </c>
      <c r="B1297" t="s">
        <v>4</v>
      </c>
      <c r="C1297" t="s">
        <v>8</v>
      </c>
      <c r="D1297">
        <v>6</v>
      </c>
      <c r="E1297">
        <v>543.89</v>
      </c>
      <c r="F1297" t="s">
        <v>14</v>
      </c>
      <c r="G1297" t="s">
        <v>17</v>
      </c>
      <c r="H1297">
        <v>0</v>
      </c>
      <c r="I1297" t="s">
        <v>23</v>
      </c>
      <c r="J1297">
        <v>3263.34</v>
      </c>
      <c r="K1297" t="s">
        <v>28</v>
      </c>
      <c r="L1297" t="s">
        <v>32</v>
      </c>
      <c r="M1297">
        <v>1</v>
      </c>
      <c r="N1297" t="s">
        <v>1370</v>
      </c>
      <c r="O1297" t="s">
        <v>2869</v>
      </c>
      <c r="P1297">
        <v>13.19</v>
      </c>
      <c r="Q1297">
        <f t="shared" si="20"/>
        <v>543.89</v>
      </c>
      <c r="R1297">
        <v>3250.15</v>
      </c>
      <c r="S1297" s="2">
        <v>45026</v>
      </c>
      <c r="T1297" s="2">
        <v>45036</v>
      </c>
      <c r="U1297" t="s">
        <v>37</v>
      </c>
      <c r="V1297">
        <v>10</v>
      </c>
      <c r="W1297">
        <v>4</v>
      </c>
      <c r="X1297" t="s">
        <v>45</v>
      </c>
      <c r="Y1297">
        <v>2023</v>
      </c>
      <c r="Z1297">
        <v>2</v>
      </c>
      <c r="AA1297">
        <v>15</v>
      </c>
    </row>
    <row r="1298" spans="1:27" x14ac:dyDescent="0.3">
      <c r="A1298" s="2">
        <v>45301</v>
      </c>
      <c r="B1298" t="s">
        <v>2</v>
      </c>
      <c r="C1298" t="s">
        <v>11</v>
      </c>
      <c r="D1298">
        <v>19</v>
      </c>
      <c r="E1298">
        <v>219.7</v>
      </c>
      <c r="F1298" t="s">
        <v>13</v>
      </c>
      <c r="G1298" t="s">
        <v>17</v>
      </c>
      <c r="H1298">
        <v>0</v>
      </c>
      <c r="I1298" t="s">
        <v>19</v>
      </c>
      <c r="J1298">
        <v>4174.3</v>
      </c>
      <c r="K1298" t="s">
        <v>28</v>
      </c>
      <c r="L1298" t="s">
        <v>29</v>
      </c>
      <c r="M1298">
        <v>0</v>
      </c>
      <c r="N1298" t="s">
        <v>1371</v>
      </c>
      <c r="O1298" t="s">
        <v>2870</v>
      </c>
      <c r="P1298">
        <v>15.38</v>
      </c>
      <c r="Q1298">
        <f t="shared" si="20"/>
        <v>219.70000000000002</v>
      </c>
      <c r="R1298">
        <v>4158.92</v>
      </c>
      <c r="S1298" s="2">
        <v>45301</v>
      </c>
      <c r="T1298" s="2">
        <v>45307</v>
      </c>
      <c r="U1298" t="s">
        <v>35</v>
      </c>
      <c r="V1298">
        <v>10</v>
      </c>
      <c r="W1298">
        <v>1</v>
      </c>
      <c r="X1298" t="s">
        <v>42</v>
      </c>
      <c r="Y1298">
        <v>2024</v>
      </c>
      <c r="Z1298">
        <v>1</v>
      </c>
      <c r="AA1298">
        <v>2</v>
      </c>
    </row>
    <row r="1299" spans="1:27" x14ac:dyDescent="0.3">
      <c r="A1299" s="2">
        <v>45794</v>
      </c>
      <c r="B1299" t="s">
        <v>1</v>
      </c>
      <c r="C1299" t="s">
        <v>6</v>
      </c>
      <c r="D1299">
        <v>6</v>
      </c>
      <c r="E1299">
        <v>94.34</v>
      </c>
      <c r="F1299" t="s">
        <v>14</v>
      </c>
      <c r="G1299" t="s">
        <v>17</v>
      </c>
      <c r="H1299">
        <v>0.05</v>
      </c>
      <c r="I1299" t="s">
        <v>19</v>
      </c>
      <c r="J1299">
        <v>537.73799999999994</v>
      </c>
      <c r="K1299" t="s">
        <v>28</v>
      </c>
      <c r="L1299" t="s">
        <v>31</v>
      </c>
      <c r="M1299">
        <v>1</v>
      </c>
      <c r="N1299" t="s">
        <v>1372</v>
      </c>
      <c r="O1299" t="s">
        <v>2871</v>
      </c>
      <c r="P1299">
        <v>49.26</v>
      </c>
      <c r="Q1299">
        <f t="shared" si="20"/>
        <v>89.62299999999999</v>
      </c>
      <c r="R1299">
        <v>488.47799999999995</v>
      </c>
      <c r="S1299" s="2">
        <v>45794</v>
      </c>
      <c r="T1299" s="2">
        <v>45800</v>
      </c>
      <c r="U1299" t="s">
        <v>34</v>
      </c>
      <c r="V1299">
        <v>17</v>
      </c>
      <c r="W1299">
        <v>5</v>
      </c>
      <c r="X1299" t="s">
        <v>40</v>
      </c>
      <c r="Y1299">
        <v>2025</v>
      </c>
      <c r="Z1299">
        <v>2</v>
      </c>
      <c r="AA1299">
        <v>20</v>
      </c>
    </row>
    <row r="1300" spans="1:27" x14ac:dyDescent="0.3">
      <c r="A1300" s="2">
        <v>45499</v>
      </c>
      <c r="B1300" t="s">
        <v>3</v>
      </c>
      <c r="C1300" t="s">
        <v>5</v>
      </c>
      <c r="D1300">
        <v>9</v>
      </c>
      <c r="E1300">
        <v>486.58</v>
      </c>
      <c r="F1300" t="s">
        <v>13</v>
      </c>
      <c r="G1300" t="s">
        <v>17</v>
      </c>
      <c r="H1300">
        <v>0.15</v>
      </c>
      <c r="I1300" t="s">
        <v>19</v>
      </c>
      <c r="J1300">
        <v>3722.337</v>
      </c>
      <c r="K1300" t="s">
        <v>24</v>
      </c>
      <c r="L1300" t="s">
        <v>29</v>
      </c>
      <c r="M1300">
        <v>0</v>
      </c>
      <c r="N1300" t="s">
        <v>1373</v>
      </c>
      <c r="O1300" t="s">
        <v>2872</v>
      </c>
      <c r="P1300">
        <v>38.72</v>
      </c>
      <c r="Q1300">
        <f t="shared" si="20"/>
        <v>413.59300000000002</v>
      </c>
      <c r="R1300">
        <v>3683.6170000000002</v>
      </c>
      <c r="S1300" s="2">
        <v>45499</v>
      </c>
      <c r="T1300" s="2">
        <v>45503</v>
      </c>
      <c r="U1300" t="s">
        <v>36</v>
      </c>
      <c r="V1300">
        <v>26</v>
      </c>
      <c r="W1300">
        <v>7</v>
      </c>
      <c r="X1300" t="s">
        <v>46</v>
      </c>
      <c r="Y1300">
        <v>2024</v>
      </c>
      <c r="Z1300">
        <v>3</v>
      </c>
      <c r="AA1300">
        <v>30</v>
      </c>
    </row>
    <row r="1301" spans="1:27" x14ac:dyDescent="0.3">
      <c r="A1301" s="2">
        <v>45652</v>
      </c>
      <c r="B1301" t="s">
        <v>1</v>
      </c>
      <c r="C1301" t="s">
        <v>7</v>
      </c>
      <c r="D1301">
        <v>12</v>
      </c>
      <c r="E1301">
        <v>578.86</v>
      </c>
      <c r="F1301" t="s">
        <v>15</v>
      </c>
      <c r="G1301" t="s">
        <v>17</v>
      </c>
      <c r="H1301">
        <v>0.15</v>
      </c>
      <c r="I1301" t="s">
        <v>20</v>
      </c>
      <c r="J1301">
        <v>5904.3719999999994</v>
      </c>
      <c r="K1301" t="s">
        <v>28</v>
      </c>
      <c r="L1301" t="s">
        <v>29</v>
      </c>
      <c r="M1301">
        <v>0</v>
      </c>
      <c r="N1301" t="s">
        <v>1374</v>
      </c>
      <c r="O1301" t="s">
        <v>2873</v>
      </c>
      <c r="P1301">
        <v>25.84</v>
      </c>
      <c r="Q1301">
        <f t="shared" si="20"/>
        <v>492.03099999999995</v>
      </c>
      <c r="R1301">
        <v>5878.5319999999992</v>
      </c>
      <c r="S1301" s="2">
        <v>45652</v>
      </c>
      <c r="T1301" s="2">
        <v>45660</v>
      </c>
      <c r="U1301" t="s">
        <v>34</v>
      </c>
      <c r="V1301">
        <v>26</v>
      </c>
      <c r="W1301">
        <v>12</v>
      </c>
      <c r="X1301" t="s">
        <v>39</v>
      </c>
      <c r="Y1301">
        <v>2024</v>
      </c>
      <c r="Z1301">
        <v>4</v>
      </c>
      <c r="AA1301">
        <v>52</v>
      </c>
    </row>
    <row r="1302" spans="1:27" x14ac:dyDescent="0.3">
      <c r="A1302" s="2">
        <v>45680</v>
      </c>
      <c r="B1302" t="s">
        <v>0</v>
      </c>
      <c r="C1302" t="s">
        <v>10</v>
      </c>
      <c r="D1302">
        <v>7</v>
      </c>
      <c r="E1302">
        <v>196.88</v>
      </c>
      <c r="F1302" t="s">
        <v>14</v>
      </c>
      <c r="G1302" t="s">
        <v>17</v>
      </c>
      <c r="H1302">
        <v>0</v>
      </c>
      <c r="I1302" t="s">
        <v>22</v>
      </c>
      <c r="J1302">
        <v>1378.16</v>
      </c>
      <c r="K1302" t="s">
        <v>27</v>
      </c>
      <c r="L1302" t="s">
        <v>30</v>
      </c>
      <c r="M1302">
        <v>0</v>
      </c>
      <c r="N1302" t="s">
        <v>1375</v>
      </c>
      <c r="O1302" t="s">
        <v>2874</v>
      </c>
      <c r="P1302">
        <v>44.92</v>
      </c>
      <c r="Q1302">
        <f t="shared" si="20"/>
        <v>196.88000000000002</v>
      </c>
      <c r="R1302">
        <v>1333.24</v>
      </c>
      <c r="S1302" s="2">
        <v>45680</v>
      </c>
      <c r="T1302" s="2">
        <v>45688</v>
      </c>
      <c r="U1302" t="s">
        <v>33</v>
      </c>
      <c r="V1302">
        <v>23</v>
      </c>
      <c r="W1302">
        <v>1</v>
      </c>
      <c r="X1302" t="s">
        <v>42</v>
      </c>
      <c r="Y1302">
        <v>2025</v>
      </c>
      <c r="Z1302">
        <v>1</v>
      </c>
      <c r="AA1302">
        <v>4</v>
      </c>
    </row>
    <row r="1303" spans="1:27" x14ac:dyDescent="0.3">
      <c r="A1303" s="2">
        <v>45376</v>
      </c>
      <c r="B1303" t="s">
        <v>1</v>
      </c>
      <c r="C1303" t="s">
        <v>6</v>
      </c>
      <c r="D1303">
        <v>7</v>
      </c>
      <c r="E1303">
        <v>446.32</v>
      </c>
      <c r="F1303" t="s">
        <v>12</v>
      </c>
      <c r="G1303" t="s">
        <v>16</v>
      </c>
      <c r="H1303">
        <v>0.1</v>
      </c>
      <c r="I1303" t="s">
        <v>19</v>
      </c>
      <c r="J1303">
        <v>2811.8159999999998</v>
      </c>
      <c r="K1303" t="s">
        <v>27</v>
      </c>
      <c r="L1303" t="s">
        <v>32</v>
      </c>
      <c r="M1303">
        <v>0</v>
      </c>
      <c r="N1303" t="s">
        <v>1376</v>
      </c>
      <c r="O1303" t="s">
        <v>2875</v>
      </c>
      <c r="P1303">
        <v>47.23</v>
      </c>
      <c r="Q1303">
        <f t="shared" si="20"/>
        <v>401.68799999999999</v>
      </c>
      <c r="R1303">
        <v>2764.5859999999998</v>
      </c>
      <c r="S1303" s="2">
        <v>45376</v>
      </c>
      <c r="T1303" s="2">
        <v>45383</v>
      </c>
      <c r="U1303" t="s">
        <v>34</v>
      </c>
      <c r="V1303">
        <v>25</v>
      </c>
      <c r="W1303">
        <v>3</v>
      </c>
      <c r="X1303" t="s">
        <v>44</v>
      </c>
      <c r="Y1303">
        <v>2024</v>
      </c>
      <c r="Z1303">
        <v>1</v>
      </c>
      <c r="AA1303">
        <v>13</v>
      </c>
    </row>
    <row r="1304" spans="1:27" x14ac:dyDescent="0.3">
      <c r="A1304" s="2">
        <v>45720</v>
      </c>
      <c r="B1304" t="s">
        <v>3</v>
      </c>
      <c r="C1304" t="s">
        <v>10</v>
      </c>
      <c r="D1304">
        <v>11</v>
      </c>
      <c r="E1304">
        <v>447.38</v>
      </c>
      <c r="F1304" t="s">
        <v>15</v>
      </c>
      <c r="G1304" t="s">
        <v>16</v>
      </c>
      <c r="H1304">
        <v>0</v>
      </c>
      <c r="I1304" t="s">
        <v>19</v>
      </c>
      <c r="J1304">
        <v>4921.18</v>
      </c>
      <c r="K1304" t="s">
        <v>25</v>
      </c>
      <c r="L1304" t="s">
        <v>30</v>
      </c>
      <c r="M1304">
        <v>0</v>
      </c>
      <c r="N1304" t="s">
        <v>1377</v>
      </c>
      <c r="O1304" t="s">
        <v>2876</v>
      </c>
      <c r="P1304">
        <v>36.72</v>
      </c>
      <c r="Q1304">
        <f t="shared" si="20"/>
        <v>447.38000000000005</v>
      </c>
      <c r="R1304">
        <v>4884.46</v>
      </c>
      <c r="S1304" s="2">
        <v>45720</v>
      </c>
      <c r="T1304" s="2">
        <v>45727</v>
      </c>
      <c r="U1304" t="s">
        <v>36</v>
      </c>
      <c r="V1304">
        <v>4</v>
      </c>
      <c r="W1304">
        <v>3</v>
      </c>
      <c r="X1304" t="s">
        <v>44</v>
      </c>
      <c r="Y1304">
        <v>2025</v>
      </c>
      <c r="Z1304">
        <v>1</v>
      </c>
      <c r="AA1304">
        <v>10</v>
      </c>
    </row>
    <row r="1305" spans="1:27" x14ac:dyDescent="0.3">
      <c r="A1305" s="2">
        <v>45219</v>
      </c>
      <c r="B1305" t="s">
        <v>1</v>
      </c>
      <c r="C1305" t="s">
        <v>7</v>
      </c>
      <c r="D1305">
        <v>14</v>
      </c>
      <c r="E1305">
        <v>275.33999999999997</v>
      </c>
      <c r="F1305" t="s">
        <v>12</v>
      </c>
      <c r="G1305" t="s">
        <v>17</v>
      </c>
      <c r="H1305">
        <v>0.1</v>
      </c>
      <c r="I1305" t="s">
        <v>21</v>
      </c>
      <c r="J1305">
        <v>3469.2840000000001</v>
      </c>
      <c r="K1305" t="s">
        <v>24</v>
      </c>
      <c r="L1305" t="s">
        <v>32</v>
      </c>
      <c r="M1305">
        <v>1</v>
      </c>
      <c r="N1305" t="s">
        <v>1378</v>
      </c>
      <c r="O1305" t="s">
        <v>2877</v>
      </c>
      <c r="P1305">
        <v>32.799999999999997</v>
      </c>
      <c r="Q1305">
        <f t="shared" si="20"/>
        <v>247.80600000000001</v>
      </c>
      <c r="R1305">
        <v>3436.4839999999999</v>
      </c>
      <c r="S1305" s="2">
        <v>45219</v>
      </c>
      <c r="T1305" s="2">
        <v>45223</v>
      </c>
      <c r="U1305" t="s">
        <v>34</v>
      </c>
      <c r="V1305">
        <v>20</v>
      </c>
      <c r="W1305">
        <v>10</v>
      </c>
      <c r="X1305" t="s">
        <v>43</v>
      </c>
      <c r="Y1305">
        <v>2023</v>
      </c>
      <c r="Z1305">
        <v>4</v>
      </c>
      <c r="AA1305">
        <v>42</v>
      </c>
    </row>
    <row r="1306" spans="1:27" x14ac:dyDescent="0.3">
      <c r="A1306" s="2">
        <v>45554</v>
      </c>
      <c r="B1306" t="s">
        <v>3</v>
      </c>
      <c r="C1306" t="s">
        <v>7</v>
      </c>
      <c r="D1306">
        <v>2</v>
      </c>
      <c r="E1306">
        <v>27.64</v>
      </c>
      <c r="F1306" t="s">
        <v>12</v>
      </c>
      <c r="G1306" t="s">
        <v>17</v>
      </c>
      <c r="H1306">
        <v>0.15</v>
      </c>
      <c r="I1306" t="s">
        <v>20</v>
      </c>
      <c r="J1306">
        <v>46.988</v>
      </c>
      <c r="K1306" t="s">
        <v>26</v>
      </c>
      <c r="L1306" t="s">
        <v>29</v>
      </c>
      <c r="M1306">
        <v>0</v>
      </c>
      <c r="N1306" t="s">
        <v>1379</v>
      </c>
      <c r="O1306" t="s">
        <v>2878</v>
      </c>
      <c r="P1306">
        <v>21.73</v>
      </c>
      <c r="Q1306">
        <f t="shared" si="20"/>
        <v>23.494</v>
      </c>
      <c r="R1306">
        <v>25.257999999999999</v>
      </c>
      <c r="S1306" s="2">
        <v>45554</v>
      </c>
      <c r="T1306" s="2">
        <v>45563</v>
      </c>
      <c r="U1306" t="s">
        <v>36</v>
      </c>
      <c r="V1306">
        <v>19</v>
      </c>
      <c r="W1306">
        <v>9</v>
      </c>
      <c r="X1306" t="s">
        <v>49</v>
      </c>
      <c r="Y1306">
        <v>2024</v>
      </c>
      <c r="Z1306">
        <v>3</v>
      </c>
      <c r="AA1306">
        <v>38</v>
      </c>
    </row>
    <row r="1307" spans="1:27" x14ac:dyDescent="0.3">
      <c r="A1307" s="2">
        <v>45192</v>
      </c>
      <c r="B1307" t="s">
        <v>2</v>
      </c>
      <c r="C1307" t="s">
        <v>9</v>
      </c>
      <c r="D1307">
        <v>17</v>
      </c>
      <c r="E1307">
        <v>439.3</v>
      </c>
      <c r="F1307" t="s">
        <v>12</v>
      </c>
      <c r="G1307" t="s">
        <v>17</v>
      </c>
      <c r="H1307">
        <v>0</v>
      </c>
      <c r="I1307" t="s">
        <v>20</v>
      </c>
      <c r="J1307">
        <v>7468.1</v>
      </c>
      <c r="K1307" t="s">
        <v>24</v>
      </c>
      <c r="L1307" t="s">
        <v>29</v>
      </c>
      <c r="M1307">
        <v>0</v>
      </c>
      <c r="N1307" t="s">
        <v>1380</v>
      </c>
      <c r="O1307" t="s">
        <v>2879</v>
      </c>
      <c r="P1307">
        <v>12.87</v>
      </c>
      <c r="Q1307">
        <f t="shared" si="20"/>
        <v>439.3</v>
      </c>
      <c r="R1307">
        <v>7455.2300000000005</v>
      </c>
      <c r="S1307" s="2">
        <v>45192</v>
      </c>
      <c r="T1307" s="2">
        <v>45195</v>
      </c>
      <c r="U1307" t="s">
        <v>35</v>
      </c>
      <c r="V1307">
        <v>23</v>
      </c>
      <c r="W1307">
        <v>9</v>
      </c>
      <c r="X1307" t="s">
        <v>49</v>
      </c>
      <c r="Y1307">
        <v>2023</v>
      </c>
      <c r="Z1307">
        <v>3</v>
      </c>
      <c r="AA1307">
        <v>38</v>
      </c>
    </row>
    <row r="1308" spans="1:27" x14ac:dyDescent="0.3">
      <c r="A1308" s="2">
        <v>45657</v>
      </c>
      <c r="B1308" t="s">
        <v>0</v>
      </c>
      <c r="C1308" t="s">
        <v>11</v>
      </c>
      <c r="D1308">
        <v>15</v>
      </c>
      <c r="E1308">
        <v>573.80999999999995</v>
      </c>
      <c r="F1308" t="s">
        <v>14</v>
      </c>
      <c r="G1308" t="s">
        <v>17</v>
      </c>
      <c r="H1308">
        <v>0</v>
      </c>
      <c r="I1308" t="s">
        <v>19</v>
      </c>
      <c r="J1308">
        <v>8607.15</v>
      </c>
      <c r="K1308" t="s">
        <v>25</v>
      </c>
      <c r="L1308" t="s">
        <v>30</v>
      </c>
      <c r="M1308">
        <v>0</v>
      </c>
      <c r="N1308" t="s">
        <v>1381</v>
      </c>
      <c r="O1308" t="s">
        <v>2880</v>
      </c>
      <c r="P1308">
        <v>35.869999999999997</v>
      </c>
      <c r="Q1308">
        <f t="shared" si="20"/>
        <v>573.80999999999995</v>
      </c>
      <c r="R1308">
        <v>8571.2799999999988</v>
      </c>
      <c r="S1308" s="2">
        <v>45657</v>
      </c>
      <c r="T1308" s="2">
        <v>45659</v>
      </c>
      <c r="U1308" t="s">
        <v>33</v>
      </c>
      <c r="V1308">
        <v>31</v>
      </c>
      <c r="W1308">
        <v>12</v>
      </c>
      <c r="X1308" t="s">
        <v>39</v>
      </c>
      <c r="Y1308">
        <v>2024</v>
      </c>
      <c r="Z1308">
        <v>4</v>
      </c>
      <c r="AA1308">
        <v>1</v>
      </c>
    </row>
    <row r="1309" spans="1:27" x14ac:dyDescent="0.3">
      <c r="A1309" s="2">
        <v>45314</v>
      </c>
      <c r="B1309" t="s">
        <v>2</v>
      </c>
      <c r="C1309" t="s">
        <v>7</v>
      </c>
      <c r="D1309">
        <v>19</v>
      </c>
      <c r="E1309">
        <v>360.06</v>
      </c>
      <c r="F1309" t="s">
        <v>14</v>
      </c>
      <c r="G1309" t="s">
        <v>16</v>
      </c>
      <c r="H1309">
        <v>0.05</v>
      </c>
      <c r="I1309" t="s">
        <v>18</v>
      </c>
      <c r="J1309">
        <v>6499.0829999999996</v>
      </c>
      <c r="K1309" t="s">
        <v>27</v>
      </c>
      <c r="L1309" t="s">
        <v>29</v>
      </c>
      <c r="M1309">
        <v>0</v>
      </c>
      <c r="N1309" t="s">
        <v>1382</v>
      </c>
      <c r="O1309" t="s">
        <v>2881</v>
      </c>
      <c r="P1309">
        <v>33.19</v>
      </c>
      <c r="Q1309">
        <f t="shared" si="20"/>
        <v>342.05699999999996</v>
      </c>
      <c r="R1309">
        <v>6465.893</v>
      </c>
      <c r="S1309" s="2">
        <v>45314</v>
      </c>
      <c r="T1309" s="2">
        <v>45322</v>
      </c>
      <c r="U1309" t="s">
        <v>35</v>
      </c>
      <c r="V1309">
        <v>23</v>
      </c>
      <c r="W1309">
        <v>1</v>
      </c>
      <c r="X1309" t="s">
        <v>42</v>
      </c>
      <c r="Y1309">
        <v>2024</v>
      </c>
      <c r="Z1309">
        <v>1</v>
      </c>
      <c r="AA1309">
        <v>4</v>
      </c>
    </row>
    <row r="1310" spans="1:27" x14ac:dyDescent="0.3">
      <c r="A1310" s="2">
        <v>45090</v>
      </c>
      <c r="B1310" t="s">
        <v>0</v>
      </c>
      <c r="C1310" t="s">
        <v>5</v>
      </c>
      <c r="D1310">
        <v>7</v>
      </c>
      <c r="E1310">
        <v>535.20000000000005</v>
      </c>
      <c r="F1310" t="s">
        <v>14</v>
      </c>
      <c r="G1310" t="s">
        <v>17</v>
      </c>
      <c r="H1310">
        <v>0.1</v>
      </c>
      <c r="I1310" t="s">
        <v>20</v>
      </c>
      <c r="J1310">
        <v>3371.7600000000011</v>
      </c>
      <c r="K1310" t="s">
        <v>27</v>
      </c>
      <c r="L1310" t="s">
        <v>32</v>
      </c>
      <c r="M1310">
        <v>0</v>
      </c>
      <c r="N1310" t="s">
        <v>1383</v>
      </c>
      <c r="O1310" t="s">
        <v>2882</v>
      </c>
      <c r="P1310">
        <v>10.44</v>
      </c>
      <c r="Q1310">
        <f t="shared" si="20"/>
        <v>481.68000000000018</v>
      </c>
      <c r="R1310">
        <v>3361.3200000000011</v>
      </c>
      <c r="S1310" s="2">
        <v>45090</v>
      </c>
      <c r="T1310" s="2">
        <v>45100</v>
      </c>
      <c r="U1310" t="s">
        <v>33</v>
      </c>
      <c r="V1310">
        <v>13</v>
      </c>
      <c r="W1310">
        <v>6</v>
      </c>
      <c r="X1310" t="s">
        <v>41</v>
      </c>
      <c r="Y1310">
        <v>2023</v>
      </c>
      <c r="Z1310">
        <v>2</v>
      </c>
      <c r="AA1310">
        <v>24</v>
      </c>
    </row>
    <row r="1311" spans="1:27" x14ac:dyDescent="0.3">
      <c r="A1311" s="2">
        <v>45108</v>
      </c>
      <c r="B1311" t="s">
        <v>0</v>
      </c>
      <c r="C1311" t="s">
        <v>8</v>
      </c>
      <c r="D1311">
        <v>19</v>
      </c>
      <c r="E1311">
        <v>161.13</v>
      </c>
      <c r="F1311" t="s">
        <v>13</v>
      </c>
      <c r="G1311" t="s">
        <v>16</v>
      </c>
      <c r="H1311">
        <v>0</v>
      </c>
      <c r="I1311" t="s">
        <v>22</v>
      </c>
      <c r="J1311">
        <v>3061.47</v>
      </c>
      <c r="K1311" t="s">
        <v>26</v>
      </c>
      <c r="L1311" t="s">
        <v>29</v>
      </c>
      <c r="M1311">
        <v>0</v>
      </c>
      <c r="N1311" t="s">
        <v>1384</v>
      </c>
      <c r="O1311" t="s">
        <v>2883</v>
      </c>
      <c r="P1311">
        <v>5.46</v>
      </c>
      <c r="Q1311">
        <f t="shared" si="20"/>
        <v>161.13</v>
      </c>
      <c r="R1311">
        <v>3056.0099999999998</v>
      </c>
      <c r="S1311" s="2">
        <v>45108</v>
      </c>
      <c r="T1311" s="2">
        <v>45113</v>
      </c>
      <c r="U1311" t="s">
        <v>33</v>
      </c>
      <c r="V1311">
        <v>1</v>
      </c>
      <c r="W1311">
        <v>7</v>
      </c>
      <c r="X1311" t="s">
        <v>46</v>
      </c>
      <c r="Y1311">
        <v>2023</v>
      </c>
      <c r="Z1311">
        <v>3</v>
      </c>
      <c r="AA1311">
        <v>26</v>
      </c>
    </row>
    <row r="1312" spans="1:27" x14ac:dyDescent="0.3">
      <c r="A1312" s="2">
        <v>45738</v>
      </c>
      <c r="B1312" t="s">
        <v>1</v>
      </c>
      <c r="C1312" t="s">
        <v>5</v>
      </c>
      <c r="D1312">
        <v>11</v>
      </c>
      <c r="E1312">
        <v>29.6</v>
      </c>
      <c r="F1312" t="s">
        <v>15</v>
      </c>
      <c r="G1312" t="s">
        <v>17</v>
      </c>
      <c r="H1312">
        <v>0.15</v>
      </c>
      <c r="I1312" t="s">
        <v>21</v>
      </c>
      <c r="J1312">
        <v>276.76</v>
      </c>
      <c r="K1312" t="s">
        <v>28</v>
      </c>
      <c r="L1312" t="s">
        <v>29</v>
      </c>
      <c r="M1312">
        <v>1</v>
      </c>
      <c r="N1312" t="s">
        <v>1385</v>
      </c>
      <c r="O1312" t="s">
        <v>2884</v>
      </c>
      <c r="P1312">
        <v>34.96</v>
      </c>
      <c r="Q1312">
        <f t="shared" si="20"/>
        <v>25.16</v>
      </c>
      <c r="R1312">
        <v>241.79999999999998</v>
      </c>
      <c r="S1312" s="2">
        <v>45738</v>
      </c>
      <c r="T1312" s="2">
        <v>45741</v>
      </c>
      <c r="U1312" t="s">
        <v>34</v>
      </c>
      <c r="V1312">
        <v>22</v>
      </c>
      <c r="W1312">
        <v>3</v>
      </c>
      <c r="X1312" t="s">
        <v>44</v>
      </c>
      <c r="Y1312">
        <v>2025</v>
      </c>
      <c r="Z1312">
        <v>1</v>
      </c>
      <c r="AA1312">
        <v>12</v>
      </c>
    </row>
    <row r="1313" spans="1:27" x14ac:dyDescent="0.3">
      <c r="A1313" s="2">
        <v>45695</v>
      </c>
      <c r="B1313" t="s">
        <v>1</v>
      </c>
      <c r="C1313" t="s">
        <v>5</v>
      </c>
      <c r="D1313">
        <v>16</v>
      </c>
      <c r="E1313">
        <v>172.89</v>
      </c>
      <c r="F1313" t="s">
        <v>12</v>
      </c>
      <c r="G1313" t="s">
        <v>16</v>
      </c>
      <c r="H1313">
        <v>0.15</v>
      </c>
      <c r="I1313" t="s">
        <v>22</v>
      </c>
      <c r="J1313">
        <v>2351.3040000000001</v>
      </c>
      <c r="K1313" t="s">
        <v>26</v>
      </c>
      <c r="L1313" t="s">
        <v>29</v>
      </c>
      <c r="M1313">
        <v>1</v>
      </c>
      <c r="N1313" t="s">
        <v>1386</v>
      </c>
      <c r="O1313" t="s">
        <v>2885</v>
      </c>
      <c r="P1313">
        <v>41.87</v>
      </c>
      <c r="Q1313">
        <f t="shared" si="20"/>
        <v>146.95650000000001</v>
      </c>
      <c r="R1313">
        <v>2309.4340000000002</v>
      </c>
      <c r="S1313" s="2">
        <v>45695</v>
      </c>
      <c r="T1313" s="2">
        <v>45703</v>
      </c>
      <c r="U1313" t="s">
        <v>34</v>
      </c>
      <c r="V1313">
        <v>7</v>
      </c>
      <c r="W1313">
        <v>2</v>
      </c>
      <c r="X1313" t="s">
        <v>38</v>
      </c>
      <c r="Y1313">
        <v>2025</v>
      </c>
      <c r="Z1313">
        <v>1</v>
      </c>
      <c r="AA1313">
        <v>6</v>
      </c>
    </row>
    <row r="1314" spans="1:27" x14ac:dyDescent="0.3">
      <c r="A1314" s="2">
        <v>45217</v>
      </c>
      <c r="B1314" t="s">
        <v>2</v>
      </c>
      <c r="C1314" t="s">
        <v>6</v>
      </c>
      <c r="D1314">
        <v>5</v>
      </c>
      <c r="E1314">
        <v>48.06</v>
      </c>
      <c r="F1314" t="s">
        <v>13</v>
      </c>
      <c r="G1314" t="s">
        <v>16</v>
      </c>
      <c r="H1314">
        <v>0</v>
      </c>
      <c r="I1314" t="s">
        <v>19</v>
      </c>
      <c r="J1314">
        <v>240.3</v>
      </c>
      <c r="K1314" t="s">
        <v>25</v>
      </c>
      <c r="L1314" t="s">
        <v>29</v>
      </c>
      <c r="M1314">
        <v>0</v>
      </c>
      <c r="N1314" t="s">
        <v>1387</v>
      </c>
      <c r="O1314" t="s">
        <v>2886</v>
      </c>
      <c r="P1314">
        <v>19.170000000000002</v>
      </c>
      <c r="Q1314">
        <f t="shared" si="20"/>
        <v>48.06</v>
      </c>
      <c r="R1314">
        <v>221.13</v>
      </c>
      <c r="S1314" s="2">
        <v>45217</v>
      </c>
      <c r="T1314" s="2">
        <v>45225</v>
      </c>
      <c r="U1314" t="s">
        <v>35</v>
      </c>
      <c r="V1314">
        <v>18</v>
      </c>
      <c r="W1314">
        <v>10</v>
      </c>
      <c r="X1314" t="s">
        <v>43</v>
      </c>
      <c r="Y1314">
        <v>2023</v>
      </c>
      <c r="Z1314">
        <v>4</v>
      </c>
      <c r="AA1314">
        <v>42</v>
      </c>
    </row>
    <row r="1315" spans="1:27" x14ac:dyDescent="0.3">
      <c r="A1315" s="2">
        <v>45293</v>
      </c>
      <c r="B1315" t="s">
        <v>3</v>
      </c>
      <c r="C1315" t="s">
        <v>7</v>
      </c>
      <c r="D1315">
        <v>7</v>
      </c>
      <c r="E1315">
        <v>55.76</v>
      </c>
      <c r="F1315" t="s">
        <v>14</v>
      </c>
      <c r="G1315" t="s">
        <v>16</v>
      </c>
      <c r="H1315">
        <v>0.1</v>
      </c>
      <c r="I1315" t="s">
        <v>19</v>
      </c>
      <c r="J1315">
        <v>351.28800000000001</v>
      </c>
      <c r="K1315" t="s">
        <v>24</v>
      </c>
      <c r="L1315" t="s">
        <v>32</v>
      </c>
      <c r="M1315">
        <v>0</v>
      </c>
      <c r="N1315" t="s">
        <v>1388</v>
      </c>
      <c r="O1315" t="s">
        <v>2887</v>
      </c>
      <c r="P1315">
        <v>38.979999999999997</v>
      </c>
      <c r="Q1315">
        <f t="shared" si="20"/>
        <v>50.184000000000005</v>
      </c>
      <c r="R1315">
        <v>312.30799999999999</v>
      </c>
      <c r="S1315" s="2">
        <v>45293</v>
      </c>
      <c r="T1315" s="2">
        <v>45302</v>
      </c>
      <c r="U1315" t="s">
        <v>36</v>
      </c>
      <c r="V1315">
        <v>2</v>
      </c>
      <c r="W1315">
        <v>1</v>
      </c>
      <c r="X1315" t="s">
        <v>42</v>
      </c>
      <c r="Y1315">
        <v>2024</v>
      </c>
      <c r="Z1315">
        <v>1</v>
      </c>
      <c r="AA1315">
        <v>1</v>
      </c>
    </row>
    <row r="1316" spans="1:27" x14ac:dyDescent="0.3">
      <c r="A1316" s="2">
        <v>45724</v>
      </c>
      <c r="B1316" t="s">
        <v>1</v>
      </c>
      <c r="C1316" t="s">
        <v>5</v>
      </c>
      <c r="D1316">
        <v>4</v>
      </c>
      <c r="E1316">
        <v>24.58</v>
      </c>
      <c r="F1316" t="s">
        <v>12</v>
      </c>
      <c r="G1316" t="s">
        <v>16</v>
      </c>
      <c r="H1316">
        <v>0.15</v>
      </c>
      <c r="I1316" t="s">
        <v>21</v>
      </c>
      <c r="J1316">
        <v>83.571999999999989</v>
      </c>
      <c r="K1316" t="s">
        <v>27</v>
      </c>
      <c r="L1316" t="s">
        <v>31</v>
      </c>
      <c r="M1316">
        <v>0</v>
      </c>
      <c r="N1316" t="s">
        <v>1389</v>
      </c>
      <c r="O1316" t="s">
        <v>2888</v>
      </c>
      <c r="P1316">
        <v>39.869999999999997</v>
      </c>
      <c r="Q1316">
        <f t="shared" si="20"/>
        <v>20.892999999999997</v>
      </c>
      <c r="R1316">
        <v>43.701999999999991</v>
      </c>
      <c r="S1316" s="2">
        <v>45724</v>
      </c>
      <c r="T1316" s="2">
        <v>45733</v>
      </c>
      <c r="U1316" t="s">
        <v>34</v>
      </c>
      <c r="V1316">
        <v>8</v>
      </c>
      <c r="W1316">
        <v>3</v>
      </c>
      <c r="X1316" t="s">
        <v>44</v>
      </c>
      <c r="Y1316">
        <v>2025</v>
      </c>
      <c r="Z1316">
        <v>1</v>
      </c>
      <c r="AA1316">
        <v>10</v>
      </c>
    </row>
    <row r="1317" spans="1:27" x14ac:dyDescent="0.3">
      <c r="A1317" s="2">
        <v>45110</v>
      </c>
      <c r="B1317" t="s">
        <v>4</v>
      </c>
      <c r="C1317" t="s">
        <v>7</v>
      </c>
      <c r="D1317">
        <v>2</v>
      </c>
      <c r="E1317">
        <v>504.82</v>
      </c>
      <c r="F1317" t="s">
        <v>15</v>
      </c>
      <c r="G1317" t="s">
        <v>17</v>
      </c>
      <c r="H1317">
        <v>0</v>
      </c>
      <c r="I1317" t="s">
        <v>21</v>
      </c>
      <c r="J1317">
        <v>1009.64</v>
      </c>
      <c r="K1317" t="s">
        <v>27</v>
      </c>
      <c r="L1317" t="s">
        <v>29</v>
      </c>
      <c r="M1317">
        <v>0</v>
      </c>
      <c r="N1317" t="s">
        <v>1390</v>
      </c>
      <c r="O1317" t="s">
        <v>2889</v>
      </c>
      <c r="P1317">
        <v>25.54</v>
      </c>
      <c r="Q1317">
        <f t="shared" si="20"/>
        <v>504.82</v>
      </c>
      <c r="R1317">
        <v>984.1</v>
      </c>
      <c r="S1317" s="2">
        <v>45110</v>
      </c>
      <c r="T1317" s="2">
        <v>45115</v>
      </c>
      <c r="U1317" t="s">
        <v>37</v>
      </c>
      <c r="V1317">
        <v>3</v>
      </c>
      <c r="W1317">
        <v>7</v>
      </c>
      <c r="X1317" t="s">
        <v>46</v>
      </c>
      <c r="Y1317">
        <v>2023</v>
      </c>
      <c r="Z1317">
        <v>3</v>
      </c>
      <c r="AA1317">
        <v>27</v>
      </c>
    </row>
    <row r="1318" spans="1:27" x14ac:dyDescent="0.3">
      <c r="A1318" s="2">
        <v>45245</v>
      </c>
      <c r="B1318" t="s">
        <v>2</v>
      </c>
      <c r="C1318" t="s">
        <v>10</v>
      </c>
      <c r="D1318">
        <v>17</v>
      </c>
      <c r="E1318">
        <v>275.89</v>
      </c>
      <c r="F1318" t="s">
        <v>12</v>
      </c>
      <c r="G1318" t="s">
        <v>16</v>
      </c>
      <c r="H1318">
        <v>0.1</v>
      </c>
      <c r="I1318" t="s">
        <v>23</v>
      </c>
      <c r="J1318">
        <v>4221.1170000000002</v>
      </c>
      <c r="K1318" t="s">
        <v>25</v>
      </c>
      <c r="L1318" t="s">
        <v>29</v>
      </c>
      <c r="M1318">
        <v>0</v>
      </c>
      <c r="N1318" t="s">
        <v>1391</v>
      </c>
      <c r="O1318" t="s">
        <v>2890</v>
      </c>
      <c r="P1318">
        <v>15.43</v>
      </c>
      <c r="Q1318">
        <f t="shared" si="20"/>
        <v>248.30100000000002</v>
      </c>
      <c r="R1318">
        <v>4205.6869999999999</v>
      </c>
      <c r="S1318" s="2">
        <v>45245</v>
      </c>
      <c r="T1318" s="2">
        <v>45252</v>
      </c>
      <c r="U1318" t="s">
        <v>35</v>
      </c>
      <c r="V1318">
        <v>15</v>
      </c>
      <c r="W1318">
        <v>11</v>
      </c>
      <c r="X1318" t="s">
        <v>47</v>
      </c>
      <c r="Y1318">
        <v>2023</v>
      </c>
      <c r="Z1318">
        <v>4</v>
      </c>
      <c r="AA1318">
        <v>46</v>
      </c>
    </row>
    <row r="1319" spans="1:27" x14ac:dyDescent="0.3">
      <c r="A1319" s="2">
        <v>45332</v>
      </c>
      <c r="B1319" t="s">
        <v>4</v>
      </c>
      <c r="C1319" t="s">
        <v>7</v>
      </c>
      <c r="D1319">
        <v>9</v>
      </c>
      <c r="E1319">
        <v>130.57</v>
      </c>
      <c r="F1319" t="s">
        <v>14</v>
      </c>
      <c r="G1319" t="s">
        <v>16</v>
      </c>
      <c r="H1319">
        <v>0.1</v>
      </c>
      <c r="I1319" t="s">
        <v>18</v>
      </c>
      <c r="J1319">
        <v>1057.617</v>
      </c>
      <c r="K1319" t="s">
        <v>28</v>
      </c>
      <c r="L1319" t="s">
        <v>31</v>
      </c>
      <c r="M1319">
        <v>0</v>
      </c>
      <c r="N1319" t="s">
        <v>1392</v>
      </c>
      <c r="O1319" t="s">
        <v>2891</v>
      </c>
      <c r="P1319">
        <v>37.14</v>
      </c>
      <c r="Q1319">
        <f t="shared" si="20"/>
        <v>117.51299999999999</v>
      </c>
      <c r="R1319">
        <v>1020.477</v>
      </c>
      <c r="S1319" s="2">
        <v>45332</v>
      </c>
      <c r="T1319" s="2">
        <v>45339</v>
      </c>
      <c r="U1319" t="s">
        <v>37</v>
      </c>
      <c r="V1319">
        <v>10</v>
      </c>
      <c r="W1319">
        <v>2</v>
      </c>
      <c r="X1319" t="s">
        <v>38</v>
      </c>
      <c r="Y1319">
        <v>2024</v>
      </c>
      <c r="Z1319">
        <v>1</v>
      </c>
      <c r="AA1319">
        <v>6</v>
      </c>
    </row>
    <row r="1320" spans="1:27" x14ac:dyDescent="0.3">
      <c r="A1320" s="2">
        <v>45756</v>
      </c>
      <c r="B1320" t="s">
        <v>4</v>
      </c>
      <c r="C1320" t="s">
        <v>9</v>
      </c>
      <c r="D1320">
        <v>12</v>
      </c>
      <c r="E1320">
        <v>312.72000000000003</v>
      </c>
      <c r="F1320" t="s">
        <v>14</v>
      </c>
      <c r="G1320" t="s">
        <v>17</v>
      </c>
      <c r="H1320">
        <v>0</v>
      </c>
      <c r="I1320" t="s">
        <v>18</v>
      </c>
      <c r="J1320">
        <v>3752.64</v>
      </c>
      <c r="K1320" t="s">
        <v>25</v>
      </c>
      <c r="L1320" t="s">
        <v>32</v>
      </c>
      <c r="M1320">
        <v>0</v>
      </c>
      <c r="N1320" t="s">
        <v>1393</v>
      </c>
      <c r="O1320" t="s">
        <v>2892</v>
      </c>
      <c r="P1320">
        <v>18.46</v>
      </c>
      <c r="Q1320">
        <f t="shared" si="20"/>
        <v>312.71999999999997</v>
      </c>
      <c r="R1320">
        <v>3734.18</v>
      </c>
      <c r="S1320" s="2">
        <v>45756</v>
      </c>
      <c r="T1320" s="2">
        <v>45766</v>
      </c>
      <c r="U1320" t="s">
        <v>37</v>
      </c>
      <c r="V1320">
        <v>9</v>
      </c>
      <c r="W1320">
        <v>4</v>
      </c>
      <c r="X1320" t="s">
        <v>45</v>
      </c>
      <c r="Y1320">
        <v>2025</v>
      </c>
      <c r="Z1320">
        <v>2</v>
      </c>
      <c r="AA1320">
        <v>15</v>
      </c>
    </row>
    <row r="1321" spans="1:27" x14ac:dyDescent="0.3">
      <c r="A1321" s="2">
        <v>45178</v>
      </c>
      <c r="B1321" t="s">
        <v>4</v>
      </c>
      <c r="C1321" t="s">
        <v>10</v>
      </c>
      <c r="D1321">
        <v>18</v>
      </c>
      <c r="E1321">
        <v>222.66</v>
      </c>
      <c r="F1321" t="s">
        <v>14</v>
      </c>
      <c r="G1321" t="s">
        <v>16</v>
      </c>
      <c r="H1321">
        <v>0.05</v>
      </c>
      <c r="I1321" t="s">
        <v>19</v>
      </c>
      <c r="J1321">
        <v>3807.4859999999999</v>
      </c>
      <c r="K1321" t="s">
        <v>25</v>
      </c>
      <c r="L1321" t="s">
        <v>30</v>
      </c>
      <c r="M1321">
        <v>0</v>
      </c>
      <c r="N1321" t="s">
        <v>1394</v>
      </c>
      <c r="O1321" t="s">
        <v>2893</v>
      </c>
      <c r="P1321">
        <v>12.91</v>
      </c>
      <c r="Q1321">
        <f t="shared" si="20"/>
        <v>211.52699999999999</v>
      </c>
      <c r="R1321">
        <v>3794.576</v>
      </c>
      <c r="S1321" s="2">
        <v>45178</v>
      </c>
      <c r="T1321" s="2">
        <v>45181</v>
      </c>
      <c r="U1321" t="s">
        <v>37</v>
      </c>
      <c r="V1321">
        <v>9</v>
      </c>
      <c r="W1321">
        <v>9</v>
      </c>
      <c r="X1321" t="s">
        <v>49</v>
      </c>
      <c r="Y1321">
        <v>2023</v>
      </c>
      <c r="Z1321">
        <v>3</v>
      </c>
      <c r="AA1321">
        <v>36</v>
      </c>
    </row>
    <row r="1322" spans="1:27" x14ac:dyDescent="0.3">
      <c r="A1322" s="2">
        <v>45004</v>
      </c>
      <c r="B1322" t="s">
        <v>0</v>
      </c>
      <c r="C1322" t="s">
        <v>6</v>
      </c>
      <c r="D1322">
        <v>13</v>
      </c>
      <c r="E1322">
        <v>374.05</v>
      </c>
      <c r="F1322" t="s">
        <v>15</v>
      </c>
      <c r="G1322" t="s">
        <v>16</v>
      </c>
      <c r="H1322">
        <v>0.05</v>
      </c>
      <c r="I1322" t="s">
        <v>22</v>
      </c>
      <c r="J1322">
        <v>4619.5174999999999</v>
      </c>
      <c r="K1322" t="s">
        <v>27</v>
      </c>
      <c r="L1322" t="s">
        <v>29</v>
      </c>
      <c r="M1322">
        <v>0</v>
      </c>
      <c r="N1322" t="s">
        <v>1395</v>
      </c>
      <c r="O1322" t="s">
        <v>2894</v>
      </c>
      <c r="P1322">
        <v>26.32</v>
      </c>
      <c r="Q1322">
        <f t="shared" si="20"/>
        <v>355.34749999999997</v>
      </c>
      <c r="R1322">
        <v>4593.1975000000002</v>
      </c>
      <c r="S1322" s="2">
        <v>45004</v>
      </c>
      <c r="T1322" s="2">
        <v>45011</v>
      </c>
      <c r="U1322" t="s">
        <v>33</v>
      </c>
      <c r="V1322">
        <v>19</v>
      </c>
      <c r="W1322">
        <v>3</v>
      </c>
      <c r="X1322" t="s">
        <v>44</v>
      </c>
      <c r="Y1322">
        <v>2023</v>
      </c>
      <c r="Z1322">
        <v>1</v>
      </c>
      <c r="AA1322">
        <v>11</v>
      </c>
    </row>
    <row r="1323" spans="1:27" x14ac:dyDescent="0.3">
      <c r="A1323" s="2">
        <v>45657</v>
      </c>
      <c r="B1323" t="s">
        <v>3</v>
      </c>
      <c r="C1323" t="s">
        <v>11</v>
      </c>
      <c r="D1323">
        <v>11</v>
      </c>
      <c r="E1323">
        <v>331.29</v>
      </c>
      <c r="F1323" t="s">
        <v>12</v>
      </c>
      <c r="G1323" t="s">
        <v>16</v>
      </c>
      <c r="H1323">
        <v>0.1</v>
      </c>
      <c r="I1323" t="s">
        <v>19</v>
      </c>
      <c r="J1323">
        <v>3279.7710000000002</v>
      </c>
      <c r="K1323" t="s">
        <v>26</v>
      </c>
      <c r="L1323" t="s">
        <v>31</v>
      </c>
      <c r="M1323">
        <v>0</v>
      </c>
      <c r="N1323" t="s">
        <v>1396</v>
      </c>
      <c r="O1323" t="s">
        <v>2895</v>
      </c>
      <c r="P1323">
        <v>6.22</v>
      </c>
      <c r="Q1323">
        <f t="shared" si="20"/>
        <v>298.161</v>
      </c>
      <c r="R1323">
        <v>3273.5510000000004</v>
      </c>
      <c r="S1323" s="2">
        <v>45657</v>
      </c>
      <c r="T1323" s="2">
        <v>45659</v>
      </c>
      <c r="U1323" t="s">
        <v>36</v>
      </c>
      <c r="V1323">
        <v>31</v>
      </c>
      <c r="W1323">
        <v>12</v>
      </c>
      <c r="X1323" t="s">
        <v>39</v>
      </c>
      <c r="Y1323">
        <v>2024</v>
      </c>
      <c r="Z1323">
        <v>4</v>
      </c>
      <c r="AA1323">
        <v>1</v>
      </c>
    </row>
    <row r="1324" spans="1:27" x14ac:dyDescent="0.3">
      <c r="A1324" s="2">
        <v>45254</v>
      </c>
      <c r="B1324" t="s">
        <v>3</v>
      </c>
      <c r="C1324" t="s">
        <v>6</v>
      </c>
      <c r="D1324">
        <v>5</v>
      </c>
      <c r="E1324">
        <v>533.52</v>
      </c>
      <c r="F1324" t="s">
        <v>15</v>
      </c>
      <c r="G1324" t="s">
        <v>16</v>
      </c>
      <c r="H1324">
        <v>0</v>
      </c>
      <c r="I1324" t="s">
        <v>21</v>
      </c>
      <c r="J1324">
        <v>2667.6</v>
      </c>
      <c r="K1324" t="s">
        <v>26</v>
      </c>
      <c r="L1324" t="s">
        <v>29</v>
      </c>
      <c r="M1324">
        <v>1</v>
      </c>
      <c r="N1324" t="s">
        <v>1397</v>
      </c>
      <c r="O1324" t="s">
        <v>2896</v>
      </c>
      <c r="P1324">
        <v>9.08</v>
      </c>
      <c r="Q1324">
        <f t="shared" si="20"/>
        <v>533.52</v>
      </c>
      <c r="R1324">
        <v>2658.52</v>
      </c>
      <c r="S1324" s="2">
        <v>45254</v>
      </c>
      <c r="T1324" s="2">
        <v>45256</v>
      </c>
      <c r="U1324" t="s">
        <v>36</v>
      </c>
      <c r="V1324">
        <v>24</v>
      </c>
      <c r="W1324">
        <v>11</v>
      </c>
      <c r="X1324" t="s">
        <v>47</v>
      </c>
      <c r="Y1324">
        <v>2023</v>
      </c>
      <c r="Z1324">
        <v>4</v>
      </c>
      <c r="AA1324">
        <v>47</v>
      </c>
    </row>
    <row r="1325" spans="1:27" x14ac:dyDescent="0.3">
      <c r="A1325" s="2">
        <v>45792</v>
      </c>
      <c r="B1325" t="s">
        <v>0</v>
      </c>
      <c r="C1325" t="s">
        <v>8</v>
      </c>
      <c r="D1325">
        <v>10</v>
      </c>
      <c r="E1325">
        <v>492.24</v>
      </c>
      <c r="F1325" t="s">
        <v>13</v>
      </c>
      <c r="G1325" t="s">
        <v>17</v>
      </c>
      <c r="H1325">
        <v>0</v>
      </c>
      <c r="I1325" t="s">
        <v>19</v>
      </c>
      <c r="J1325">
        <v>4922.3999999999996</v>
      </c>
      <c r="K1325" t="s">
        <v>25</v>
      </c>
      <c r="L1325" t="s">
        <v>31</v>
      </c>
      <c r="M1325">
        <v>0</v>
      </c>
      <c r="N1325" t="s">
        <v>1398</v>
      </c>
      <c r="O1325" t="s">
        <v>2897</v>
      </c>
      <c r="P1325">
        <v>38.89</v>
      </c>
      <c r="Q1325">
        <f t="shared" si="20"/>
        <v>492.23999999999995</v>
      </c>
      <c r="R1325">
        <v>4883.5099999999993</v>
      </c>
      <c r="S1325" s="2">
        <v>45792</v>
      </c>
      <c r="T1325" s="2">
        <v>45799</v>
      </c>
      <c r="U1325" t="s">
        <v>33</v>
      </c>
      <c r="V1325">
        <v>15</v>
      </c>
      <c r="W1325">
        <v>5</v>
      </c>
      <c r="X1325" t="s">
        <v>40</v>
      </c>
      <c r="Y1325">
        <v>2025</v>
      </c>
      <c r="Z1325">
        <v>2</v>
      </c>
      <c r="AA1325">
        <v>20</v>
      </c>
    </row>
    <row r="1326" spans="1:27" x14ac:dyDescent="0.3">
      <c r="A1326" s="2">
        <v>45753</v>
      </c>
      <c r="B1326" t="s">
        <v>1</v>
      </c>
      <c r="C1326" t="s">
        <v>10</v>
      </c>
      <c r="D1326">
        <v>9</v>
      </c>
      <c r="E1326">
        <v>543.57000000000005</v>
      </c>
      <c r="F1326" t="s">
        <v>15</v>
      </c>
      <c r="G1326" t="s">
        <v>17</v>
      </c>
      <c r="H1326">
        <v>0.15</v>
      </c>
      <c r="I1326" t="s">
        <v>22</v>
      </c>
      <c r="J1326">
        <v>4158.3104999999996</v>
      </c>
      <c r="K1326" t="s">
        <v>27</v>
      </c>
      <c r="L1326" t="s">
        <v>30</v>
      </c>
      <c r="M1326">
        <v>0</v>
      </c>
      <c r="N1326" t="s">
        <v>1399</v>
      </c>
      <c r="O1326" t="s">
        <v>2898</v>
      </c>
      <c r="P1326">
        <v>7.54</v>
      </c>
      <c r="Q1326">
        <f t="shared" si="20"/>
        <v>462.03449999999998</v>
      </c>
      <c r="R1326">
        <v>4150.7704999999996</v>
      </c>
      <c r="S1326" s="2">
        <v>45753</v>
      </c>
      <c r="T1326" s="2">
        <v>45758</v>
      </c>
      <c r="U1326" t="s">
        <v>34</v>
      </c>
      <c r="V1326">
        <v>6</v>
      </c>
      <c r="W1326">
        <v>4</v>
      </c>
      <c r="X1326" t="s">
        <v>45</v>
      </c>
      <c r="Y1326">
        <v>2025</v>
      </c>
      <c r="Z1326">
        <v>2</v>
      </c>
      <c r="AA1326">
        <v>14</v>
      </c>
    </row>
    <row r="1327" spans="1:27" x14ac:dyDescent="0.3">
      <c r="A1327" s="2">
        <v>45328</v>
      </c>
      <c r="B1327" t="s">
        <v>1</v>
      </c>
      <c r="C1327" t="s">
        <v>7</v>
      </c>
      <c r="D1327">
        <v>17</v>
      </c>
      <c r="E1327">
        <v>141.76</v>
      </c>
      <c r="F1327" t="s">
        <v>15</v>
      </c>
      <c r="G1327" t="s">
        <v>16</v>
      </c>
      <c r="H1327">
        <v>0.1</v>
      </c>
      <c r="I1327" t="s">
        <v>23</v>
      </c>
      <c r="J1327">
        <v>2168.9279999999999</v>
      </c>
      <c r="K1327" t="s">
        <v>28</v>
      </c>
      <c r="L1327" t="s">
        <v>31</v>
      </c>
      <c r="M1327">
        <v>1</v>
      </c>
      <c r="N1327" t="s">
        <v>1400</v>
      </c>
      <c r="O1327" t="s">
        <v>2899</v>
      </c>
      <c r="P1327">
        <v>9.98</v>
      </c>
      <c r="Q1327">
        <f t="shared" si="20"/>
        <v>127.58399999999999</v>
      </c>
      <c r="R1327">
        <v>2158.9479999999999</v>
      </c>
      <c r="S1327" s="2">
        <v>45328</v>
      </c>
      <c r="T1327" s="2">
        <v>45336</v>
      </c>
      <c r="U1327" t="s">
        <v>34</v>
      </c>
      <c r="V1327">
        <v>6</v>
      </c>
      <c r="W1327">
        <v>2</v>
      </c>
      <c r="X1327" t="s">
        <v>38</v>
      </c>
      <c r="Y1327">
        <v>2024</v>
      </c>
      <c r="Z1327">
        <v>1</v>
      </c>
      <c r="AA1327">
        <v>6</v>
      </c>
    </row>
    <row r="1328" spans="1:27" x14ac:dyDescent="0.3">
      <c r="A1328" s="2">
        <v>45791</v>
      </c>
      <c r="B1328" t="s">
        <v>2</v>
      </c>
      <c r="C1328" t="s">
        <v>5</v>
      </c>
      <c r="D1328">
        <v>12</v>
      </c>
      <c r="E1328">
        <v>502.7</v>
      </c>
      <c r="F1328" t="s">
        <v>15</v>
      </c>
      <c r="G1328" t="s">
        <v>16</v>
      </c>
      <c r="H1328">
        <v>0.1</v>
      </c>
      <c r="I1328" t="s">
        <v>19</v>
      </c>
      <c r="J1328">
        <v>5429.16</v>
      </c>
      <c r="K1328" t="s">
        <v>26</v>
      </c>
      <c r="L1328" t="s">
        <v>29</v>
      </c>
      <c r="M1328">
        <v>0</v>
      </c>
      <c r="N1328" t="s">
        <v>1401</v>
      </c>
      <c r="O1328" t="s">
        <v>2900</v>
      </c>
      <c r="P1328">
        <v>6.49</v>
      </c>
      <c r="Q1328">
        <f t="shared" si="20"/>
        <v>452.43</v>
      </c>
      <c r="R1328">
        <v>5422.67</v>
      </c>
      <c r="S1328" s="2">
        <v>45791</v>
      </c>
      <c r="T1328" s="2">
        <v>45797</v>
      </c>
      <c r="U1328" t="s">
        <v>35</v>
      </c>
      <c r="V1328">
        <v>14</v>
      </c>
      <c r="W1328">
        <v>5</v>
      </c>
      <c r="X1328" t="s">
        <v>40</v>
      </c>
      <c r="Y1328">
        <v>2025</v>
      </c>
      <c r="Z1328">
        <v>2</v>
      </c>
      <c r="AA1328">
        <v>20</v>
      </c>
    </row>
    <row r="1329" spans="1:27" x14ac:dyDescent="0.3">
      <c r="A1329" s="2">
        <v>44939</v>
      </c>
      <c r="B1329" t="s">
        <v>0</v>
      </c>
      <c r="C1329" t="s">
        <v>10</v>
      </c>
      <c r="D1329">
        <v>10</v>
      </c>
      <c r="E1329">
        <v>155.43</v>
      </c>
      <c r="F1329" t="s">
        <v>15</v>
      </c>
      <c r="G1329" t="s">
        <v>16</v>
      </c>
      <c r="H1329">
        <v>0.05</v>
      </c>
      <c r="I1329" t="s">
        <v>20</v>
      </c>
      <c r="J1329">
        <v>1476.585</v>
      </c>
      <c r="K1329" t="s">
        <v>25</v>
      </c>
      <c r="L1329" t="s">
        <v>31</v>
      </c>
      <c r="M1329">
        <v>0</v>
      </c>
      <c r="N1329" t="s">
        <v>1402</v>
      </c>
      <c r="O1329" t="s">
        <v>2901</v>
      </c>
      <c r="P1329">
        <v>26.49</v>
      </c>
      <c r="Q1329">
        <f t="shared" si="20"/>
        <v>147.6585</v>
      </c>
      <c r="R1329">
        <v>1450.095</v>
      </c>
      <c r="S1329" s="2">
        <v>44939</v>
      </c>
      <c r="T1329" s="2">
        <v>44944</v>
      </c>
      <c r="U1329" t="s">
        <v>33</v>
      </c>
      <c r="V1329">
        <v>13</v>
      </c>
      <c r="W1329">
        <v>1</v>
      </c>
      <c r="X1329" t="s">
        <v>42</v>
      </c>
      <c r="Y1329">
        <v>2023</v>
      </c>
      <c r="Z1329">
        <v>1</v>
      </c>
      <c r="AA1329">
        <v>2</v>
      </c>
    </row>
    <row r="1330" spans="1:27" x14ac:dyDescent="0.3">
      <c r="A1330" s="2">
        <v>45341</v>
      </c>
      <c r="B1330" t="s">
        <v>2</v>
      </c>
      <c r="C1330" t="s">
        <v>10</v>
      </c>
      <c r="D1330">
        <v>18</v>
      </c>
      <c r="E1330">
        <v>203.73</v>
      </c>
      <c r="F1330" t="s">
        <v>12</v>
      </c>
      <c r="G1330" t="s">
        <v>16</v>
      </c>
      <c r="H1330">
        <v>0</v>
      </c>
      <c r="I1330" t="s">
        <v>21</v>
      </c>
      <c r="J1330">
        <v>3667.14</v>
      </c>
      <c r="K1330" t="s">
        <v>25</v>
      </c>
      <c r="L1330" t="s">
        <v>30</v>
      </c>
      <c r="M1330">
        <v>1</v>
      </c>
      <c r="N1330" t="s">
        <v>1403</v>
      </c>
      <c r="O1330" t="s">
        <v>2902</v>
      </c>
      <c r="P1330">
        <v>24.98</v>
      </c>
      <c r="Q1330">
        <f t="shared" si="20"/>
        <v>203.73</v>
      </c>
      <c r="R1330">
        <v>3642.16</v>
      </c>
      <c r="S1330" s="2">
        <v>45341</v>
      </c>
      <c r="T1330" s="2">
        <v>45350</v>
      </c>
      <c r="U1330" t="s">
        <v>35</v>
      </c>
      <c r="V1330">
        <v>19</v>
      </c>
      <c r="W1330">
        <v>2</v>
      </c>
      <c r="X1330" t="s">
        <v>38</v>
      </c>
      <c r="Y1330">
        <v>2024</v>
      </c>
      <c r="Z1330">
        <v>1</v>
      </c>
      <c r="AA1330">
        <v>8</v>
      </c>
    </row>
    <row r="1331" spans="1:27" x14ac:dyDescent="0.3">
      <c r="A1331" s="2">
        <v>45206</v>
      </c>
      <c r="B1331" t="s">
        <v>1</v>
      </c>
      <c r="C1331" t="s">
        <v>6</v>
      </c>
      <c r="D1331">
        <v>3</v>
      </c>
      <c r="E1331">
        <v>464.11</v>
      </c>
      <c r="F1331" t="s">
        <v>12</v>
      </c>
      <c r="G1331" t="s">
        <v>16</v>
      </c>
      <c r="H1331">
        <v>0.15</v>
      </c>
      <c r="I1331" t="s">
        <v>19</v>
      </c>
      <c r="J1331">
        <v>1183.4804999999999</v>
      </c>
      <c r="K1331" t="s">
        <v>25</v>
      </c>
      <c r="L1331" t="s">
        <v>32</v>
      </c>
      <c r="M1331">
        <v>0</v>
      </c>
      <c r="N1331" t="s">
        <v>1404</v>
      </c>
      <c r="O1331" t="s">
        <v>2903</v>
      </c>
      <c r="P1331">
        <v>27.45</v>
      </c>
      <c r="Q1331">
        <f t="shared" si="20"/>
        <v>394.49349999999998</v>
      </c>
      <c r="R1331">
        <v>1156.0304999999998</v>
      </c>
      <c r="S1331" s="2">
        <v>45206</v>
      </c>
      <c r="T1331" s="2">
        <v>45211</v>
      </c>
      <c r="U1331" t="s">
        <v>34</v>
      </c>
      <c r="V1331">
        <v>7</v>
      </c>
      <c r="W1331">
        <v>10</v>
      </c>
      <c r="X1331" t="s">
        <v>43</v>
      </c>
      <c r="Y1331">
        <v>2023</v>
      </c>
      <c r="Z1331">
        <v>4</v>
      </c>
      <c r="AA1331">
        <v>40</v>
      </c>
    </row>
    <row r="1332" spans="1:27" x14ac:dyDescent="0.3">
      <c r="A1332" s="2">
        <v>45552</v>
      </c>
      <c r="B1332" t="s">
        <v>3</v>
      </c>
      <c r="C1332" t="s">
        <v>8</v>
      </c>
      <c r="D1332">
        <v>2</v>
      </c>
      <c r="E1332">
        <v>442.03</v>
      </c>
      <c r="F1332" t="s">
        <v>12</v>
      </c>
      <c r="G1332" t="s">
        <v>17</v>
      </c>
      <c r="H1332">
        <v>0.15</v>
      </c>
      <c r="I1332" t="s">
        <v>21</v>
      </c>
      <c r="J1332">
        <v>751.45099999999991</v>
      </c>
      <c r="K1332" t="s">
        <v>27</v>
      </c>
      <c r="L1332" t="s">
        <v>31</v>
      </c>
      <c r="M1332">
        <v>0</v>
      </c>
      <c r="N1332" t="s">
        <v>1405</v>
      </c>
      <c r="O1332" t="s">
        <v>2904</v>
      </c>
      <c r="P1332">
        <v>28.71</v>
      </c>
      <c r="Q1332">
        <f t="shared" si="20"/>
        <v>375.72549999999995</v>
      </c>
      <c r="R1332">
        <v>722.74099999999987</v>
      </c>
      <c r="S1332" s="2">
        <v>45552</v>
      </c>
      <c r="T1332" s="2">
        <v>45554</v>
      </c>
      <c r="U1332" t="s">
        <v>36</v>
      </c>
      <c r="V1332">
        <v>17</v>
      </c>
      <c r="W1332">
        <v>9</v>
      </c>
      <c r="X1332" t="s">
        <v>49</v>
      </c>
      <c r="Y1332">
        <v>2024</v>
      </c>
      <c r="Z1332">
        <v>3</v>
      </c>
      <c r="AA1332">
        <v>38</v>
      </c>
    </row>
    <row r="1333" spans="1:27" x14ac:dyDescent="0.3">
      <c r="A1333" s="2">
        <v>45053</v>
      </c>
      <c r="B1333" t="s">
        <v>2</v>
      </c>
      <c r="C1333" t="s">
        <v>6</v>
      </c>
      <c r="D1333">
        <v>7</v>
      </c>
      <c r="E1333">
        <v>82.91</v>
      </c>
      <c r="F1333" t="s">
        <v>13</v>
      </c>
      <c r="G1333" t="s">
        <v>17</v>
      </c>
      <c r="H1333">
        <v>0.05</v>
      </c>
      <c r="I1333" t="s">
        <v>18</v>
      </c>
      <c r="J1333">
        <v>551.35149999999999</v>
      </c>
      <c r="K1333" t="s">
        <v>27</v>
      </c>
      <c r="L1333" t="s">
        <v>31</v>
      </c>
      <c r="M1333">
        <v>1</v>
      </c>
      <c r="N1333" t="s">
        <v>1406</v>
      </c>
      <c r="O1333" t="s">
        <v>2905</v>
      </c>
      <c r="P1333">
        <v>17.03</v>
      </c>
      <c r="Q1333">
        <f t="shared" si="20"/>
        <v>78.764499999999998</v>
      </c>
      <c r="R1333">
        <v>534.32150000000001</v>
      </c>
      <c r="S1333" s="2">
        <v>45053</v>
      </c>
      <c r="T1333" s="2">
        <v>45063</v>
      </c>
      <c r="U1333" t="s">
        <v>35</v>
      </c>
      <c r="V1333">
        <v>7</v>
      </c>
      <c r="W1333">
        <v>5</v>
      </c>
      <c r="X1333" t="s">
        <v>40</v>
      </c>
      <c r="Y1333">
        <v>2023</v>
      </c>
      <c r="Z1333">
        <v>2</v>
      </c>
      <c r="AA1333">
        <v>18</v>
      </c>
    </row>
    <row r="1334" spans="1:27" x14ac:dyDescent="0.3">
      <c r="A1334" s="2">
        <v>45272</v>
      </c>
      <c r="B1334" t="s">
        <v>2</v>
      </c>
      <c r="C1334" t="s">
        <v>6</v>
      </c>
      <c r="D1334">
        <v>13</v>
      </c>
      <c r="E1334">
        <v>468.16</v>
      </c>
      <c r="F1334" t="s">
        <v>12</v>
      </c>
      <c r="G1334" t="s">
        <v>17</v>
      </c>
      <c r="H1334">
        <v>0.15</v>
      </c>
      <c r="I1334" t="s">
        <v>19</v>
      </c>
      <c r="J1334">
        <v>5173.1679999999997</v>
      </c>
      <c r="K1334" t="s">
        <v>28</v>
      </c>
      <c r="L1334" t="s">
        <v>30</v>
      </c>
      <c r="M1334">
        <v>0</v>
      </c>
      <c r="N1334" t="s">
        <v>1407</v>
      </c>
      <c r="O1334" t="s">
        <v>2906</v>
      </c>
      <c r="P1334">
        <v>29.11</v>
      </c>
      <c r="Q1334">
        <f t="shared" si="20"/>
        <v>397.93599999999998</v>
      </c>
      <c r="R1334">
        <v>5144.058</v>
      </c>
      <c r="S1334" s="2">
        <v>45272</v>
      </c>
      <c r="T1334" s="2">
        <v>45281</v>
      </c>
      <c r="U1334" t="s">
        <v>35</v>
      </c>
      <c r="V1334">
        <v>12</v>
      </c>
      <c r="W1334">
        <v>12</v>
      </c>
      <c r="X1334" t="s">
        <v>39</v>
      </c>
      <c r="Y1334">
        <v>2023</v>
      </c>
      <c r="Z1334">
        <v>4</v>
      </c>
      <c r="AA1334">
        <v>50</v>
      </c>
    </row>
    <row r="1335" spans="1:27" x14ac:dyDescent="0.3">
      <c r="A1335" s="2">
        <v>45727</v>
      </c>
      <c r="B1335" t="s">
        <v>3</v>
      </c>
      <c r="C1335" t="s">
        <v>10</v>
      </c>
      <c r="D1335">
        <v>3</v>
      </c>
      <c r="E1335">
        <v>11.32</v>
      </c>
      <c r="F1335" t="s">
        <v>14</v>
      </c>
      <c r="G1335" t="s">
        <v>17</v>
      </c>
      <c r="H1335">
        <v>0.05</v>
      </c>
      <c r="I1335" t="s">
        <v>18</v>
      </c>
      <c r="J1335">
        <v>32.262</v>
      </c>
      <c r="K1335" t="s">
        <v>24</v>
      </c>
      <c r="L1335" t="s">
        <v>31</v>
      </c>
      <c r="M1335">
        <v>0</v>
      </c>
      <c r="N1335" t="s">
        <v>1408</v>
      </c>
      <c r="O1335" t="s">
        <v>2907</v>
      </c>
      <c r="P1335">
        <v>16.39</v>
      </c>
      <c r="Q1335">
        <f t="shared" si="20"/>
        <v>10.754</v>
      </c>
      <c r="R1335">
        <v>15.872</v>
      </c>
      <c r="S1335" s="2">
        <v>45727</v>
      </c>
      <c r="T1335" s="2">
        <v>45730</v>
      </c>
      <c r="U1335" t="s">
        <v>36</v>
      </c>
      <c r="V1335">
        <v>11</v>
      </c>
      <c r="W1335">
        <v>3</v>
      </c>
      <c r="X1335" t="s">
        <v>44</v>
      </c>
      <c r="Y1335">
        <v>2025</v>
      </c>
      <c r="Z1335">
        <v>1</v>
      </c>
      <c r="AA1335">
        <v>11</v>
      </c>
    </row>
    <row r="1336" spans="1:27" x14ac:dyDescent="0.3">
      <c r="A1336" s="2">
        <v>45380</v>
      </c>
      <c r="B1336" t="s">
        <v>0</v>
      </c>
      <c r="C1336" t="s">
        <v>8</v>
      </c>
      <c r="D1336">
        <v>1</v>
      </c>
      <c r="E1336">
        <v>378.36</v>
      </c>
      <c r="F1336" t="s">
        <v>13</v>
      </c>
      <c r="G1336" t="s">
        <v>17</v>
      </c>
      <c r="H1336">
        <v>0.05</v>
      </c>
      <c r="I1336" t="s">
        <v>18</v>
      </c>
      <c r="J1336">
        <v>359.44200000000001</v>
      </c>
      <c r="K1336" t="s">
        <v>28</v>
      </c>
      <c r="L1336" t="s">
        <v>32</v>
      </c>
      <c r="M1336">
        <v>0</v>
      </c>
      <c r="N1336" t="s">
        <v>1409</v>
      </c>
      <c r="O1336" t="s">
        <v>2908</v>
      </c>
      <c r="P1336">
        <v>7.59</v>
      </c>
      <c r="Q1336">
        <f t="shared" si="20"/>
        <v>359.44200000000001</v>
      </c>
      <c r="R1336">
        <v>351.85200000000003</v>
      </c>
      <c r="S1336" s="2">
        <v>45380</v>
      </c>
      <c r="T1336" s="2">
        <v>45389</v>
      </c>
      <c r="U1336" t="s">
        <v>33</v>
      </c>
      <c r="V1336">
        <v>29</v>
      </c>
      <c r="W1336">
        <v>3</v>
      </c>
      <c r="X1336" t="s">
        <v>44</v>
      </c>
      <c r="Y1336">
        <v>2024</v>
      </c>
      <c r="Z1336">
        <v>1</v>
      </c>
      <c r="AA1336">
        <v>13</v>
      </c>
    </row>
    <row r="1337" spans="1:27" x14ac:dyDescent="0.3">
      <c r="A1337" s="2">
        <v>45501</v>
      </c>
      <c r="B1337" t="s">
        <v>4</v>
      </c>
      <c r="C1337" t="s">
        <v>10</v>
      </c>
      <c r="D1337">
        <v>6</v>
      </c>
      <c r="E1337">
        <v>61.06</v>
      </c>
      <c r="F1337" t="s">
        <v>15</v>
      </c>
      <c r="G1337" t="s">
        <v>16</v>
      </c>
      <c r="H1337">
        <v>0</v>
      </c>
      <c r="I1337" t="s">
        <v>23</v>
      </c>
      <c r="J1337">
        <v>366.36</v>
      </c>
      <c r="K1337" t="s">
        <v>27</v>
      </c>
      <c r="L1337" t="s">
        <v>30</v>
      </c>
      <c r="M1337">
        <v>1</v>
      </c>
      <c r="N1337" t="s">
        <v>1410</v>
      </c>
      <c r="O1337" t="s">
        <v>2909</v>
      </c>
      <c r="P1337">
        <v>49.09</v>
      </c>
      <c r="Q1337">
        <f t="shared" si="20"/>
        <v>61.06</v>
      </c>
      <c r="R1337">
        <v>317.27</v>
      </c>
      <c r="S1337" s="2">
        <v>45501</v>
      </c>
      <c r="T1337" s="2">
        <v>45509</v>
      </c>
      <c r="U1337" t="s">
        <v>37</v>
      </c>
      <c r="V1337">
        <v>28</v>
      </c>
      <c r="W1337">
        <v>7</v>
      </c>
      <c r="X1337" t="s">
        <v>46</v>
      </c>
      <c r="Y1337">
        <v>2024</v>
      </c>
      <c r="Z1337">
        <v>3</v>
      </c>
      <c r="AA1337">
        <v>30</v>
      </c>
    </row>
    <row r="1338" spans="1:27" x14ac:dyDescent="0.3">
      <c r="A1338" s="2">
        <v>45484</v>
      </c>
      <c r="B1338" t="s">
        <v>1</v>
      </c>
      <c r="C1338" t="s">
        <v>10</v>
      </c>
      <c r="D1338">
        <v>14</v>
      </c>
      <c r="E1338">
        <v>98.06</v>
      </c>
      <c r="F1338" t="s">
        <v>13</v>
      </c>
      <c r="G1338" t="s">
        <v>16</v>
      </c>
      <c r="H1338">
        <v>0.1</v>
      </c>
      <c r="I1338" t="s">
        <v>19</v>
      </c>
      <c r="J1338">
        <v>1235.556</v>
      </c>
      <c r="K1338" t="s">
        <v>27</v>
      </c>
      <c r="L1338" t="s">
        <v>30</v>
      </c>
      <c r="M1338">
        <v>1</v>
      </c>
      <c r="N1338" t="s">
        <v>1411</v>
      </c>
      <c r="O1338" t="s">
        <v>2910</v>
      </c>
      <c r="P1338">
        <v>10.34</v>
      </c>
      <c r="Q1338">
        <f t="shared" si="20"/>
        <v>88.254000000000005</v>
      </c>
      <c r="R1338">
        <v>1225.2160000000001</v>
      </c>
      <c r="S1338" s="2">
        <v>45484</v>
      </c>
      <c r="T1338" s="2">
        <v>45494</v>
      </c>
      <c r="U1338" t="s">
        <v>34</v>
      </c>
      <c r="V1338">
        <v>11</v>
      </c>
      <c r="W1338">
        <v>7</v>
      </c>
      <c r="X1338" t="s">
        <v>46</v>
      </c>
      <c r="Y1338">
        <v>2024</v>
      </c>
      <c r="Z1338">
        <v>3</v>
      </c>
      <c r="AA1338">
        <v>28</v>
      </c>
    </row>
    <row r="1339" spans="1:27" x14ac:dyDescent="0.3">
      <c r="A1339" s="2">
        <v>45478</v>
      </c>
      <c r="B1339" t="s">
        <v>4</v>
      </c>
      <c r="C1339" t="s">
        <v>5</v>
      </c>
      <c r="D1339">
        <v>16</v>
      </c>
      <c r="E1339">
        <v>123.86</v>
      </c>
      <c r="F1339" t="s">
        <v>13</v>
      </c>
      <c r="G1339" t="s">
        <v>16</v>
      </c>
      <c r="H1339">
        <v>0.15</v>
      </c>
      <c r="I1339" t="s">
        <v>19</v>
      </c>
      <c r="J1339">
        <v>1684.4960000000001</v>
      </c>
      <c r="K1339" t="s">
        <v>25</v>
      </c>
      <c r="L1339" t="s">
        <v>32</v>
      </c>
      <c r="M1339">
        <v>1</v>
      </c>
      <c r="N1339" t="s">
        <v>1412</v>
      </c>
      <c r="O1339" t="s">
        <v>2911</v>
      </c>
      <c r="P1339">
        <v>18.02</v>
      </c>
      <c r="Q1339">
        <f t="shared" si="20"/>
        <v>105.28100000000001</v>
      </c>
      <c r="R1339">
        <v>1666.4760000000001</v>
      </c>
      <c r="S1339" s="2">
        <v>45478</v>
      </c>
      <c r="T1339" s="2">
        <v>45487</v>
      </c>
      <c r="U1339" t="s">
        <v>37</v>
      </c>
      <c r="V1339">
        <v>5</v>
      </c>
      <c r="W1339">
        <v>7</v>
      </c>
      <c r="X1339" t="s">
        <v>46</v>
      </c>
      <c r="Y1339">
        <v>2024</v>
      </c>
      <c r="Z1339">
        <v>3</v>
      </c>
      <c r="AA1339">
        <v>27</v>
      </c>
    </row>
    <row r="1340" spans="1:27" x14ac:dyDescent="0.3">
      <c r="A1340" s="2">
        <v>45370</v>
      </c>
      <c r="B1340" t="s">
        <v>0</v>
      </c>
      <c r="C1340" t="s">
        <v>5</v>
      </c>
      <c r="D1340">
        <v>16</v>
      </c>
      <c r="E1340">
        <v>90.3</v>
      </c>
      <c r="F1340" t="s">
        <v>14</v>
      </c>
      <c r="G1340" t="s">
        <v>16</v>
      </c>
      <c r="H1340">
        <v>0.05</v>
      </c>
      <c r="I1340" t="s">
        <v>22</v>
      </c>
      <c r="J1340">
        <v>1372.56</v>
      </c>
      <c r="K1340" t="s">
        <v>24</v>
      </c>
      <c r="L1340" t="s">
        <v>31</v>
      </c>
      <c r="M1340">
        <v>0</v>
      </c>
      <c r="N1340" t="s">
        <v>1413</v>
      </c>
      <c r="O1340" t="s">
        <v>2912</v>
      </c>
      <c r="P1340">
        <v>25.25</v>
      </c>
      <c r="Q1340">
        <f t="shared" si="20"/>
        <v>85.784999999999997</v>
      </c>
      <c r="R1340">
        <v>1347.31</v>
      </c>
      <c r="S1340" s="2">
        <v>45370</v>
      </c>
      <c r="T1340" s="2">
        <v>45375</v>
      </c>
      <c r="U1340" t="s">
        <v>33</v>
      </c>
      <c r="V1340">
        <v>19</v>
      </c>
      <c r="W1340">
        <v>3</v>
      </c>
      <c r="X1340" t="s">
        <v>44</v>
      </c>
      <c r="Y1340">
        <v>2024</v>
      </c>
      <c r="Z1340">
        <v>1</v>
      </c>
      <c r="AA1340">
        <v>12</v>
      </c>
    </row>
    <row r="1341" spans="1:27" x14ac:dyDescent="0.3">
      <c r="A1341" s="2">
        <v>45285</v>
      </c>
      <c r="B1341" t="s">
        <v>3</v>
      </c>
      <c r="C1341" t="s">
        <v>10</v>
      </c>
      <c r="D1341">
        <v>18</v>
      </c>
      <c r="E1341">
        <v>470.91</v>
      </c>
      <c r="F1341" t="s">
        <v>14</v>
      </c>
      <c r="G1341" t="s">
        <v>16</v>
      </c>
      <c r="H1341">
        <v>0.1</v>
      </c>
      <c r="I1341" t="s">
        <v>18</v>
      </c>
      <c r="J1341">
        <v>7628.7420000000011</v>
      </c>
      <c r="K1341" t="s">
        <v>25</v>
      </c>
      <c r="L1341" t="s">
        <v>29</v>
      </c>
      <c r="M1341">
        <v>0</v>
      </c>
      <c r="N1341" t="s">
        <v>1414</v>
      </c>
      <c r="O1341" t="s">
        <v>2913</v>
      </c>
      <c r="P1341">
        <v>14.87</v>
      </c>
      <c r="Q1341">
        <f t="shared" si="20"/>
        <v>423.81900000000007</v>
      </c>
      <c r="R1341">
        <v>7613.8720000000012</v>
      </c>
      <c r="S1341" s="2">
        <v>45285</v>
      </c>
      <c r="T1341" s="2">
        <v>45289</v>
      </c>
      <c r="U1341" t="s">
        <v>36</v>
      </c>
      <c r="V1341">
        <v>25</v>
      </c>
      <c r="W1341">
        <v>12</v>
      </c>
      <c r="X1341" t="s">
        <v>39</v>
      </c>
      <c r="Y1341">
        <v>2023</v>
      </c>
      <c r="Z1341">
        <v>4</v>
      </c>
      <c r="AA1341">
        <v>52</v>
      </c>
    </row>
    <row r="1342" spans="1:27" x14ac:dyDescent="0.3">
      <c r="A1342" s="2">
        <v>45629</v>
      </c>
      <c r="B1342" t="s">
        <v>1</v>
      </c>
      <c r="C1342" t="s">
        <v>9</v>
      </c>
      <c r="D1342">
        <v>12</v>
      </c>
      <c r="E1342">
        <v>383.45</v>
      </c>
      <c r="F1342" t="s">
        <v>14</v>
      </c>
      <c r="G1342" t="s">
        <v>17</v>
      </c>
      <c r="H1342">
        <v>0</v>
      </c>
      <c r="I1342" t="s">
        <v>23</v>
      </c>
      <c r="J1342">
        <v>4601.3999999999996</v>
      </c>
      <c r="K1342" t="s">
        <v>27</v>
      </c>
      <c r="L1342" t="s">
        <v>29</v>
      </c>
      <c r="M1342">
        <v>0</v>
      </c>
      <c r="N1342" t="s">
        <v>1415</v>
      </c>
      <c r="O1342" t="s">
        <v>2824</v>
      </c>
      <c r="P1342">
        <v>11.62</v>
      </c>
      <c r="Q1342">
        <f t="shared" si="20"/>
        <v>383.45</v>
      </c>
      <c r="R1342">
        <v>4589.78</v>
      </c>
      <c r="S1342" s="2">
        <v>45629</v>
      </c>
      <c r="T1342" s="2">
        <v>45631</v>
      </c>
      <c r="U1342" t="s">
        <v>34</v>
      </c>
      <c r="V1342">
        <v>3</v>
      </c>
      <c r="W1342">
        <v>12</v>
      </c>
      <c r="X1342" t="s">
        <v>39</v>
      </c>
      <c r="Y1342">
        <v>2024</v>
      </c>
      <c r="Z1342">
        <v>4</v>
      </c>
      <c r="AA1342">
        <v>49</v>
      </c>
    </row>
    <row r="1343" spans="1:27" x14ac:dyDescent="0.3">
      <c r="A1343" s="2">
        <v>45177</v>
      </c>
      <c r="B1343" t="s">
        <v>0</v>
      </c>
      <c r="C1343" t="s">
        <v>10</v>
      </c>
      <c r="D1343">
        <v>20</v>
      </c>
      <c r="E1343">
        <v>293.94</v>
      </c>
      <c r="F1343" t="s">
        <v>12</v>
      </c>
      <c r="G1343" t="s">
        <v>17</v>
      </c>
      <c r="H1343">
        <v>0.15</v>
      </c>
      <c r="I1343" t="s">
        <v>19</v>
      </c>
      <c r="J1343">
        <v>4996.9799999999996</v>
      </c>
      <c r="K1343" t="s">
        <v>26</v>
      </c>
      <c r="L1343" t="s">
        <v>30</v>
      </c>
      <c r="M1343">
        <v>0</v>
      </c>
      <c r="N1343" t="s">
        <v>1416</v>
      </c>
      <c r="O1343" t="s">
        <v>2914</v>
      </c>
      <c r="P1343">
        <v>9.2899999999999991</v>
      </c>
      <c r="Q1343">
        <f t="shared" si="20"/>
        <v>249.84899999999999</v>
      </c>
      <c r="R1343">
        <v>4987.6899999999996</v>
      </c>
      <c r="S1343" s="2">
        <v>45177</v>
      </c>
      <c r="T1343" s="2">
        <v>45184</v>
      </c>
      <c r="U1343" t="s">
        <v>33</v>
      </c>
      <c r="V1343">
        <v>8</v>
      </c>
      <c r="W1343">
        <v>9</v>
      </c>
      <c r="X1343" t="s">
        <v>49</v>
      </c>
      <c r="Y1343">
        <v>2023</v>
      </c>
      <c r="Z1343">
        <v>3</v>
      </c>
      <c r="AA1343">
        <v>36</v>
      </c>
    </row>
    <row r="1344" spans="1:27" x14ac:dyDescent="0.3">
      <c r="A1344" s="2">
        <v>45296</v>
      </c>
      <c r="B1344" t="s">
        <v>0</v>
      </c>
      <c r="C1344" t="s">
        <v>7</v>
      </c>
      <c r="D1344">
        <v>2</v>
      </c>
      <c r="E1344">
        <v>454.01</v>
      </c>
      <c r="F1344" t="s">
        <v>12</v>
      </c>
      <c r="G1344" t="s">
        <v>16</v>
      </c>
      <c r="H1344">
        <v>0</v>
      </c>
      <c r="I1344" t="s">
        <v>22</v>
      </c>
      <c r="J1344">
        <v>908.02</v>
      </c>
      <c r="K1344" t="s">
        <v>24</v>
      </c>
      <c r="L1344" t="s">
        <v>31</v>
      </c>
      <c r="M1344">
        <v>0</v>
      </c>
      <c r="N1344" t="s">
        <v>1417</v>
      </c>
      <c r="O1344" t="s">
        <v>2915</v>
      </c>
      <c r="P1344">
        <v>9.7799999999999994</v>
      </c>
      <c r="Q1344">
        <f t="shared" si="20"/>
        <v>454.01</v>
      </c>
      <c r="R1344">
        <v>898.24</v>
      </c>
      <c r="S1344" s="2">
        <v>45296</v>
      </c>
      <c r="T1344" s="2">
        <v>45298</v>
      </c>
      <c r="U1344" t="s">
        <v>33</v>
      </c>
      <c r="V1344">
        <v>5</v>
      </c>
      <c r="W1344">
        <v>1</v>
      </c>
      <c r="X1344" t="s">
        <v>42</v>
      </c>
      <c r="Y1344">
        <v>2024</v>
      </c>
      <c r="Z1344">
        <v>1</v>
      </c>
      <c r="AA1344">
        <v>1</v>
      </c>
    </row>
    <row r="1345" spans="1:27" x14ac:dyDescent="0.3">
      <c r="A1345" s="2">
        <v>45141</v>
      </c>
      <c r="B1345" t="s">
        <v>1</v>
      </c>
      <c r="C1345" t="s">
        <v>8</v>
      </c>
      <c r="D1345">
        <v>5</v>
      </c>
      <c r="E1345">
        <v>163.55000000000001</v>
      </c>
      <c r="F1345" t="s">
        <v>15</v>
      </c>
      <c r="G1345" t="s">
        <v>17</v>
      </c>
      <c r="H1345">
        <v>0.05</v>
      </c>
      <c r="I1345" t="s">
        <v>20</v>
      </c>
      <c r="J1345">
        <v>776.86249999999995</v>
      </c>
      <c r="K1345" t="s">
        <v>28</v>
      </c>
      <c r="L1345" t="s">
        <v>32</v>
      </c>
      <c r="M1345">
        <v>0</v>
      </c>
      <c r="N1345" t="s">
        <v>1418</v>
      </c>
      <c r="O1345" t="s">
        <v>2916</v>
      </c>
      <c r="P1345">
        <v>28.9</v>
      </c>
      <c r="Q1345">
        <f t="shared" si="20"/>
        <v>155.3725</v>
      </c>
      <c r="R1345">
        <v>747.96249999999998</v>
      </c>
      <c r="S1345" s="2">
        <v>45141</v>
      </c>
      <c r="T1345" s="2">
        <v>45148</v>
      </c>
      <c r="U1345" t="s">
        <v>34</v>
      </c>
      <c r="V1345">
        <v>3</v>
      </c>
      <c r="W1345">
        <v>8</v>
      </c>
      <c r="X1345" t="s">
        <v>48</v>
      </c>
      <c r="Y1345">
        <v>2023</v>
      </c>
      <c r="Z1345">
        <v>3</v>
      </c>
      <c r="AA1345">
        <v>31</v>
      </c>
    </row>
    <row r="1346" spans="1:27" x14ac:dyDescent="0.3">
      <c r="A1346" s="2">
        <v>45699</v>
      </c>
      <c r="B1346" t="s">
        <v>2</v>
      </c>
      <c r="C1346" t="s">
        <v>9</v>
      </c>
      <c r="D1346">
        <v>12</v>
      </c>
      <c r="E1346">
        <v>141.61000000000001</v>
      </c>
      <c r="F1346" t="s">
        <v>12</v>
      </c>
      <c r="G1346" t="s">
        <v>16</v>
      </c>
      <c r="H1346">
        <v>0</v>
      </c>
      <c r="I1346" t="s">
        <v>20</v>
      </c>
      <c r="J1346">
        <v>1699.32</v>
      </c>
      <c r="K1346" t="s">
        <v>26</v>
      </c>
      <c r="L1346" t="s">
        <v>31</v>
      </c>
      <c r="M1346">
        <v>0</v>
      </c>
      <c r="N1346" t="s">
        <v>1419</v>
      </c>
      <c r="O1346" t="s">
        <v>2917</v>
      </c>
      <c r="P1346">
        <v>11.72</v>
      </c>
      <c r="Q1346">
        <f t="shared" si="20"/>
        <v>141.60999999999999</v>
      </c>
      <c r="R1346">
        <v>1687.6</v>
      </c>
      <c r="S1346" s="2">
        <v>45699</v>
      </c>
      <c r="T1346" s="2">
        <v>45709</v>
      </c>
      <c r="U1346" t="s">
        <v>35</v>
      </c>
      <c r="V1346">
        <v>11</v>
      </c>
      <c r="W1346">
        <v>2</v>
      </c>
      <c r="X1346" t="s">
        <v>38</v>
      </c>
      <c r="Y1346">
        <v>2025</v>
      </c>
      <c r="Z1346">
        <v>1</v>
      </c>
      <c r="AA1346">
        <v>7</v>
      </c>
    </row>
    <row r="1347" spans="1:27" x14ac:dyDescent="0.3">
      <c r="A1347" s="2">
        <v>45094</v>
      </c>
      <c r="B1347" t="s">
        <v>1</v>
      </c>
      <c r="C1347" t="s">
        <v>8</v>
      </c>
      <c r="D1347">
        <v>6</v>
      </c>
      <c r="E1347">
        <v>332.18</v>
      </c>
      <c r="F1347" t="s">
        <v>12</v>
      </c>
      <c r="G1347" t="s">
        <v>16</v>
      </c>
      <c r="H1347">
        <v>0.1</v>
      </c>
      <c r="I1347" t="s">
        <v>23</v>
      </c>
      <c r="J1347">
        <v>1793.7719999999999</v>
      </c>
      <c r="K1347" t="s">
        <v>24</v>
      </c>
      <c r="L1347" t="s">
        <v>31</v>
      </c>
      <c r="M1347">
        <v>0</v>
      </c>
      <c r="N1347" t="s">
        <v>1420</v>
      </c>
      <c r="O1347" t="s">
        <v>2918</v>
      </c>
      <c r="P1347">
        <v>21.95</v>
      </c>
      <c r="Q1347">
        <f t="shared" ref="Q1347:Q1410" si="21">J1347/D1347</f>
        <v>298.96199999999999</v>
      </c>
      <c r="R1347">
        <v>1771.8219999999999</v>
      </c>
      <c r="S1347" s="2">
        <v>45094</v>
      </c>
      <c r="T1347" s="2">
        <v>45098</v>
      </c>
      <c r="U1347" t="s">
        <v>34</v>
      </c>
      <c r="V1347">
        <v>17</v>
      </c>
      <c r="W1347">
        <v>6</v>
      </c>
      <c r="X1347" t="s">
        <v>41</v>
      </c>
      <c r="Y1347">
        <v>2023</v>
      </c>
      <c r="Z1347">
        <v>2</v>
      </c>
      <c r="AA1347">
        <v>24</v>
      </c>
    </row>
    <row r="1348" spans="1:27" x14ac:dyDescent="0.3">
      <c r="A1348" s="2">
        <v>45327</v>
      </c>
      <c r="B1348" t="s">
        <v>3</v>
      </c>
      <c r="C1348" t="s">
        <v>9</v>
      </c>
      <c r="D1348">
        <v>14</v>
      </c>
      <c r="E1348">
        <v>463.96</v>
      </c>
      <c r="F1348" t="s">
        <v>15</v>
      </c>
      <c r="G1348" t="s">
        <v>17</v>
      </c>
      <c r="H1348">
        <v>0.15</v>
      </c>
      <c r="I1348" t="s">
        <v>22</v>
      </c>
      <c r="J1348">
        <v>5521.1239999999998</v>
      </c>
      <c r="K1348" t="s">
        <v>25</v>
      </c>
      <c r="L1348" t="s">
        <v>32</v>
      </c>
      <c r="M1348">
        <v>0</v>
      </c>
      <c r="N1348" t="s">
        <v>1421</v>
      </c>
      <c r="O1348" t="s">
        <v>2919</v>
      </c>
      <c r="P1348">
        <v>29.19</v>
      </c>
      <c r="Q1348">
        <f t="shared" si="21"/>
        <v>394.36599999999999</v>
      </c>
      <c r="R1348">
        <v>5491.9340000000002</v>
      </c>
      <c r="S1348" s="2">
        <v>45327</v>
      </c>
      <c r="T1348" s="2">
        <v>45336</v>
      </c>
      <c r="U1348" t="s">
        <v>36</v>
      </c>
      <c r="V1348">
        <v>5</v>
      </c>
      <c r="W1348">
        <v>2</v>
      </c>
      <c r="X1348" t="s">
        <v>38</v>
      </c>
      <c r="Y1348">
        <v>2024</v>
      </c>
      <c r="Z1348">
        <v>1</v>
      </c>
      <c r="AA1348">
        <v>6</v>
      </c>
    </row>
    <row r="1349" spans="1:27" x14ac:dyDescent="0.3">
      <c r="A1349" s="2">
        <v>45368</v>
      </c>
      <c r="B1349" t="s">
        <v>1</v>
      </c>
      <c r="C1349" t="s">
        <v>7</v>
      </c>
      <c r="D1349">
        <v>10</v>
      </c>
      <c r="E1349">
        <v>68.27</v>
      </c>
      <c r="F1349" t="s">
        <v>13</v>
      </c>
      <c r="G1349" t="s">
        <v>16</v>
      </c>
      <c r="H1349">
        <v>0.15</v>
      </c>
      <c r="I1349" t="s">
        <v>22</v>
      </c>
      <c r="J1349">
        <v>580.29499999999996</v>
      </c>
      <c r="K1349" t="s">
        <v>26</v>
      </c>
      <c r="L1349" t="s">
        <v>32</v>
      </c>
      <c r="M1349">
        <v>0</v>
      </c>
      <c r="N1349" t="s">
        <v>1422</v>
      </c>
      <c r="O1349" t="s">
        <v>2920</v>
      </c>
      <c r="P1349">
        <v>24.33</v>
      </c>
      <c r="Q1349">
        <f t="shared" si="21"/>
        <v>58.029499999999999</v>
      </c>
      <c r="R1349">
        <v>555.96499999999992</v>
      </c>
      <c r="S1349" s="2">
        <v>45368</v>
      </c>
      <c r="T1349" s="2">
        <v>45378</v>
      </c>
      <c r="U1349" t="s">
        <v>34</v>
      </c>
      <c r="V1349">
        <v>17</v>
      </c>
      <c r="W1349">
        <v>3</v>
      </c>
      <c r="X1349" t="s">
        <v>44</v>
      </c>
      <c r="Y1349">
        <v>2024</v>
      </c>
      <c r="Z1349">
        <v>1</v>
      </c>
      <c r="AA1349">
        <v>11</v>
      </c>
    </row>
    <row r="1350" spans="1:27" x14ac:dyDescent="0.3">
      <c r="A1350" s="2">
        <v>45325</v>
      </c>
      <c r="B1350" t="s">
        <v>3</v>
      </c>
      <c r="C1350" t="s">
        <v>5</v>
      </c>
      <c r="D1350">
        <v>8</v>
      </c>
      <c r="E1350">
        <v>27.01</v>
      </c>
      <c r="F1350" t="s">
        <v>14</v>
      </c>
      <c r="G1350" t="s">
        <v>16</v>
      </c>
      <c r="H1350">
        <v>0.05</v>
      </c>
      <c r="I1350" t="s">
        <v>18</v>
      </c>
      <c r="J1350">
        <v>205.27600000000001</v>
      </c>
      <c r="K1350" t="s">
        <v>24</v>
      </c>
      <c r="L1350" t="s">
        <v>29</v>
      </c>
      <c r="M1350">
        <v>1</v>
      </c>
      <c r="N1350" t="s">
        <v>1423</v>
      </c>
      <c r="O1350" t="s">
        <v>2921</v>
      </c>
      <c r="P1350">
        <v>42.65</v>
      </c>
      <c r="Q1350">
        <f t="shared" si="21"/>
        <v>25.659500000000001</v>
      </c>
      <c r="R1350">
        <v>162.626</v>
      </c>
      <c r="S1350" s="2">
        <v>45325</v>
      </c>
      <c r="T1350" s="2">
        <v>45331</v>
      </c>
      <c r="U1350" t="s">
        <v>36</v>
      </c>
      <c r="V1350">
        <v>3</v>
      </c>
      <c r="W1350">
        <v>2</v>
      </c>
      <c r="X1350" t="s">
        <v>38</v>
      </c>
      <c r="Y1350">
        <v>2024</v>
      </c>
      <c r="Z1350">
        <v>1</v>
      </c>
      <c r="AA1350">
        <v>5</v>
      </c>
    </row>
    <row r="1351" spans="1:27" x14ac:dyDescent="0.3">
      <c r="A1351" s="2">
        <v>45016</v>
      </c>
      <c r="B1351" t="s">
        <v>2</v>
      </c>
      <c r="C1351" t="s">
        <v>10</v>
      </c>
      <c r="D1351">
        <v>9</v>
      </c>
      <c r="E1351">
        <v>78.8</v>
      </c>
      <c r="F1351" t="s">
        <v>15</v>
      </c>
      <c r="G1351" t="s">
        <v>17</v>
      </c>
      <c r="H1351">
        <v>0.1</v>
      </c>
      <c r="I1351" t="s">
        <v>19</v>
      </c>
      <c r="J1351">
        <v>638.28</v>
      </c>
      <c r="K1351" t="s">
        <v>24</v>
      </c>
      <c r="L1351" t="s">
        <v>29</v>
      </c>
      <c r="M1351">
        <v>0</v>
      </c>
      <c r="N1351" t="s">
        <v>1424</v>
      </c>
      <c r="O1351" t="s">
        <v>2922</v>
      </c>
      <c r="P1351">
        <v>9.2899999999999991</v>
      </c>
      <c r="Q1351">
        <f t="shared" si="21"/>
        <v>70.92</v>
      </c>
      <c r="R1351">
        <v>628.99</v>
      </c>
      <c r="S1351" s="2">
        <v>45016</v>
      </c>
      <c r="T1351" s="2">
        <v>45026</v>
      </c>
      <c r="U1351" t="s">
        <v>35</v>
      </c>
      <c r="V1351">
        <v>31</v>
      </c>
      <c r="W1351">
        <v>3</v>
      </c>
      <c r="X1351" t="s">
        <v>44</v>
      </c>
      <c r="Y1351">
        <v>2023</v>
      </c>
      <c r="Z1351">
        <v>1</v>
      </c>
      <c r="AA1351">
        <v>13</v>
      </c>
    </row>
    <row r="1352" spans="1:27" x14ac:dyDescent="0.3">
      <c r="A1352" s="2">
        <v>45156</v>
      </c>
      <c r="B1352" t="s">
        <v>4</v>
      </c>
      <c r="C1352" t="s">
        <v>10</v>
      </c>
      <c r="D1352">
        <v>16</v>
      </c>
      <c r="E1352">
        <v>174.68</v>
      </c>
      <c r="F1352" t="s">
        <v>12</v>
      </c>
      <c r="G1352" t="s">
        <v>16</v>
      </c>
      <c r="H1352">
        <v>0.15</v>
      </c>
      <c r="I1352" t="s">
        <v>20</v>
      </c>
      <c r="J1352">
        <v>2375.6480000000001</v>
      </c>
      <c r="K1352" t="s">
        <v>26</v>
      </c>
      <c r="L1352" t="s">
        <v>32</v>
      </c>
      <c r="M1352">
        <v>0</v>
      </c>
      <c r="N1352" t="s">
        <v>1425</v>
      </c>
      <c r="O1352" t="s">
        <v>2923</v>
      </c>
      <c r="P1352">
        <v>45.99</v>
      </c>
      <c r="Q1352">
        <f t="shared" si="21"/>
        <v>148.47800000000001</v>
      </c>
      <c r="R1352">
        <v>2329.6580000000004</v>
      </c>
      <c r="S1352" s="2">
        <v>45156</v>
      </c>
      <c r="T1352" s="2">
        <v>45160</v>
      </c>
      <c r="U1352" t="s">
        <v>37</v>
      </c>
      <c r="V1352">
        <v>18</v>
      </c>
      <c r="W1352">
        <v>8</v>
      </c>
      <c r="X1352" t="s">
        <v>48</v>
      </c>
      <c r="Y1352">
        <v>2023</v>
      </c>
      <c r="Z1352">
        <v>3</v>
      </c>
      <c r="AA1352">
        <v>33</v>
      </c>
    </row>
    <row r="1353" spans="1:27" x14ac:dyDescent="0.3">
      <c r="A1353" s="2">
        <v>45179</v>
      </c>
      <c r="B1353" t="s">
        <v>3</v>
      </c>
      <c r="C1353" t="s">
        <v>11</v>
      </c>
      <c r="D1353">
        <v>4</v>
      </c>
      <c r="E1353">
        <v>306.06</v>
      </c>
      <c r="F1353" t="s">
        <v>14</v>
      </c>
      <c r="G1353" t="s">
        <v>16</v>
      </c>
      <c r="H1353">
        <v>0.05</v>
      </c>
      <c r="I1353" t="s">
        <v>21</v>
      </c>
      <c r="J1353">
        <v>1163.028</v>
      </c>
      <c r="K1353" t="s">
        <v>25</v>
      </c>
      <c r="L1353" t="s">
        <v>30</v>
      </c>
      <c r="M1353">
        <v>1</v>
      </c>
      <c r="N1353" t="s">
        <v>1426</v>
      </c>
      <c r="O1353" t="s">
        <v>2924</v>
      </c>
      <c r="P1353">
        <v>32.75</v>
      </c>
      <c r="Q1353">
        <f t="shared" si="21"/>
        <v>290.75700000000001</v>
      </c>
      <c r="R1353">
        <v>1130.278</v>
      </c>
      <c r="S1353" s="2">
        <v>45179</v>
      </c>
      <c r="T1353" s="2">
        <v>45182</v>
      </c>
      <c r="U1353" t="s">
        <v>36</v>
      </c>
      <c r="V1353">
        <v>10</v>
      </c>
      <c r="W1353">
        <v>9</v>
      </c>
      <c r="X1353" t="s">
        <v>49</v>
      </c>
      <c r="Y1353">
        <v>2023</v>
      </c>
      <c r="Z1353">
        <v>3</v>
      </c>
      <c r="AA1353">
        <v>36</v>
      </c>
    </row>
    <row r="1354" spans="1:27" x14ac:dyDescent="0.3">
      <c r="A1354" s="2">
        <v>45320</v>
      </c>
      <c r="B1354" t="s">
        <v>1</v>
      </c>
      <c r="C1354" t="s">
        <v>10</v>
      </c>
      <c r="D1354">
        <v>12</v>
      </c>
      <c r="E1354">
        <v>164.22</v>
      </c>
      <c r="F1354" t="s">
        <v>14</v>
      </c>
      <c r="G1354" t="s">
        <v>17</v>
      </c>
      <c r="H1354">
        <v>0</v>
      </c>
      <c r="I1354" t="s">
        <v>23</v>
      </c>
      <c r="J1354">
        <v>1970.64</v>
      </c>
      <c r="K1354" t="s">
        <v>26</v>
      </c>
      <c r="L1354" t="s">
        <v>29</v>
      </c>
      <c r="M1354">
        <v>0</v>
      </c>
      <c r="N1354" t="s">
        <v>1427</v>
      </c>
      <c r="O1354" t="s">
        <v>2925</v>
      </c>
      <c r="P1354">
        <v>21.46</v>
      </c>
      <c r="Q1354">
        <f t="shared" si="21"/>
        <v>164.22</v>
      </c>
      <c r="R1354">
        <v>1949.18</v>
      </c>
      <c r="S1354" s="2">
        <v>45320</v>
      </c>
      <c r="T1354" s="2">
        <v>45325</v>
      </c>
      <c r="U1354" t="s">
        <v>34</v>
      </c>
      <c r="V1354">
        <v>29</v>
      </c>
      <c r="W1354">
        <v>1</v>
      </c>
      <c r="X1354" t="s">
        <v>42</v>
      </c>
      <c r="Y1354">
        <v>2024</v>
      </c>
      <c r="Z1354">
        <v>1</v>
      </c>
      <c r="AA1354">
        <v>5</v>
      </c>
    </row>
    <row r="1355" spans="1:27" x14ac:dyDescent="0.3">
      <c r="A1355" s="2">
        <v>45372</v>
      </c>
      <c r="B1355" t="s">
        <v>2</v>
      </c>
      <c r="C1355" t="s">
        <v>10</v>
      </c>
      <c r="D1355">
        <v>20</v>
      </c>
      <c r="E1355">
        <v>336.29</v>
      </c>
      <c r="F1355" t="s">
        <v>14</v>
      </c>
      <c r="G1355" t="s">
        <v>17</v>
      </c>
      <c r="H1355">
        <v>0</v>
      </c>
      <c r="I1355" t="s">
        <v>18</v>
      </c>
      <c r="J1355">
        <v>6725.8</v>
      </c>
      <c r="K1355" t="s">
        <v>25</v>
      </c>
      <c r="L1355" t="s">
        <v>29</v>
      </c>
      <c r="M1355">
        <v>0</v>
      </c>
      <c r="N1355" t="s">
        <v>1428</v>
      </c>
      <c r="O1355" t="s">
        <v>2926</v>
      </c>
      <c r="P1355">
        <v>25.02</v>
      </c>
      <c r="Q1355">
        <f t="shared" si="21"/>
        <v>336.29</v>
      </c>
      <c r="R1355">
        <v>6700.78</v>
      </c>
      <c r="S1355" s="2">
        <v>45372</v>
      </c>
      <c r="T1355" s="2">
        <v>45381</v>
      </c>
      <c r="U1355" t="s">
        <v>35</v>
      </c>
      <c r="V1355">
        <v>21</v>
      </c>
      <c r="W1355">
        <v>3</v>
      </c>
      <c r="X1355" t="s">
        <v>44</v>
      </c>
      <c r="Y1355">
        <v>2024</v>
      </c>
      <c r="Z1355">
        <v>1</v>
      </c>
      <c r="AA1355">
        <v>12</v>
      </c>
    </row>
    <row r="1356" spans="1:27" x14ac:dyDescent="0.3">
      <c r="A1356" s="2">
        <v>45507</v>
      </c>
      <c r="B1356" t="s">
        <v>4</v>
      </c>
      <c r="C1356" t="s">
        <v>10</v>
      </c>
      <c r="D1356">
        <v>7</v>
      </c>
      <c r="E1356">
        <v>180.25</v>
      </c>
      <c r="F1356" t="s">
        <v>15</v>
      </c>
      <c r="G1356" t="s">
        <v>17</v>
      </c>
      <c r="H1356">
        <v>0.1</v>
      </c>
      <c r="I1356" t="s">
        <v>22</v>
      </c>
      <c r="J1356">
        <v>1135.575</v>
      </c>
      <c r="K1356" t="s">
        <v>25</v>
      </c>
      <c r="L1356" t="s">
        <v>31</v>
      </c>
      <c r="M1356">
        <v>0</v>
      </c>
      <c r="N1356" t="s">
        <v>1429</v>
      </c>
      <c r="O1356" t="s">
        <v>2927</v>
      </c>
      <c r="P1356">
        <v>36.79</v>
      </c>
      <c r="Q1356">
        <f t="shared" si="21"/>
        <v>162.22499999999999</v>
      </c>
      <c r="R1356">
        <v>1098.7850000000001</v>
      </c>
      <c r="S1356" s="2">
        <v>45507</v>
      </c>
      <c r="T1356" s="2">
        <v>45509</v>
      </c>
      <c r="U1356" t="s">
        <v>37</v>
      </c>
      <c r="V1356">
        <v>3</v>
      </c>
      <c r="W1356">
        <v>8</v>
      </c>
      <c r="X1356" t="s">
        <v>48</v>
      </c>
      <c r="Y1356">
        <v>2024</v>
      </c>
      <c r="Z1356">
        <v>3</v>
      </c>
      <c r="AA1356">
        <v>31</v>
      </c>
    </row>
    <row r="1357" spans="1:27" x14ac:dyDescent="0.3">
      <c r="A1357" s="2">
        <v>45782</v>
      </c>
      <c r="B1357" t="s">
        <v>2</v>
      </c>
      <c r="C1357" t="s">
        <v>9</v>
      </c>
      <c r="D1357">
        <v>1</v>
      </c>
      <c r="E1357">
        <v>21.75</v>
      </c>
      <c r="F1357" t="s">
        <v>14</v>
      </c>
      <c r="G1357" t="s">
        <v>17</v>
      </c>
      <c r="H1357">
        <v>0</v>
      </c>
      <c r="I1357" t="s">
        <v>19</v>
      </c>
      <c r="J1357">
        <v>21.75</v>
      </c>
      <c r="K1357" t="s">
        <v>28</v>
      </c>
      <c r="L1357" t="s">
        <v>29</v>
      </c>
      <c r="M1357">
        <v>0</v>
      </c>
      <c r="N1357" t="s">
        <v>1430</v>
      </c>
      <c r="O1357" t="s">
        <v>2928</v>
      </c>
      <c r="P1357">
        <v>7.35</v>
      </c>
      <c r="Q1357">
        <f t="shared" si="21"/>
        <v>21.75</v>
      </c>
      <c r="R1357">
        <v>14.4</v>
      </c>
      <c r="S1357" s="2">
        <v>45782</v>
      </c>
      <c r="T1357" s="2">
        <v>45791</v>
      </c>
      <c r="U1357" t="s">
        <v>35</v>
      </c>
      <c r="V1357">
        <v>5</v>
      </c>
      <c r="W1357">
        <v>5</v>
      </c>
      <c r="X1357" t="s">
        <v>40</v>
      </c>
      <c r="Y1357">
        <v>2025</v>
      </c>
      <c r="Z1357">
        <v>2</v>
      </c>
      <c r="AA1357">
        <v>19</v>
      </c>
    </row>
    <row r="1358" spans="1:27" x14ac:dyDescent="0.3">
      <c r="A1358" s="2">
        <v>44965</v>
      </c>
      <c r="B1358" t="s">
        <v>4</v>
      </c>
      <c r="C1358" t="s">
        <v>10</v>
      </c>
      <c r="D1358">
        <v>13</v>
      </c>
      <c r="E1358">
        <v>149.16</v>
      </c>
      <c r="F1358" t="s">
        <v>14</v>
      </c>
      <c r="G1358" t="s">
        <v>17</v>
      </c>
      <c r="H1358">
        <v>0.1</v>
      </c>
      <c r="I1358" t="s">
        <v>18</v>
      </c>
      <c r="J1358">
        <v>1745.172</v>
      </c>
      <c r="K1358" t="s">
        <v>28</v>
      </c>
      <c r="L1358" t="s">
        <v>32</v>
      </c>
      <c r="M1358">
        <v>1</v>
      </c>
      <c r="N1358" t="s">
        <v>1431</v>
      </c>
      <c r="O1358" t="s">
        <v>2929</v>
      </c>
      <c r="P1358">
        <v>20.9</v>
      </c>
      <c r="Q1358">
        <f t="shared" si="21"/>
        <v>134.244</v>
      </c>
      <c r="R1358">
        <v>1724.2719999999999</v>
      </c>
      <c r="S1358" s="2">
        <v>44965</v>
      </c>
      <c r="T1358" s="2">
        <v>44973</v>
      </c>
      <c r="U1358" t="s">
        <v>37</v>
      </c>
      <c r="V1358">
        <v>8</v>
      </c>
      <c r="W1358">
        <v>2</v>
      </c>
      <c r="X1358" t="s">
        <v>38</v>
      </c>
      <c r="Y1358">
        <v>2023</v>
      </c>
      <c r="Z1358">
        <v>1</v>
      </c>
      <c r="AA1358">
        <v>6</v>
      </c>
    </row>
    <row r="1359" spans="1:27" x14ac:dyDescent="0.3">
      <c r="A1359" s="2">
        <v>45072</v>
      </c>
      <c r="B1359" t="s">
        <v>3</v>
      </c>
      <c r="C1359" t="s">
        <v>8</v>
      </c>
      <c r="D1359">
        <v>7</v>
      </c>
      <c r="E1359">
        <v>220.9</v>
      </c>
      <c r="F1359" t="s">
        <v>13</v>
      </c>
      <c r="G1359" t="s">
        <v>16</v>
      </c>
      <c r="H1359">
        <v>0.15</v>
      </c>
      <c r="I1359" t="s">
        <v>23</v>
      </c>
      <c r="J1359">
        <v>1314.355</v>
      </c>
      <c r="K1359" t="s">
        <v>25</v>
      </c>
      <c r="L1359" t="s">
        <v>29</v>
      </c>
      <c r="M1359">
        <v>0</v>
      </c>
      <c r="N1359" t="s">
        <v>1432</v>
      </c>
      <c r="O1359" t="s">
        <v>2930</v>
      </c>
      <c r="P1359">
        <v>15.25</v>
      </c>
      <c r="Q1359">
        <f t="shared" si="21"/>
        <v>187.76500000000001</v>
      </c>
      <c r="R1359">
        <v>1299.105</v>
      </c>
      <c r="S1359" s="2">
        <v>45072</v>
      </c>
      <c r="T1359" s="2">
        <v>45082</v>
      </c>
      <c r="U1359" t="s">
        <v>36</v>
      </c>
      <c r="V1359">
        <v>26</v>
      </c>
      <c r="W1359">
        <v>5</v>
      </c>
      <c r="X1359" t="s">
        <v>40</v>
      </c>
      <c r="Y1359">
        <v>2023</v>
      </c>
      <c r="Z1359">
        <v>2</v>
      </c>
      <c r="AA1359">
        <v>21</v>
      </c>
    </row>
    <row r="1360" spans="1:27" x14ac:dyDescent="0.3">
      <c r="A1360" s="2">
        <v>45488</v>
      </c>
      <c r="B1360" t="s">
        <v>0</v>
      </c>
      <c r="C1360" t="s">
        <v>8</v>
      </c>
      <c r="D1360">
        <v>1</v>
      </c>
      <c r="E1360">
        <v>364.27</v>
      </c>
      <c r="F1360" t="s">
        <v>13</v>
      </c>
      <c r="G1360" t="s">
        <v>17</v>
      </c>
      <c r="H1360">
        <v>0.1</v>
      </c>
      <c r="I1360" t="s">
        <v>19</v>
      </c>
      <c r="J1360">
        <v>327.84300000000002</v>
      </c>
      <c r="K1360" t="s">
        <v>27</v>
      </c>
      <c r="L1360" t="s">
        <v>31</v>
      </c>
      <c r="M1360">
        <v>0</v>
      </c>
      <c r="N1360" t="s">
        <v>1433</v>
      </c>
      <c r="O1360" t="s">
        <v>2931</v>
      </c>
      <c r="P1360">
        <v>8.91</v>
      </c>
      <c r="Q1360">
        <f t="shared" si="21"/>
        <v>327.84300000000002</v>
      </c>
      <c r="R1360">
        <v>318.93299999999999</v>
      </c>
      <c r="S1360" s="2">
        <v>45488</v>
      </c>
      <c r="T1360" s="2">
        <v>45495</v>
      </c>
      <c r="U1360" t="s">
        <v>33</v>
      </c>
      <c r="V1360">
        <v>15</v>
      </c>
      <c r="W1360">
        <v>7</v>
      </c>
      <c r="X1360" t="s">
        <v>46</v>
      </c>
      <c r="Y1360">
        <v>2024</v>
      </c>
      <c r="Z1360">
        <v>3</v>
      </c>
      <c r="AA1360">
        <v>29</v>
      </c>
    </row>
    <row r="1361" spans="1:27" x14ac:dyDescent="0.3">
      <c r="A1361" s="2">
        <v>45644</v>
      </c>
      <c r="B1361" t="s">
        <v>2</v>
      </c>
      <c r="C1361" t="s">
        <v>9</v>
      </c>
      <c r="D1361">
        <v>9</v>
      </c>
      <c r="E1361">
        <v>306.42</v>
      </c>
      <c r="F1361" t="s">
        <v>14</v>
      </c>
      <c r="G1361" t="s">
        <v>16</v>
      </c>
      <c r="H1361">
        <v>0</v>
      </c>
      <c r="I1361" t="s">
        <v>23</v>
      </c>
      <c r="J1361">
        <v>2757.78</v>
      </c>
      <c r="K1361" t="s">
        <v>24</v>
      </c>
      <c r="L1361" t="s">
        <v>32</v>
      </c>
      <c r="M1361">
        <v>0</v>
      </c>
      <c r="N1361" t="s">
        <v>1434</v>
      </c>
      <c r="O1361" t="s">
        <v>2932</v>
      </c>
      <c r="P1361">
        <v>15.81</v>
      </c>
      <c r="Q1361">
        <f t="shared" si="21"/>
        <v>306.42</v>
      </c>
      <c r="R1361">
        <v>2741.9700000000003</v>
      </c>
      <c r="S1361" s="2">
        <v>45644</v>
      </c>
      <c r="T1361" s="2">
        <v>45653</v>
      </c>
      <c r="U1361" t="s">
        <v>35</v>
      </c>
      <c r="V1361">
        <v>18</v>
      </c>
      <c r="W1361">
        <v>12</v>
      </c>
      <c r="X1361" t="s">
        <v>39</v>
      </c>
      <c r="Y1361">
        <v>2024</v>
      </c>
      <c r="Z1361">
        <v>4</v>
      </c>
      <c r="AA1361">
        <v>51</v>
      </c>
    </row>
    <row r="1362" spans="1:27" x14ac:dyDescent="0.3">
      <c r="A1362" s="2">
        <v>45564</v>
      </c>
      <c r="B1362" t="s">
        <v>2</v>
      </c>
      <c r="C1362" t="s">
        <v>10</v>
      </c>
      <c r="D1362">
        <v>18</v>
      </c>
      <c r="E1362">
        <v>589</v>
      </c>
      <c r="F1362" t="s">
        <v>12</v>
      </c>
      <c r="G1362" t="s">
        <v>16</v>
      </c>
      <c r="H1362">
        <v>0.1</v>
      </c>
      <c r="I1362" t="s">
        <v>22</v>
      </c>
      <c r="J1362">
        <v>9541.8000000000011</v>
      </c>
      <c r="K1362" t="s">
        <v>28</v>
      </c>
      <c r="L1362" t="s">
        <v>31</v>
      </c>
      <c r="M1362">
        <v>0</v>
      </c>
      <c r="N1362" t="s">
        <v>1435</v>
      </c>
      <c r="O1362" t="s">
        <v>2933</v>
      </c>
      <c r="P1362">
        <v>37.78</v>
      </c>
      <c r="Q1362">
        <f t="shared" si="21"/>
        <v>530.1</v>
      </c>
      <c r="R1362">
        <v>9504.02</v>
      </c>
      <c r="S1362" s="2">
        <v>45564</v>
      </c>
      <c r="T1362" s="2">
        <v>45573</v>
      </c>
      <c r="U1362" t="s">
        <v>35</v>
      </c>
      <c r="V1362">
        <v>29</v>
      </c>
      <c r="W1362">
        <v>9</v>
      </c>
      <c r="X1362" t="s">
        <v>49</v>
      </c>
      <c r="Y1362">
        <v>2024</v>
      </c>
      <c r="Z1362">
        <v>3</v>
      </c>
      <c r="AA1362">
        <v>39</v>
      </c>
    </row>
    <row r="1363" spans="1:27" x14ac:dyDescent="0.3">
      <c r="A1363" s="2">
        <v>45590</v>
      </c>
      <c r="B1363" t="s">
        <v>1</v>
      </c>
      <c r="C1363" t="s">
        <v>7</v>
      </c>
      <c r="D1363">
        <v>16</v>
      </c>
      <c r="E1363">
        <v>249.45</v>
      </c>
      <c r="F1363" t="s">
        <v>14</v>
      </c>
      <c r="G1363" t="s">
        <v>16</v>
      </c>
      <c r="H1363">
        <v>0.1</v>
      </c>
      <c r="I1363" t="s">
        <v>19</v>
      </c>
      <c r="J1363">
        <v>3592.08</v>
      </c>
      <c r="K1363" t="s">
        <v>28</v>
      </c>
      <c r="L1363" t="s">
        <v>29</v>
      </c>
      <c r="M1363">
        <v>0</v>
      </c>
      <c r="N1363" t="s">
        <v>1436</v>
      </c>
      <c r="O1363" t="s">
        <v>2934</v>
      </c>
      <c r="P1363">
        <v>20.92</v>
      </c>
      <c r="Q1363">
        <f t="shared" si="21"/>
        <v>224.505</v>
      </c>
      <c r="R1363">
        <v>3571.16</v>
      </c>
      <c r="S1363" s="2">
        <v>45590</v>
      </c>
      <c r="T1363" s="2">
        <v>45597</v>
      </c>
      <c r="U1363" t="s">
        <v>34</v>
      </c>
      <c r="V1363">
        <v>25</v>
      </c>
      <c r="W1363">
        <v>10</v>
      </c>
      <c r="X1363" t="s">
        <v>43</v>
      </c>
      <c r="Y1363">
        <v>2024</v>
      </c>
      <c r="Z1363">
        <v>4</v>
      </c>
      <c r="AA1363">
        <v>43</v>
      </c>
    </row>
    <row r="1364" spans="1:27" x14ac:dyDescent="0.3">
      <c r="A1364" s="2">
        <v>45663</v>
      </c>
      <c r="B1364" t="s">
        <v>2</v>
      </c>
      <c r="C1364" t="s">
        <v>9</v>
      </c>
      <c r="D1364">
        <v>20</v>
      </c>
      <c r="E1364">
        <v>440.32</v>
      </c>
      <c r="F1364" t="s">
        <v>14</v>
      </c>
      <c r="G1364" t="s">
        <v>17</v>
      </c>
      <c r="H1364">
        <v>0.05</v>
      </c>
      <c r="I1364" t="s">
        <v>19</v>
      </c>
      <c r="J1364">
        <v>8366.08</v>
      </c>
      <c r="K1364" t="s">
        <v>27</v>
      </c>
      <c r="L1364" t="s">
        <v>30</v>
      </c>
      <c r="M1364">
        <v>1</v>
      </c>
      <c r="N1364" t="s">
        <v>1437</v>
      </c>
      <c r="O1364" t="s">
        <v>2935</v>
      </c>
      <c r="P1364">
        <v>6.17</v>
      </c>
      <c r="Q1364">
        <f t="shared" si="21"/>
        <v>418.30399999999997</v>
      </c>
      <c r="R1364">
        <v>8359.91</v>
      </c>
      <c r="S1364" s="2">
        <v>45663</v>
      </c>
      <c r="T1364" s="2">
        <v>45673</v>
      </c>
      <c r="U1364" t="s">
        <v>35</v>
      </c>
      <c r="V1364">
        <v>6</v>
      </c>
      <c r="W1364">
        <v>1</v>
      </c>
      <c r="X1364" t="s">
        <v>42</v>
      </c>
      <c r="Y1364">
        <v>2025</v>
      </c>
      <c r="Z1364">
        <v>1</v>
      </c>
      <c r="AA1364">
        <v>2</v>
      </c>
    </row>
    <row r="1365" spans="1:27" x14ac:dyDescent="0.3">
      <c r="A1365" s="2">
        <v>45249</v>
      </c>
      <c r="B1365" t="s">
        <v>3</v>
      </c>
      <c r="C1365" t="s">
        <v>10</v>
      </c>
      <c r="D1365">
        <v>3</v>
      </c>
      <c r="E1365">
        <v>101.34</v>
      </c>
      <c r="F1365" t="s">
        <v>13</v>
      </c>
      <c r="G1365" t="s">
        <v>16</v>
      </c>
      <c r="H1365">
        <v>0</v>
      </c>
      <c r="I1365" t="s">
        <v>21</v>
      </c>
      <c r="J1365">
        <v>304.02</v>
      </c>
      <c r="K1365" t="s">
        <v>27</v>
      </c>
      <c r="L1365" t="s">
        <v>32</v>
      </c>
      <c r="M1365">
        <v>0</v>
      </c>
      <c r="N1365" t="s">
        <v>1438</v>
      </c>
      <c r="O1365" t="s">
        <v>2936</v>
      </c>
      <c r="P1365">
        <v>23.15</v>
      </c>
      <c r="Q1365">
        <f t="shared" si="21"/>
        <v>101.33999999999999</v>
      </c>
      <c r="R1365">
        <v>280.87</v>
      </c>
      <c r="S1365" s="2">
        <v>45249</v>
      </c>
      <c r="T1365" s="2">
        <v>45251</v>
      </c>
      <c r="U1365" t="s">
        <v>36</v>
      </c>
      <c r="V1365">
        <v>19</v>
      </c>
      <c r="W1365">
        <v>11</v>
      </c>
      <c r="X1365" t="s">
        <v>47</v>
      </c>
      <c r="Y1365">
        <v>2023</v>
      </c>
      <c r="Z1365">
        <v>4</v>
      </c>
      <c r="AA1365">
        <v>46</v>
      </c>
    </row>
    <row r="1366" spans="1:27" x14ac:dyDescent="0.3">
      <c r="A1366" s="2">
        <v>45393</v>
      </c>
      <c r="B1366" t="s">
        <v>1</v>
      </c>
      <c r="C1366" t="s">
        <v>6</v>
      </c>
      <c r="D1366">
        <v>17</v>
      </c>
      <c r="E1366">
        <v>311.61</v>
      </c>
      <c r="F1366" t="s">
        <v>13</v>
      </c>
      <c r="G1366" t="s">
        <v>17</v>
      </c>
      <c r="H1366">
        <v>0.05</v>
      </c>
      <c r="I1366" t="s">
        <v>18</v>
      </c>
      <c r="J1366">
        <v>5032.5014999999994</v>
      </c>
      <c r="K1366" t="s">
        <v>24</v>
      </c>
      <c r="L1366" t="s">
        <v>32</v>
      </c>
      <c r="M1366">
        <v>1</v>
      </c>
      <c r="N1366" t="s">
        <v>1439</v>
      </c>
      <c r="O1366" t="s">
        <v>2937</v>
      </c>
      <c r="P1366">
        <v>29.9</v>
      </c>
      <c r="Q1366">
        <f t="shared" si="21"/>
        <v>296.02949999999998</v>
      </c>
      <c r="R1366">
        <v>5002.6014999999998</v>
      </c>
      <c r="S1366" s="2">
        <v>45393</v>
      </c>
      <c r="T1366" s="2">
        <v>45399</v>
      </c>
      <c r="U1366" t="s">
        <v>34</v>
      </c>
      <c r="V1366">
        <v>11</v>
      </c>
      <c r="W1366">
        <v>4</v>
      </c>
      <c r="X1366" t="s">
        <v>45</v>
      </c>
      <c r="Y1366">
        <v>2024</v>
      </c>
      <c r="Z1366">
        <v>2</v>
      </c>
      <c r="AA1366">
        <v>15</v>
      </c>
    </row>
    <row r="1367" spans="1:27" x14ac:dyDescent="0.3">
      <c r="A1367" s="2">
        <v>45381</v>
      </c>
      <c r="B1367" t="s">
        <v>1</v>
      </c>
      <c r="C1367" t="s">
        <v>9</v>
      </c>
      <c r="D1367">
        <v>2</v>
      </c>
      <c r="E1367">
        <v>441.18</v>
      </c>
      <c r="F1367" t="s">
        <v>12</v>
      </c>
      <c r="G1367" t="s">
        <v>17</v>
      </c>
      <c r="H1367">
        <v>0.15</v>
      </c>
      <c r="I1367" t="s">
        <v>23</v>
      </c>
      <c r="J1367">
        <v>750.00599999999997</v>
      </c>
      <c r="K1367" t="s">
        <v>28</v>
      </c>
      <c r="L1367" t="s">
        <v>32</v>
      </c>
      <c r="M1367">
        <v>1</v>
      </c>
      <c r="N1367" t="s">
        <v>1440</v>
      </c>
      <c r="O1367" t="s">
        <v>2938</v>
      </c>
      <c r="P1367">
        <v>23.07</v>
      </c>
      <c r="Q1367">
        <f t="shared" si="21"/>
        <v>375.00299999999999</v>
      </c>
      <c r="R1367">
        <v>726.93599999999992</v>
      </c>
      <c r="S1367" s="2">
        <v>45381</v>
      </c>
      <c r="T1367" s="2">
        <v>45388</v>
      </c>
      <c r="U1367" t="s">
        <v>34</v>
      </c>
      <c r="V1367">
        <v>30</v>
      </c>
      <c r="W1367">
        <v>3</v>
      </c>
      <c r="X1367" t="s">
        <v>44</v>
      </c>
      <c r="Y1367">
        <v>2024</v>
      </c>
      <c r="Z1367">
        <v>1</v>
      </c>
      <c r="AA1367">
        <v>13</v>
      </c>
    </row>
    <row r="1368" spans="1:27" x14ac:dyDescent="0.3">
      <c r="A1368" s="2">
        <v>45621</v>
      </c>
      <c r="B1368" t="s">
        <v>2</v>
      </c>
      <c r="C1368" t="s">
        <v>8</v>
      </c>
      <c r="D1368">
        <v>20</v>
      </c>
      <c r="E1368">
        <v>286.66000000000003</v>
      </c>
      <c r="F1368" t="s">
        <v>15</v>
      </c>
      <c r="G1368" t="s">
        <v>17</v>
      </c>
      <c r="H1368">
        <v>0.1</v>
      </c>
      <c r="I1368" t="s">
        <v>21</v>
      </c>
      <c r="J1368">
        <v>5159.880000000001</v>
      </c>
      <c r="K1368" t="s">
        <v>27</v>
      </c>
      <c r="L1368" t="s">
        <v>31</v>
      </c>
      <c r="M1368">
        <v>0</v>
      </c>
      <c r="N1368" t="s">
        <v>1441</v>
      </c>
      <c r="O1368" t="s">
        <v>2939</v>
      </c>
      <c r="P1368">
        <v>15.54</v>
      </c>
      <c r="Q1368">
        <f t="shared" si="21"/>
        <v>257.99400000000003</v>
      </c>
      <c r="R1368">
        <v>5144.3400000000011</v>
      </c>
      <c r="S1368" s="2">
        <v>45621</v>
      </c>
      <c r="T1368" s="2">
        <v>45625</v>
      </c>
      <c r="U1368" t="s">
        <v>35</v>
      </c>
      <c r="V1368">
        <v>25</v>
      </c>
      <c r="W1368">
        <v>11</v>
      </c>
      <c r="X1368" t="s">
        <v>47</v>
      </c>
      <c r="Y1368">
        <v>2024</v>
      </c>
      <c r="Z1368">
        <v>4</v>
      </c>
      <c r="AA1368">
        <v>48</v>
      </c>
    </row>
    <row r="1369" spans="1:27" x14ac:dyDescent="0.3">
      <c r="A1369" s="2">
        <v>45663</v>
      </c>
      <c r="B1369" t="s">
        <v>2</v>
      </c>
      <c r="C1369" t="s">
        <v>11</v>
      </c>
      <c r="D1369">
        <v>13</v>
      </c>
      <c r="E1369">
        <v>483.63</v>
      </c>
      <c r="F1369" t="s">
        <v>13</v>
      </c>
      <c r="G1369" t="s">
        <v>17</v>
      </c>
      <c r="H1369">
        <v>0.05</v>
      </c>
      <c r="I1369" t="s">
        <v>21</v>
      </c>
      <c r="J1369">
        <v>5972.8304999999991</v>
      </c>
      <c r="K1369" t="s">
        <v>28</v>
      </c>
      <c r="L1369" t="s">
        <v>29</v>
      </c>
      <c r="M1369">
        <v>0</v>
      </c>
      <c r="N1369" t="s">
        <v>1442</v>
      </c>
      <c r="O1369" t="s">
        <v>2940</v>
      </c>
      <c r="P1369">
        <v>18.22</v>
      </c>
      <c r="Q1369">
        <f t="shared" si="21"/>
        <v>459.44849999999991</v>
      </c>
      <c r="R1369">
        <v>5954.6104999999989</v>
      </c>
      <c r="S1369" s="2">
        <v>45663</v>
      </c>
      <c r="T1369" s="2">
        <v>45672</v>
      </c>
      <c r="U1369" t="s">
        <v>35</v>
      </c>
      <c r="V1369">
        <v>6</v>
      </c>
      <c r="W1369">
        <v>1</v>
      </c>
      <c r="X1369" t="s">
        <v>42</v>
      </c>
      <c r="Y1369">
        <v>2025</v>
      </c>
      <c r="Z1369">
        <v>1</v>
      </c>
      <c r="AA1369">
        <v>2</v>
      </c>
    </row>
    <row r="1370" spans="1:27" x14ac:dyDescent="0.3">
      <c r="A1370" s="2">
        <v>45031</v>
      </c>
      <c r="B1370" t="s">
        <v>4</v>
      </c>
      <c r="C1370" t="s">
        <v>10</v>
      </c>
      <c r="D1370">
        <v>8</v>
      </c>
      <c r="E1370">
        <v>304.14999999999998</v>
      </c>
      <c r="F1370" t="s">
        <v>12</v>
      </c>
      <c r="G1370" t="s">
        <v>16</v>
      </c>
      <c r="H1370">
        <v>0.05</v>
      </c>
      <c r="I1370" t="s">
        <v>21</v>
      </c>
      <c r="J1370">
        <v>2311.54</v>
      </c>
      <c r="K1370" t="s">
        <v>27</v>
      </c>
      <c r="L1370" t="s">
        <v>32</v>
      </c>
      <c r="M1370">
        <v>0</v>
      </c>
      <c r="N1370" t="s">
        <v>1443</v>
      </c>
      <c r="O1370" t="s">
        <v>2941</v>
      </c>
      <c r="P1370">
        <v>41.73</v>
      </c>
      <c r="Q1370">
        <f t="shared" si="21"/>
        <v>288.9425</v>
      </c>
      <c r="R1370">
        <v>2269.81</v>
      </c>
      <c r="S1370" s="2">
        <v>45031</v>
      </c>
      <c r="T1370" s="2">
        <v>45034</v>
      </c>
      <c r="U1370" t="s">
        <v>37</v>
      </c>
      <c r="V1370">
        <v>15</v>
      </c>
      <c r="W1370">
        <v>4</v>
      </c>
      <c r="X1370" t="s">
        <v>45</v>
      </c>
      <c r="Y1370">
        <v>2023</v>
      </c>
      <c r="Z1370">
        <v>2</v>
      </c>
      <c r="AA1370">
        <v>15</v>
      </c>
    </row>
    <row r="1371" spans="1:27" x14ac:dyDescent="0.3">
      <c r="A1371" s="2">
        <v>45329</v>
      </c>
      <c r="B1371" t="s">
        <v>0</v>
      </c>
      <c r="C1371" t="s">
        <v>11</v>
      </c>
      <c r="D1371">
        <v>10</v>
      </c>
      <c r="E1371">
        <v>452.21</v>
      </c>
      <c r="F1371" t="s">
        <v>13</v>
      </c>
      <c r="G1371" t="s">
        <v>17</v>
      </c>
      <c r="H1371">
        <v>0.1</v>
      </c>
      <c r="I1371" t="s">
        <v>18</v>
      </c>
      <c r="J1371">
        <v>4069.889999999999</v>
      </c>
      <c r="K1371" t="s">
        <v>28</v>
      </c>
      <c r="L1371" t="s">
        <v>31</v>
      </c>
      <c r="M1371">
        <v>0</v>
      </c>
      <c r="N1371" t="s">
        <v>1444</v>
      </c>
      <c r="O1371" t="s">
        <v>2942</v>
      </c>
      <c r="P1371">
        <v>15.87</v>
      </c>
      <c r="Q1371">
        <f t="shared" si="21"/>
        <v>406.98899999999992</v>
      </c>
      <c r="R1371">
        <v>4054.0199999999991</v>
      </c>
      <c r="S1371" s="2">
        <v>45329</v>
      </c>
      <c r="T1371" s="2">
        <v>45339</v>
      </c>
      <c r="U1371" t="s">
        <v>33</v>
      </c>
      <c r="V1371">
        <v>7</v>
      </c>
      <c r="W1371">
        <v>2</v>
      </c>
      <c r="X1371" t="s">
        <v>38</v>
      </c>
      <c r="Y1371">
        <v>2024</v>
      </c>
      <c r="Z1371">
        <v>1</v>
      </c>
      <c r="AA1371">
        <v>6</v>
      </c>
    </row>
    <row r="1372" spans="1:27" x14ac:dyDescent="0.3">
      <c r="A1372" s="2">
        <v>45079</v>
      </c>
      <c r="B1372" t="s">
        <v>0</v>
      </c>
      <c r="C1372" t="s">
        <v>11</v>
      </c>
      <c r="D1372">
        <v>4</v>
      </c>
      <c r="E1372">
        <v>248.16</v>
      </c>
      <c r="F1372" t="s">
        <v>12</v>
      </c>
      <c r="G1372" t="s">
        <v>17</v>
      </c>
      <c r="H1372">
        <v>0.1</v>
      </c>
      <c r="I1372" t="s">
        <v>22</v>
      </c>
      <c r="J1372">
        <v>893.37599999999998</v>
      </c>
      <c r="K1372" t="s">
        <v>26</v>
      </c>
      <c r="L1372" t="s">
        <v>32</v>
      </c>
      <c r="M1372">
        <v>1</v>
      </c>
      <c r="N1372" t="s">
        <v>1445</v>
      </c>
      <c r="O1372" t="s">
        <v>2943</v>
      </c>
      <c r="P1372">
        <v>45.11</v>
      </c>
      <c r="Q1372">
        <f t="shared" si="21"/>
        <v>223.34399999999999</v>
      </c>
      <c r="R1372">
        <v>848.26599999999996</v>
      </c>
      <c r="S1372" s="2">
        <v>45079</v>
      </c>
      <c r="T1372" s="2">
        <v>45082</v>
      </c>
      <c r="U1372" t="s">
        <v>33</v>
      </c>
      <c r="V1372">
        <v>2</v>
      </c>
      <c r="W1372">
        <v>6</v>
      </c>
      <c r="X1372" t="s">
        <v>41</v>
      </c>
      <c r="Y1372">
        <v>2023</v>
      </c>
      <c r="Z1372">
        <v>2</v>
      </c>
      <c r="AA1372">
        <v>22</v>
      </c>
    </row>
    <row r="1373" spans="1:27" x14ac:dyDescent="0.3">
      <c r="A1373" s="2">
        <v>45162</v>
      </c>
      <c r="B1373" t="s">
        <v>0</v>
      </c>
      <c r="C1373" t="s">
        <v>5</v>
      </c>
      <c r="D1373">
        <v>4</v>
      </c>
      <c r="E1373">
        <v>520</v>
      </c>
      <c r="F1373" t="s">
        <v>13</v>
      </c>
      <c r="G1373" t="s">
        <v>17</v>
      </c>
      <c r="H1373">
        <v>0</v>
      </c>
      <c r="I1373" t="s">
        <v>18</v>
      </c>
      <c r="J1373">
        <v>2080</v>
      </c>
      <c r="K1373" t="s">
        <v>26</v>
      </c>
      <c r="L1373" t="s">
        <v>31</v>
      </c>
      <c r="M1373">
        <v>0</v>
      </c>
      <c r="N1373" t="s">
        <v>1446</v>
      </c>
      <c r="O1373" t="s">
        <v>2944</v>
      </c>
      <c r="P1373">
        <v>18.25</v>
      </c>
      <c r="Q1373">
        <f t="shared" si="21"/>
        <v>520</v>
      </c>
      <c r="R1373">
        <v>2061.75</v>
      </c>
      <c r="S1373" s="2">
        <v>45162</v>
      </c>
      <c r="T1373" s="2">
        <v>45171</v>
      </c>
      <c r="U1373" t="s">
        <v>33</v>
      </c>
      <c r="V1373">
        <v>24</v>
      </c>
      <c r="W1373">
        <v>8</v>
      </c>
      <c r="X1373" t="s">
        <v>48</v>
      </c>
      <c r="Y1373">
        <v>2023</v>
      </c>
      <c r="Z1373">
        <v>3</v>
      </c>
      <c r="AA1373">
        <v>34</v>
      </c>
    </row>
    <row r="1374" spans="1:27" x14ac:dyDescent="0.3">
      <c r="A1374" s="2">
        <v>45632</v>
      </c>
      <c r="B1374" t="s">
        <v>1</v>
      </c>
      <c r="C1374" t="s">
        <v>8</v>
      </c>
      <c r="D1374">
        <v>11</v>
      </c>
      <c r="E1374">
        <v>571.07000000000005</v>
      </c>
      <c r="F1374" t="s">
        <v>13</v>
      </c>
      <c r="G1374" t="s">
        <v>17</v>
      </c>
      <c r="H1374">
        <v>0</v>
      </c>
      <c r="I1374" t="s">
        <v>20</v>
      </c>
      <c r="J1374">
        <v>6281.77</v>
      </c>
      <c r="K1374" t="s">
        <v>25</v>
      </c>
      <c r="L1374" t="s">
        <v>30</v>
      </c>
      <c r="M1374">
        <v>0</v>
      </c>
      <c r="N1374" t="s">
        <v>1447</v>
      </c>
      <c r="O1374" t="s">
        <v>2945</v>
      </c>
      <c r="P1374">
        <v>12.6</v>
      </c>
      <c r="Q1374">
        <f t="shared" si="21"/>
        <v>571.07000000000005</v>
      </c>
      <c r="R1374">
        <v>6269.17</v>
      </c>
      <c r="S1374" s="2">
        <v>45632</v>
      </c>
      <c r="T1374" s="2">
        <v>45637</v>
      </c>
      <c r="U1374" t="s">
        <v>34</v>
      </c>
      <c r="V1374">
        <v>6</v>
      </c>
      <c r="W1374">
        <v>12</v>
      </c>
      <c r="X1374" t="s">
        <v>39</v>
      </c>
      <c r="Y1374">
        <v>2024</v>
      </c>
      <c r="Z1374">
        <v>4</v>
      </c>
      <c r="AA1374">
        <v>49</v>
      </c>
    </row>
    <row r="1375" spans="1:27" x14ac:dyDescent="0.3">
      <c r="A1375" s="2">
        <v>45268</v>
      </c>
      <c r="B1375" t="s">
        <v>0</v>
      </c>
      <c r="C1375" t="s">
        <v>10</v>
      </c>
      <c r="D1375">
        <v>11</v>
      </c>
      <c r="E1375">
        <v>65.569999999999993</v>
      </c>
      <c r="F1375" t="s">
        <v>15</v>
      </c>
      <c r="G1375" t="s">
        <v>17</v>
      </c>
      <c r="H1375">
        <v>0.1</v>
      </c>
      <c r="I1375" t="s">
        <v>22</v>
      </c>
      <c r="J1375">
        <v>649.14300000000003</v>
      </c>
      <c r="K1375" t="s">
        <v>27</v>
      </c>
      <c r="L1375" t="s">
        <v>30</v>
      </c>
      <c r="M1375">
        <v>1</v>
      </c>
      <c r="N1375" t="s">
        <v>1448</v>
      </c>
      <c r="O1375" t="s">
        <v>2946</v>
      </c>
      <c r="P1375">
        <v>30.43</v>
      </c>
      <c r="Q1375">
        <f t="shared" si="21"/>
        <v>59.013000000000005</v>
      </c>
      <c r="R1375">
        <v>618.71300000000008</v>
      </c>
      <c r="S1375" s="2">
        <v>45268</v>
      </c>
      <c r="T1375" s="2">
        <v>45274</v>
      </c>
      <c r="U1375" t="s">
        <v>33</v>
      </c>
      <c r="V1375">
        <v>8</v>
      </c>
      <c r="W1375">
        <v>12</v>
      </c>
      <c r="X1375" t="s">
        <v>39</v>
      </c>
      <c r="Y1375">
        <v>2023</v>
      </c>
      <c r="Z1375">
        <v>4</v>
      </c>
      <c r="AA1375">
        <v>49</v>
      </c>
    </row>
    <row r="1376" spans="1:27" x14ac:dyDescent="0.3">
      <c r="A1376" s="2">
        <v>45058</v>
      </c>
      <c r="B1376" t="s">
        <v>1</v>
      </c>
      <c r="C1376" t="s">
        <v>10</v>
      </c>
      <c r="D1376">
        <v>4</v>
      </c>
      <c r="E1376">
        <v>397.02</v>
      </c>
      <c r="F1376" t="s">
        <v>13</v>
      </c>
      <c r="G1376" t="s">
        <v>16</v>
      </c>
      <c r="H1376">
        <v>0</v>
      </c>
      <c r="I1376" t="s">
        <v>20</v>
      </c>
      <c r="J1376">
        <v>1588.08</v>
      </c>
      <c r="K1376" t="s">
        <v>28</v>
      </c>
      <c r="L1376" t="s">
        <v>29</v>
      </c>
      <c r="M1376">
        <v>0</v>
      </c>
      <c r="N1376" t="s">
        <v>1449</v>
      </c>
      <c r="O1376" t="s">
        <v>2947</v>
      </c>
      <c r="P1376">
        <v>23.25</v>
      </c>
      <c r="Q1376">
        <f t="shared" si="21"/>
        <v>397.02</v>
      </c>
      <c r="R1376">
        <v>1564.83</v>
      </c>
      <c r="S1376" s="2">
        <v>45058</v>
      </c>
      <c r="T1376" s="2">
        <v>45066</v>
      </c>
      <c r="U1376" t="s">
        <v>34</v>
      </c>
      <c r="V1376">
        <v>12</v>
      </c>
      <c r="W1376">
        <v>5</v>
      </c>
      <c r="X1376" t="s">
        <v>40</v>
      </c>
      <c r="Y1376">
        <v>2023</v>
      </c>
      <c r="Z1376">
        <v>2</v>
      </c>
      <c r="AA1376">
        <v>19</v>
      </c>
    </row>
    <row r="1377" spans="1:27" x14ac:dyDescent="0.3">
      <c r="A1377" s="2">
        <v>45771</v>
      </c>
      <c r="B1377" t="s">
        <v>4</v>
      </c>
      <c r="C1377" t="s">
        <v>5</v>
      </c>
      <c r="D1377">
        <v>10</v>
      </c>
      <c r="E1377">
        <v>169.35</v>
      </c>
      <c r="F1377" t="s">
        <v>12</v>
      </c>
      <c r="G1377" t="s">
        <v>17</v>
      </c>
      <c r="H1377">
        <v>0.05</v>
      </c>
      <c r="I1377" t="s">
        <v>19</v>
      </c>
      <c r="J1377">
        <v>1608.825</v>
      </c>
      <c r="K1377" t="s">
        <v>26</v>
      </c>
      <c r="L1377" t="s">
        <v>31</v>
      </c>
      <c r="M1377">
        <v>0</v>
      </c>
      <c r="N1377" t="s">
        <v>1450</v>
      </c>
      <c r="O1377" t="s">
        <v>2948</v>
      </c>
      <c r="P1377">
        <v>44.91</v>
      </c>
      <c r="Q1377">
        <f t="shared" si="21"/>
        <v>160.88249999999999</v>
      </c>
      <c r="R1377">
        <v>1563.915</v>
      </c>
      <c r="S1377" s="2">
        <v>45771</v>
      </c>
      <c r="T1377" s="2">
        <v>45774</v>
      </c>
      <c r="U1377" t="s">
        <v>37</v>
      </c>
      <c r="V1377">
        <v>24</v>
      </c>
      <c r="W1377">
        <v>4</v>
      </c>
      <c r="X1377" t="s">
        <v>45</v>
      </c>
      <c r="Y1377">
        <v>2025</v>
      </c>
      <c r="Z1377">
        <v>2</v>
      </c>
      <c r="AA1377">
        <v>17</v>
      </c>
    </row>
    <row r="1378" spans="1:27" x14ac:dyDescent="0.3">
      <c r="A1378" s="2">
        <v>45039</v>
      </c>
      <c r="B1378" t="s">
        <v>3</v>
      </c>
      <c r="C1378" t="s">
        <v>10</v>
      </c>
      <c r="D1378">
        <v>9</v>
      </c>
      <c r="E1378">
        <v>340.44</v>
      </c>
      <c r="F1378" t="s">
        <v>15</v>
      </c>
      <c r="G1378" t="s">
        <v>17</v>
      </c>
      <c r="H1378">
        <v>0.05</v>
      </c>
      <c r="I1378" t="s">
        <v>21</v>
      </c>
      <c r="J1378">
        <v>2910.7620000000002</v>
      </c>
      <c r="K1378" t="s">
        <v>27</v>
      </c>
      <c r="L1378" t="s">
        <v>29</v>
      </c>
      <c r="M1378">
        <v>1</v>
      </c>
      <c r="N1378" t="s">
        <v>1451</v>
      </c>
      <c r="O1378" t="s">
        <v>2949</v>
      </c>
      <c r="P1378">
        <v>36.68</v>
      </c>
      <c r="Q1378">
        <f t="shared" si="21"/>
        <v>323.41800000000001</v>
      </c>
      <c r="R1378">
        <v>2874.0820000000003</v>
      </c>
      <c r="S1378" s="2">
        <v>45039</v>
      </c>
      <c r="T1378" s="2">
        <v>45049</v>
      </c>
      <c r="U1378" t="s">
        <v>36</v>
      </c>
      <c r="V1378">
        <v>23</v>
      </c>
      <c r="W1378">
        <v>4</v>
      </c>
      <c r="X1378" t="s">
        <v>45</v>
      </c>
      <c r="Y1378">
        <v>2023</v>
      </c>
      <c r="Z1378">
        <v>2</v>
      </c>
      <c r="AA1378">
        <v>16</v>
      </c>
    </row>
    <row r="1379" spans="1:27" x14ac:dyDescent="0.3">
      <c r="A1379" s="2">
        <v>44944</v>
      </c>
      <c r="B1379" t="s">
        <v>2</v>
      </c>
      <c r="C1379" t="s">
        <v>9</v>
      </c>
      <c r="D1379">
        <v>1</v>
      </c>
      <c r="E1379">
        <v>120.2</v>
      </c>
      <c r="F1379" t="s">
        <v>15</v>
      </c>
      <c r="G1379" t="s">
        <v>17</v>
      </c>
      <c r="H1379">
        <v>0.05</v>
      </c>
      <c r="I1379" t="s">
        <v>21</v>
      </c>
      <c r="J1379">
        <v>114.19</v>
      </c>
      <c r="K1379" t="s">
        <v>24</v>
      </c>
      <c r="L1379" t="s">
        <v>31</v>
      </c>
      <c r="M1379">
        <v>0</v>
      </c>
      <c r="N1379" t="s">
        <v>1452</v>
      </c>
      <c r="O1379" t="s">
        <v>2950</v>
      </c>
      <c r="P1379">
        <v>44.99</v>
      </c>
      <c r="Q1379">
        <f t="shared" si="21"/>
        <v>114.19</v>
      </c>
      <c r="R1379">
        <v>69.199999999999989</v>
      </c>
      <c r="S1379" s="2">
        <v>44944</v>
      </c>
      <c r="T1379" s="2">
        <v>44947</v>
      </c>
      <c r="U1379" t="s">
        <v>35</v>
      </c>
      <c r="V1379">
        <v>18</v>
      </c>
      <c r="W1379">
        <v>1</v>
      </c>
      <c r="X1379" t="s">
        <v>42</v>
      </c>
      <c r="Y1379">
        <v>2023</v>
      </c>
      <c r="Z1379">
        <v>1</v>
      </c>
      <c r="AA1379">
        <v>3</v>
      </c>
    </row>
    <row r="1380" spans="1:27" x14ac:dyDescent="0.3">
      <c r="A1380" s="2">
        <v>45788</v>
      </c>
      <c r="B1380" t="s">
        <v>2</v>
      </c>
      <c r="C1380" t="s">
        <v>6</v>
      </c>
      <c r="D1380">
        <v>13</v>
      </c>
      <c r="E1380">
        <v>169.39</v>
      </c>
      <c r="F1380" t="s">
        <v>12</v>
      </c>
      <c r="G1380" t="s">
        <v>16</v>
      </c>
      <c r="H1380">
        <v>0.15</v>
      </c>
      <c r="I1380" t="s">
        <v>22</v>
      </c>
      <c r="J1380">
        <v>1871.7594999999999</v>
      </c>
      <c r="K1380" t="s">
        <v>26</v>
      </c>
      <c r="L1380" t="s">
        <v>32</v>
      </c>
      <c r="M1380">
        <v>0</v>
      </c>
      <c r="N1380" t="s">
        <v>1453</v>
      </c>
      <c r="O1380" t="s">
        <v>2951</v>
      </c>
      <c r="P1380">
        <v>6.81</v>
      </c>
      <c r="Q1380">
        <f t="shared" si="21"/>
        <v>143.98149999999998</v>
      </c>
      <c r="R1380">
        <v>1864.9494999999999</v>
      </c>
      <c r="S1380" s="2">
        <v>45788</v>
      </c>
      <c r="T1380" s="2">
        <v>45798</v>
      </c>
      <c r="U1380" t="s">
        <v>35</v>
      </c>
      <c r="V1380">
        <v>11</v>
      </c>
      <c r="W1380">
        <v>5</v>
      </c>
      <c r="X1380" t="s">
        <v>40</v>
      </c>
      <c r="Y1380">
        <v>2025</v>
      </c>
      <c r="Z1380">
        <v>2</v>
      </c>
      <c r="AA1380">
        <v>19</v>
      </c>
    </row>
    <row r="1381" spans="1:27" x14ac:dyDescent="0.3">
      <c r="A1381" s="2">
        <v>45649</v>
      </c>
      <c r="B1381" t="s">
        <v>4</v>
      </c>
      <c r="C1381" t="s">
        <v>10</v>
      </c>
      <c r="D1381">
        <v>10</v>
      </c>
      <c r="E1381">
        <v>170.72</v>
      </c>
      <c r="F1381" t="s">
        <v>13</v>
      </c>
      <c r="G1381" t="s">
        <v>16</v>
      </c>
      <c r="H1381">
        <v>0.05</v>
      </c>
      <c r="I1381" t="s">
        <v>20</v>
      </c>
      <c r="J1381">
        <v>1621.84</v>
      </c>
      <c r="K1381" t="s">
        <v>24</v>
      </c>
      <c r="L1381" t="s">
        <v>29</v>
      </c>
      <c r="M1381">
        <v>0</v>
      </c>
      <c r="N1381" t="s">
        <v>1454</v>
      </c>
      <c r="O1381" t="s">
        <v>2952</v>
      </c>
      <c r="P1381">
        <v>29.18</v>
      </c>
      <c r="Q1381">
        <f t="shared" si="21"/>
        <v>162.184</v>
      </c>
      <c r="R1381">
        <v>1592.6599999999999</v>
      </c>
      <c r="S1381" s="2">
        <v>45649</v>
      </c>
      <c r="T1381" s="2">
        <v>45659</v>
      </c>
      <c r="U1381" t="s">
        <v>37</v>
      </c>
      <c r="V1381">
        <v>23</v>
      </c>
      <c r="W1381">
        <v>12</v>
      </c>
      <c r="X1381" t="s">
        <v>39</v>
      </c>
      <c r="Y1381">
        <v>2024</v>
      </c>
      <c r="Z1381">
        <v>4</v>
      </c>
      <c r="AA1381">
        <v>52</v>
      </c>
    </row>
    <row r="1382" spans="1:27" x14ac:dyDescent="0.3">
      <c r="A1382" s="2">
        <v>45158</v>
      </c>
      <c r="B1382" t="s">
        <v>4</v>
      </c>
      <c r="C1382" t="s">
        <v>7</v>
      </c>
      <c r="D1382">
        <v>9</v>
      </c>
      <c r="E1382">
        <v>323.77</v>
      </c>
      <c r="F1382" t="s">
        <v>13</v>
      </c>
      <c r="G1382" t="s">
        <v>16</v>
      </c>
      <c r="H1382">
        <v>0.15</v>
      </c>
      <c r="I1382" t="s">
        <v>21</v>
      </c>
      <c r="J1382">
        <v>2476.8404999999998</v>
      </c>
      <c r="K1382" t="s">
        <v>27</v>
      </c>
      <c r="L1382" t="s">
        <v>32</v>
      </c>
      <c r="M1382">
        <v>0</v>
      </c>
      <c r="N1382" t="s">
        <v>1455</v>
      </c>
      <c r="O1382" t="s">
        <v>2953</v>
      </c>
      <c r="P1382">
        <v>6.36</v>
      </c>
      <c r="Q1382">
        <f t="shared" si="21"/>
        <v>275.2045</v>
      </c>
      <c r="R1382">
        <v>2470.4804999999997</v>
      </c>
      <c r="S1382" s="2">
        <v>45158</v>
      </c>
      <c r="T1382" s="2">
        <v>45166</v>
      </c>
      <c r="U1382" t="s">
        <v>37</v>
      </c>
      <c r="V1382">
        <v>20</v>
      </c>
      <c r="W1382">
        <v>8</v>
      </c>
      <c r="X1382" t="s">
        <v>48</v>
      </c>
      <c r="Y1382">
        <v>2023</v>
      </c>
      <c r="Z1382">
        <v>3</v>
      </c>
      <c r="AA1382">
        <v>33</v>
      </c>
    </row>
    <row r="1383" spans="1:27" x14ac:dyDescent="0.3">
      <c r="A1383" s="2">
        <v>45734</v>
      </c>
      <c r="B1383" t="s">
        <v>3</v>
      </c>
      <c r="C1383" t="s">
        <v>8</v>
      </c>
      <c r="D1383">
        <v>4</v>
      </c>
      <c r="E1383">
        <v>481.86</v>
      </c>
      <c r="F1383" t="s">
        <v>12</v>
      </c>
      <c r="G1383" t="s">
        <v>16</v>
      </c>
      <c r="H1383">
        <v>0</v>
      </c>
      <c r="I1383" t="s">
        <v>23</v>
      </c>
      <c r="J1383">
        <v>1927.44</v>
      </c>
      <c r="K1383" t="s">
        <v>24</v>
      </c>
      <c r="L1383" t="s">
        <v>29</v>
      </c>
      <c r="M1383">
        <v>0</v>
      </c>
      <c r="N1383" t="s">
        <v>1456</v>
      </c>
      <c r="O1383" t="s">
        <v>2954</v>
      </c>
      <c r="P1383">
        <v>21.92</v>
      </c>
      <c r="Q1383">
        <f t="shared" si="21"/>
        <v>481.86</v>
      </c>
      <c r="R1383">
        <v>1905.52</v>
      </c>
      <c r="S1383" s="2">
        <v>45734</v>
      </c>
      <c r="T1383" s="2">
        <v>45739</v>
      </c>
      <c r="U1383" t="s">
        <v>36</v>
      </c>
      <c r="V1383">
        <v>18</v>
      </c>
      <c r="W1383">
        <v>3</v>
      </c>
      <c r="X1383" t="s">
        <v>44</v>
      </c>
      <c r="Y1383">
        <v>2025</v>
      </c>
      <c r="Z1383">
        <v>1</v>
      </c>
      <c r="AA1383">
        <v>12</v>
      </c>
    </row>
    <row r="1384" spans="1:27" x14ac:dyDescent="0.3">
      <c r="A1384" s="2">
        <v>45307</v>
      </c>
      <c r="B1384" t="s">
        <v>3</v>
      </c>
      <c r="C1384" t="s">
        <v>6</v>
      </c>
      <c r="D1384">
        <v>4</v>
      </c>
      <c r="E1384">
        <v>78.05</v>
      </c>
      <c r="F1384" t="s">
        <v>13</v>
      </c>
      <c r="G1384" t="s">
        <v>17</v>
      </c>
      <c r="H1384">
        <v>0</v>
      </c>
      <c r="I1384" t="s">
        <v>21</v>
      </c>
      <c r="J1384">
        <v>312.2</v>
      </c>
      <c r="K1384" t="s">
        <v>26</v>
      </c>
      <c r="L1384" t="s">
        <v>32</v>
      </c>
      <c r="M1384">
        <v>0</v>
      </c>
      <c r="N1384" t="s">
        <v>1457</v>
      </c>
      <c r="O1384" t="s">
        <v>2955</v>
      </c>
      <c r="P1384">
        <v>14.03</v>
      </c>
      <c r="Q1384">
        <f t="shared" si="21"/>
        <v>78.05</v>
      </c>
      <c r="R1384">
        <v>298.17</v>
      </c>
      <c r="S1384" s="2">
        <v>45307</v>
      </c>
      <c r="T1384" s="2">
        <v>45315</v>
      </c>
      <c r="U1384" t="s">
        <v>36</v>
      </c>
      <c r="V1384">
        <v>16</v>
      </c>
      <c r="W1384">
        <v>1</v>
      </c>
      <c r="X1384" t="s">
        <v>42</v>
      </c>
      <c r="Y1384">
        <v>2024</v>
      </c>
      <c r="Z1384">
        <v>1</v>
      </c>
      <c r="AA1384">
        <v>3</v>
      </c>
    </row>
    <row r="1385" spans="1:27" x14ac:dyDescent="0.3">
      <c r="A1385" s="2">
        <v>45441</v>
      </c>
      <c r="B1385" t="s">
        <v>0</v>
      </c>
      <c r="C1385" t="s">
        <v>10</v>
      </c>
      <c r="D1385">
        <v>6</v>
      </c>
      <c r="E1385">
        <v>57.4</v>
      </c>
      <c r="F1385" t="s">
        <v>14</v>
      </c>
      <c r="G1385" t="s">
        <v>16</v>
      </c>
      <c r="H1385">
        <v>0.1</v>
      </c>
      <c r="I1385" t="s">
        <v>18</v>
      </c>
      <c r="J1385">
        <v>309.95999999999998</v>
      </c>
      <c r="K1385" t="s">
        <v>27</v>
      </c>
      <c r="L1385" t="s">
        <v>29</v>
      </c>
      <c r="M1385">
        <v>0</v>
      </c>
      <c r="N1385" t="s">
        <v>1458</v>
      </c>
      <c r="O1385" t="s">
        <v>2956</v>
      </c>
      <c r="P1385">
        <v>26.42</v>
      </c>
      <c r="Q1385">
        <f t="shared" si="21"/>
        <v>51.66</v>
      </c>
      <c r="R1385">
        <v>283.53999999999996</v>
      </c>
      <c r="S1385" s="2">
        <v>45441</v>
      </c>
      <c r="T1385" s="2">
        <v>45451</v>
      </c>
      <c r="U1385" t="s">
        <v>33</v>
      </c>
      <c r="V1385">
        <v>29</v>
      </c>
      <c r="W1385">
        <v>5</v>
      </c>
      <c r="X1385" t="s">
        <v>40</v>
      </c>
      <c r="Y1385">
        <v>2024</v>
      </c>
      <c r="Z1385">
        <v>2</v>
      </c>
      <c r="AA1385">
        <v>22</v>
      </c>
    </row>
    <row r="1386" spans="1:27" x14ac:dyDescent="0.3">
      <c r="A1386" s="2">
        <v>45741</v>
      </c>
      <c r="B1386" t="s">
        <v>1</v>
      </c>
      <c r="C1386" t="s">
        <v>5</v>
      </c>
      <c r="D1386">
        <v>9</v>
      </c>
      <c r="E1386">
        <v>454.98</v>
      </c>
      <c r="F1386" t="s">
        <v>12</v>
      </c>
      <c r="G1386" t="s">
        <v>16</v>
      </c>
      <c r="H1386">
        <v>0.15</v>
      </c>
      <c r="I1386" t="s">
        <v>18</v>
      </c>
      <c r="J1386">
        <v>3480.5970000000002</v>
      </c>
      <c r="K1386" t="s">
        <v>26</v>
      </c>
      <c r="L1386" t="s">
        <v>32</v>
      </c>
      <c r="M1386">
        <v>0</v>
      </c>
      <c r="N1386" t="s">
        <v>1459</v>
      </c>
      <c r="O1386" t="s">
        <v>2519</v>
      </c>
      <c r="P1386">
        <v>40.76</v>
      </c>
      <c r="Q1386">
        <f t="shared" si="21"/>
        <v>386.733</v>
      </c>
      <c r="R1386">
        <v>3439.837</v>
      </c>
      <c r="S1386" s="2">
        <v>45741</v>
      </c>
      <c r="T1386" s="2">
        <v>45743</v>
      </c>
      <c r="U1386" t="s">
        <v>34</v>
      </c>
      <c r="V1386">
        <v>25</v>
      </c>
      <c r="W1386">
        <v>3</v>
      </c>
      <c r="X1386" t="s">
        <v>44</v>
      </c>
      <c r="Y1386">
        <v>2025</v>
      </c>
      <c r="Z1386">
        <v>1</v>
      </c>
      <c r="AA1386">
        <v>13</v>
      </c>
    </row>
    <row r="1387" spans="1:27" x14ac:dyDescent="0.3">
      <c r="A1387" s="2">
        <v>45738</v>
      </c>
      <c r="B1387" t="s">
        <v>3</v>
      </c>
      <c r="C1387" t="s">
        <v>7</v>
      </c>
      <c r="D1387">
        <v>11</v>
      </c>
      <c r="E1387">
        <v>365.75</v>
      </c>
      <c r="F1387" t="s">
        <v>15</v>
      </c>
      <c r="G1387" t="s">
        <v>16</v>
      </c>
      <c r="H1387">
        <v>0.05</v>
      </c>
      <c r="I1387" t="s">
        <v>23</v>
      </c>
      <c r="J1387">
        <v>3822.0875000000001</v>
      </c>
      <c r="K1387" t="s">
        <v>27</v>
      </c>
      <c r="L1387" t="s">
        <v>29</v>
      </c>
      <c r="M1387">
        <v>1</v>
      </c>
      <c r="N1387" t="s">
        <v>1460</v>
      </c>
      <c r="O1387" t="s">
        <v>2957</v>
      </c>
      <c r="P1387">
        <v>8.3699999999999992</v>
      </c>
      <c r="Q1387">
        <f t="shared" si="21"/>
        <v>347.46250000000003</v>
      </c>
      <c r="R1387">
        <v>3813.7175000000002</v>
      </c>
      <c r="S1387" s="2">
        <v>45738</v>
      </c>
      <c r="T1387" s="2">
        <v>45743</v>
      </c>
      <c r="U1387" t="s">
        <v>36</v>
      </c>
      <c r="V1387">
        <v>22</v>
      </c>
      <c r="W1387">
        <v>3</v>
      </c>
      <c r="X1387" t="s">
        <v>44</v>
      </c>
      <c r="Y1387">
        <v>2025</v>
      </c>
      <c r="Z1387">
        <v>1</v>
      </c>
      <c r="AA1387">
        <v>12</v>
      </c>
    </row>
    <row r="1388" spans="1:27" x14ac:dyDescent="0.3">
      <c r="A1388" s="2">
        <v>45521</v>
      </c>
      <c r="B1388" t="s">
        <v>0</v>
      </c>
      <c r="C1388" t="s">
        <v>6</v>
      </c>
      <c r="D1388">
        <v>7</v>
      </c>
      <c r="E1388">
        <v>106.88</v>
      </c>
      <c r="F1388" t="s">
        <v>14</v>
      </c>
      <c r="G1388" t="s">
        <v>17</v>
      </c>
      <c r="H1388">
        <v>0.05</v>
      </c>
      <c r="I1388" t="s">
        <v>22</v>
      </c>
      <c r="J1388">
        <v>710.75199999999995</v>
      </c>
      <c r="K1388" t="s">
        <v>28</v>
      </c>
      <c r="L1388" t="s">
        <v>31</v>
      </c>
      <c r="M1388">
        <v>1</v>
      </c>
      <c r="N1388" t="s">
        <v>1461</v>
      </c>
      <c r="O1388" t="s">
        <v>2958</v>
      </c>
      <c r="P1388">
        <v>26.12</v>
      </c>
      <c r="Q1388">
        <f t="shared" si="21"/>
        <v>101.53599999999999</v>
      </c>
      <c r="R1388">
        <v>684.63199999999995</v>
      </c>
      <c r="S1388" s="2">
        <v>45521</v>
      </c>
      <c r="T1388" s="2">
        <v>45528</v>
      </c>
      <c r="U1388" t="s">
        <v>33</v>
      </c>
      <c r="V1388">
        <v>17</v>
      </c>
      <c r="W1388">
        <v>8</v>
      </c>
      <c r="X1388" t="s">
        <v>48</v>
      </c>
      <c r="Y1388">
        <v>2024</v>
      </c>
      <c r="Z1388">
        <v>3</v>
      </c>
      <c r="AA1388">
        <v>33</v>
      </c>
    </row>
    <row r="1389" spans="1:27" x14ac:dyDescent="0.3">
      <c r="A1389" s="2">
        <v>45445</v>
      </c>
      <c r="B1389" t="s">
        <v>1</v>
      </c>
      <c r="C1389" t="s">
        <v>11</v>
      </c>
      <c r="D1389">
        <v>2</v>
      </c>
      <c r="E1389">
        <v>250.98</v>
      </c>
      <c r="F1389" t="s">
        <v>12</v>
      </c>
      <c r="G1389" t="s">
        <v>16</v>
      </c>
      <c r="H1389">
        <v>0.1</v>
      </c>
      <c r="I1389" t="s">
        <v>18</v>
      </c>
      <c r="J1389">
        <v>451.76400000000001</v>
      </c>
      <c r="K1389" t="s">
        <v>24</v>
      </c>
      <c r="L1389" t="s">
        <v>31</v>
      </c>
      <c r="M1389">
        <v>0</v>
      </c>
      <c r="N1389" t="s">
        <v>1462</v>
      </c>
      <c r="O1389" t="s">
        <v>2959</v>
      </c>
      <c r="P1389">
        <v>18.8</v>
      </c>
      <c r="Q1389">
        <f t="shared" si="21"/>
        <v>225.88200000000001</v>
      </c>
      <c r="R1389">
        <v>432.964</v>
      </c>
      <c r="S1389" s="2">
        <v>45445</v>
      </c>
      <c r="T1389" s="2">
        <v>45455</v>
      </c>
      <c r="U1389" t="s">
        <v>34</v>
      </c>
      <c r="V1389">
        <v>2</v>
      </c>
      <c r="W1389">
        <v>6</v>
      </c>
      <c r="X1389" t="s">
        <v>41</v>
      </c>
      <c r="Y1389">
        <v>2024</v>
      </c>
      <c r="Z1389">
        <v>2</v>
      </c>
      <c r="AA1389">
        <v>22</v>
      </c>
    </row>
    <row r="1390" spans="1:27" x14ac:dyDescent="0.3">
      <c r="A1390" s="2">
        <v>45016</v>
      </c>
      <c r="B1390" t="s">
        <v>1</v>
      </c>
      <c r="C1390" t="s">
        <v>9</v>
      </c>
      <c r="D1390">
        <v>8</v>
      </c>
      <c r="E1390">
        <v>591.29</v>
      </c>
      <c r="F1390" t="s">
        <v>14</v>
      </c>
      <c r="G1390" t="s">
        <v>17</v>
      </c>
      <c r="H1390">
        <v>0.1</v>
      </c>
      <c r="I1390" t="s">
        <v>22</v>
      </c>
      <c r="J1390">
        <v>4257.2879999999996</v>
      </c>
      <c r="K1390" t="s">
        <v>26</v>
      </c>
      <c r="L1390" t="s">
        <v>32</v>
      </c>
      <c r="M1390">
        <v>1</v>
      </c>
      <c r="N1390" t="s">
        <v>1463</v>
      </c>
      <c r="O1390" t="s">
        <v>2960</v>
      </c>
      <c r="P1390">
        <v>45.14</v>
      </c>
      <c r="Q1390">
        <f t="shared" si="21"/>
        <v>532.16099999999994</v>
      </c>
      <c r="R1390">
        <v>4212.1479999999992</v>
      </c>
      <c r="S1390" s="2">
        <v>45016</v>
      </c>
      <c r="T1390" s="2">
        <v>45026</v>
      </c>
      <c r="U1390" t="s">
        <v>34</v>
      </c>
      <c r="V1390">
        <v>31</v>
      </c>
      <c r="W1390">
        <v>3</v>
      </c>
      <c r="X1390" t="s">
        <v>44</v>
      </c>
      <c r="Y1390">
        <v>2023</v>
      </c>
      <c r="Z1390">
        <v>1</v>
      </c>
      <c r="AA1390">
        <v>13</v>
      </c>
    </row>
    <row r="1391" spans="1:27" x14ac:dyDescent="0.3">
      <c r="A1391" s="2">
        <v>45431</v>
      </c>
      <c r="B1391" t="s">
        <v>4</v>
      </c>
      <c r="C1391" t="s">
        <v>9</v>
      </c>
      <c r="D1391">
        <v>18</v>
      </c>
      <c r="E1391">
        <v>369.79</v>
      </c>
      <c r="F1391" t="s">
        <v>13</v>
      </c>
      <c r="G1391" t="s">
        <v>16</v>
      </c>
      <c r="H1391">
        <v>0.05</v>
      </c>
      <c r="I1391" t="s">
        <v>18</v>
      </c>
      <c r="J1391">
        <v>6323.4089999999997</v>
      </c>
      <c r="K1391" t="s">
        <v>28</v>
      </c>
      <c r="L1391" t="s">
        <v>29</v>
      </c>
      <c r="M1391">
        <v>1</v>
      </c>
      <c r="N1391" t="s">
        <v>1464</v>
      </c>
      <c r="O1391" t="s">
        <v>2961</v>
      </c>
      <c r="P1391">
        <v>16.399999999999999</v>
      </c>
      <c r="Q1391">
        <f t="shared" si="21"/>
        <v>351.3005</v>
      </c>
      <c r="R1391">
        <v>6307.009</v>
      </c>
      <c r="S1391" s="2">
        <v>45431</v>
      </c>
      <c r="T1391" s="2">
        <v>45435</v>
      </c>
      <c r="U1391" t="s">
        <v>37</v>
      </c>
      <c r="V1391">
        <v>19</v>
      </c>
      <c r="W1391">
        <v>5</v>
      </c>
      <c r="X1391" t="s">
        <v>40</v>
      </c>
      <c r="Y1391">
        <v>2024</v>
      </c>
      <c r="Z1391">
        <v>2</v>
      </c>
      <c r="AA1391">
        <v>20</v>
      </c>
    </row>
    <row r="1392" spans="1:27" x14ac:dyDescent="0.3">
      <c r="A1392" s="2">
        <v>44987</v>
      </c>
      <c r="B1392" t="s">
        <v>4</v>
      </c>
      <c r="C1392" t="s">
        <v>7</v>
      </c>
      <c r="D1392">
        <v>15</v>
      </c>
      <c r="E1392">
        <v>166.24</v>
      </c>
      <c r="F1392" t="s">
        <v>15</v>
      </c>
      <c r="G1392" t="s">
        <v>16</v>
      </c>
      <c r="H1392">
        <v>0.1</v>
      </c>
      <c r="I1392" t="s">
        <v>22</v>
      </c>
      <c r="J1392">
        <v>2244.2399999999998</v>
      </c>
      <c r="K1392" t="s">
        <v>27</v>
      </c>
      <c r="L1392" t="s">
        <v>30</v>
      </c>
      <c r="M1392">
        <v>0</v>
      </c>
      <c r="N1392" t="s">
        <v>1465</v>
      </c>
      <c r="O1392" t="s">
        <v>2962</v>
      </c>
      <c r="P1392">
        <v>9.86</v>
      </c>
      <c r="Q1392">
        <f t="shared" si="21"/>
        <v>149.61599999999999</v>
      </c>
      <c r="R1392">
        <v>2234.3799999999997</v>
      </c>
      <c r="S1392" s="2">
        <v>44987</v>
      </c>
      <c r="T1392" s="2">
        <v>44990</v>
      </c>
      <c r="U1392" t="s">
        <v>37</v>
      </c>
      <c r="V1392">
        <v>2</v>
      </c>
      <c r="W1392">
        <v>3</v>
      </c>
      <c r="X1392" t="s">
        <v>44</v>
      </c>
      <c r="Y1392">
        <v>2023</v>
      </c>
      <c r="Z1392">
        <v>1</v>
      </c>
      <c r="AA1392">
        <v>9</v>
      </c>
    </row>
    <row r="1393" spans="1:27" x14ac:dyDescent="0.3">
      <c r="A1393" s="2">
        <v>44998</v>
      </c>
      <c r="B1393" t="s">
        <v>2</v>
      </c>
      <c r="C1393" t="s">
        <v>11</v>
      </c>
      <c r="D1393">
        <v>12</v>
      </c>
      <c r="E1393">
        <v>260.76</v>
      </c>
      <c r="F1393" t="s">
        <v>14</v>
      </c>
      <c r="G1393" t="s">
        <v>16</v>
      </c>
      <c r="H1393">
        <v>0.15</v>
      </c>
      <c r="I1393" t="s">
        <v>21</v>
      </c>
      <c r="J1393">
        <v>2659.752</v>
      </c>
      <c r="K1393" t="s">
        <v>24</v>
      </c>
      <c r="L1393" t="s">
        <v>32</v>
      </c>
      <c r="M1393">
        <v>0</v>
      </c>
      <c r="N1393" t="s">
        <v>1466</v>
      </c>
      <c r="O1393" t="s">
        <v>2963</v>
      </c>
      <c r="P1393">
        <v>20.92</v>
      </c>
      <c r="Q1393">
        <f t="shared" si="21"/>
        <v>221.64599999999999</v>
      </c>
      <c r="R1393">
        <v>2638.8319999999999</v>
      </c>
      <c r="S1393" s="2">
        <v>44998</v>
      </c>
      <c r="T1393" s="2">
        <v>45007</v>
      </c>
      <c r="U1393" t="s">
        <v>35</v>
      </c>
      <c r="V1393">
        <v>13</v>
      </c>
      <c r="W1393">
        <v>3</v>
      </c>
      <c r="X1393" t="s">
        <v>44</v>
      </c>
      <c r="Y1393">
        <v>2023</v>
      </c>
      <c r="Z1393">
        <v>1</v>
      </c>
      <c r="AA1393">
        <v>11</v>
      </c>
    </row>
    <row r="1394" spans="1:27" x14ac:dyDescent="0.3">
      <c r="A1394" s="2">
        <v>45763</v>
      </c>
      <c r="B1394" t="s">
        <v>4</v>
      </c>
      <c r="C1394" t="s">
        <v>5</v>
      </c>
      <c r="D1394">
        <v>10</v>
      </c>
      <c r="E1394">
        <v>348.63</v>
      </c>
      <c r="F1394" t="s">
        <v>15</v>
      </c>
      <c r="G1394" t="s">
        <v>16</v>
      </c>
      <c r="H1394">
        <v>0.05</v>
      </c>
      <c r="I1394" t="s">
        <v>22</v>
      </c>
      <c r="J1394">
        <v>3311.9850000000001</v>
      </c>
      <c r="K1394" t="s">
        <v>26</v>
      </c>
      <c r="L1394" t="s">
        <v>32</v>
      </c>
      <c r="M1394">
        <v>1</v>
      </c>
      <c r="N1394" t="s">
        <v>1467</v>
      </c>
      <c r="O1394" t="s">
        <v>2964</v>
      </c>
      <c r="P1394">
        <v>42.79</v>
      </c>
      <c r="Q1394">
        <f t="shared" si="21"/>
        <v>331.19850000000002</v>
      </c>
      <c r="R1394">
        <v>3269.1950000000002</v>
      </c>
      <c r="S1394" s="2">
        <v>45763</v>
      </c>
      <c r="T1394" s="2">
        <v>45765</v>
      </c>
      <c r="U1394" t="s">
        <v>37</v>
      </c>
      <c r="V1394">
        <v>16</v>
      </c>
      <c r="W1394">
        <v>4</v>
      </c>
      <c r="X1394" t="s">
        <v>45</v>
      </c>
      <c r="Y1394">
        <v>2025</v>
      </c>
      <c r="Z1394">
        <v>2</v>
      </c>
      <c r="AA1394">
        <v>16</v>
      </c>
    </row>
    <row r="1395" spans="1:27" x14ac:dyDescent="0.3">
      <c r="A1395" s="2">
        <v>45448</v>
      </c>
      <c r="B1395" t="s">
        <v>2</v>
      </c>
      <c r="C1395" t="s">
        <v>8</v>
      </c>
      <c r="D1395">
        <v>5</v>
      </c>
      <c r="E1395">
        <v>473.28</v>
      </c>
      <c r="F1395" t="s">
        <v>13</v>
      </c>
      <c r="G1395" t="s">
        <v>17</v>
      </c>
      <c r="H1395">
        <v>0</v>
      </c>
      <c r="I1395" t="s">
        <v>22</v>
      </c>
      <c r="J1395">
        <v>2366.4</v>
      </c>
      <c r="K1395" t="s">
        <v>26</v>
      </c>
      <c r="L1395" t="s">
        <v>30</v>
      </c>
      <c r="M1395">
        <v>1</v>
      </c>
      <c r="N1395" t="s">
        <v>1468</v>
      </c>
      <c r="O1395" t="s">
        <v>2965</v>
      </c>
      <c r="P1395">
        <v>30.69</v>
      </c>
      <c r="Q1395">
        <f t="shared" si="21"/>
        <v>473.28000000000003</v>
      </c>
      <c r="R1395">
        <v>2335.71</v>
      </c>
      <c r="S1395" s="2">
        <v>45448</v>
      </c>
      <c r="T1395" s="2">
        <v>45458</v>
      </c>
      <c r="U1395" t="s">
        <v>35</v>
      </c>
      <c r="V1395">
        <v>5</v>
      </c>
      <c r="W1395">
        <v>6</v>
      </c>
      <c r="X1395" t="s">
        <v>41</v>
      </c>
      <c r="Y1395">
        <v>2024</v>
      </c>
      <c r="Z1395">
        <v>2</v>
      </c>
      <c r="AA1395">
        <v>23</v>
      </c>
    </row>
    <row r="1396" spans="1:27" x14ac:dyDescent="0.3">
      <c r="A1396" s="2">
        <v>45536</v>
      </c>
      <c r="B1396" t="s">
        <v>2</v>
      </c>
      <c r="C1396" t="s">
        <v>8</v>
      </c>
      <c r="D1396">
        <v>16</v>
      </c>
      <c r="E1396">
        <v>401.83</v>
      </c>
      <c r="F1396" t="s">
        <v>12</v>
      </c>
      <c r="G1396" t="s">
        <v>17</v>
      </c>
      <c r="H1396">
        <v>0</v>
      </c>
      <c r="I1396" t="s">
        <v>18</v>
      </c>
      <c r="J1396">
        <v>6429.28</v>
      </c>
      <c r="K1396" t="s">
        <v>28</v>
      </c>
      <c r="L1396" t="s">
        <v>29</v>
      </c>
      <c r="M1396">
        <v>0</v>
      </c>
      <c r="N1396" t="s">
        <v>1469</v>
      </c>
      <c r="O1396" t="s">
        <v>2966</v>
      </c>
      <c r="P1396">
        <v>21.54</v>
      </c>
      <c r="Q1396">
        <f t="shared" si="21"/>
        <v>401.83</v>
      </c>
      <c r="R1396">
        <v>6407.74</v>
      </c>
      <c r="S1396" s="2">
        <v>45536</v>
      </c>
      <c r="T1396" s="2">
        <v>45540</v>
      </c>
      <c r="U1396" t="s">
        <v>35</v>
      </c>
      <c r="V1396">
        <v>1</v>
      </c>
      <c r="W1396">
        <v>9</v>
      </c>
      <c r="X1396" t="s">
        <v>49</v>
      </c>
      <c r="Y1396">
        <v>2024</v>
      </c>
      <c r="Z1396">
        <v>3</v>
      </c>
      <c r="AA1396">
        <v>35</v>
      </c>
    </row>
    <row r="1397" spans="1:27" x14ac:dyDescent="0.3">
      <c r="A1397" s="2">
        <v>45556</v>
      </c>
      <c r="B1397" t="s">
        <v>2</v>
      </c>
      <c r="C1397" t="s">
        <v>6</v>
      </c>
      <c r="D1397">
        <v>10</v>
      </c>
      <c r="E1397">
        <v>269.29000000000002</v>
      </c>
      <c r="F1397" t="s">
        <v>14</v>
      </c>
      <c r="G1397" t="s">
        <v>17</v>
      </c>
      <c r="H1397">
        <v>0</v>
      </c>
      <c r="I1397" t="s">
        <v>18</v>
      </c>
      <c r="J1397">
        <v>2692.9</v>
      </c>
      <c r="K1397" t="s">
        <v>27</v>
      </c>
      <c r="L1397" t="s">
        <v>30</v>
      </c>
      <c r="M1397">
        <v>0</v>
      </c>
      <c r="N1397" t="s">
        <v>1470</v>
      </c>
      <c r="O1397" t="s">
        <v>2967</v>
      </c>
      <c r="P1397">
        <v>14.09</v>
      </c>
      <c r="Q1397">
        <f t="shared" si="21"/>
        <v>269.29000000000002</v>
      </c>
      <c r="R1397">
        <v>2678.81</v>
      </c>
      <c r="S1397" s="2">
        <v>45556</v>
      </c>
      <c r="T1397" s="2">
        <v>45565</v>
      </c>
      <c r="U1397" t="s">
        <v>35</v>
      </c>
      <c r="V1397">
        <v>21</v>
      </c>
      <c r="W1397">
        <v>9</v>
      </c>
      <c r="X1397" t="s">
        <v>49</v>
      </c>
      <c r="Y1397">
        <v>2024</v>
      </c>
      <c r="Z1397">
        <v>3</v>
      </c>
      <c r="AA1397">
        <v>38</v>
      </c>
    </row>
    <row r="1398" spans="1:27" x14ac:dyDescent="0.3">
      <c r="A1398" s="2">
        <v>45668</v>
      </c>
      <c r="B1398" t="s">
        <v>2</v>
      </c>
      <c r="C1398" t="s">
        <v>7</v>
      </c>
      <c r="D1398">
        <v>4</v>
      </c>
      <c r="E1398">
        <v>323.02</v>
      </c>
      <c r="F1398" t="s">
        <v>14</v>
      </c>
      <c r="G1398" t="s">
        <v>17</v>
      </c>
      <c r="H1398">
        <v>0.05</v>
      </c>
      <c r="I1398" t="s">
        <v>22</v>
      </c>
      <c r="J1398">
        <v>1227.4760000000001</v>
      </c>
      <c r="K1398" t="s">
        <v>28</v>
      </c>
      <c r="L1398" t="s">
        <v>32</v>
      </c>
      <c r="M1398">
        <v>0</v>
      </c>
      <c r="N1398" t="s">
        <v>1471</v>
      </c>
      <c r="O1398" t="s">
        <v>2968</v>
      </c>
      <c r="P1398">
        <v>19.53</v>
      </c>
      <c r="Q1398">
        <f t="shared" si="21"/>
        <v>306.86900000000003</v>
      </c>
      <c r="R1398">
        <v>1207.9460000000001</v>
      </c>
      <c r="S1398" s="2">
        <v>45668</v>
      </c>
      <c r="T1398" s="2">
        <v>45673</v>
      </c>
      <c r="U1398" t="s">
        <v>35</v>
      </c>
      <c r="V1398">
        <v>11</v>
      </c>
      <c r="W1398">
        <v>1</v>
      </c>
      <c r="X1398" t="s">
        <v>42</v>
      </c>
      <c r="Y1398">
        <v>2025</v>
      </c>
      <c r="Z1398">
        <v>1</v>
      </c>
      <c r="AA1398">
        <v>2</v>
      </c>
    </row>
    <row r="1399" spans="1:27" x14ac:dyDescent="0.3">
      <c r="A1399" s="2">
        <v>44930</v>
      </c>
      <c r="B1399" t="s">
        <v>4</v>
      </c>
      <c r="C1399" t="s">
        <v>9</v>
      </c>
      <c r="D1399">
        <v>15</v>
      </c>
      <c r="E1399">
        <v>439.89</v>
      </c>
      <c r="F1399" t="s">
        <v>15</v>
      </c>
      <c r="G1399" t="s">
        <v>17</v>
      </c>
      <c r="H1399">
        <v>0.15</v>
      </c>
      <c r="I1399" t="s">
        <v>22</v>
      </c>
      <c r="J1399">
        <v>5608.5974999999989</v>
      </c>
      <c r="K1399" t="s">
        <v>24</v>
      </c>
      <c r="L1399" t="s">
        <v>29</v>
      </c>
      <c r="M1399">
        <v>0</v>
      </c>
      <c r="N1399" t="s">
        <v>1472</v>
      </c>
      <c r="O1399" t="s">
        <v>2969</v>
      </c>
      <c r="P1399">
        <v>49.71</v>
      </c>
      <c r="Q1399">
        <f t="shared" si="21"/>
        <v>373.90649999999994</v>
      </c>
      <c r="R1399">
        <v>5558.8874999999989</v>
      </c>
      <c r="S1399" s="2">
        <v>44930</v>
      </c>
      <c r="T1399" s="2">
        <v>44934</v>
      </c>
      <c r="U1399" t="s">
        <v>37</v>
      </c>
      <c r="V1399">
        <v>4</v>
      </c>
      <c r="W1399">
        <v>1</v>
      </c>
      <c r="X1399" t="s">
        <v>42</v>
      </c>
      <c r="Y1399">
        <v>2023</v>
      </c>
      <c r="Z1399">
        <v>1</v>
      </c>
      <c r="AA1399">
        <v>1</v>
      </c>
    </row>
    <row r="1400" spans="1:27" x14ac:dyDescent="0.3">
      <c r="A1400" s="2">
        <v>45048</v>
      </c>
      <c r="B1400" t="s">
        <v>4</v>
      </c>
      <c r="C1400" t="s">
        <v>9</v>
      </c>
      <c r="D1400">
        <v>16</v>
      </c>
      <c r="E1400">
        <v>483.09</v>
      </c>
      <c r="F1400" t="s">
        <v>14</v>
      </c>
      <c r="G1400" t="s">
        <v>16</v>
      </c>
      <c r="H1400">
        <v>0.05</v>
      </c>
      <c r="I1400" t="s">
        <v>19</v>
      </c>
      <c r="J1400">
        <v>7342.9679999999989</v>
      </c>
      <c r="K1400" t="s">
        <v>27</v>
      </c>
      <c r="L1400" t="s">
        <v>32</v>
      </c>
      <c r="M1400">
        <v>1</v>
      </c>
      <c r="N1400" t="s">
        <v>1473</v>
      </c>
      <c r="O1400" t="s">
        <v>2970</v>
      </c>
      <c r="P1400">
        <v>37.659999999999997</v>
      </c>
      <c r="Q1400">
        <f t="shared" si="21"/>
        <v>458.93549999999993</v>
      </c>
      <c r="R1400">
        <v>7305.3079999999991</v>
      </c>
      <c r="S1400" s="2">
        <v>45048</v>
      </c>
      <c r="T1400" s="2">
        <v>45051</v>
      </c>
      <c r="U1400" t="s">
        <v>37</v>
      </c>
      <c r="V1400">
        <v>2</v>
      </c>
      <c r="W1400">
        <v>5</v>
      </c>
      <c r="X1400" t="s">
        <v>40</v>
      </c>
      <c r="Y1400">
        <v>2023</v>
      </c>
      <c r="Z1400">
        <v>2</v>
      </c>
      <c r="AA1400">
        <v>18</v>
      </c>
    </row>
    <row r="1401" spans="1:27" x14ac:dyDescent="0.3">
      <c r="A1401" s="2">
        <v>45116</v>
      </c>
      <c r="B1401" t="s">
        <v>0</v>
      </c>
      <c r="C1401" t="s">
        <v>6</v>
      </c>
      <c r="D1401">
        <v>13</v>
      </c>
      <c r="E1401">
        <v>27.39</v>
      </c>
      <c r="F1401" t="s">
        <v>12</v>
      </c>
      <c r="G1401" t="s">
        <v>17</v>
      </c>
      <c r="H1401">
        <v>0.15</v>
      </c>
      <c r="I1401" t="s">
        <v>20</v>
      </c>
      <c r="J1401">
        <v>302.65949999999998</v>
      </c>
      <c r="K1401" t="s">
        <v>28</v>
      </c>
      <c r="L1401" t="s">
        <v>32</v>
      </c>
      <c r="M1401">
        <v>0</v>
      </c>
      <c r="N1401" t="s">
        <v>1474</v>
      </c>
      <c r="O1401" t="s">
        <v>2971</v>
      </c>
      <c r="P1401">
        <v>22.95</v>
      </c>
      <c r="Q1401">
        <f t="shared" si="21"/>
        <v>23.281499999999998</v>
      </c>
      <c r="R1401">
        <v>279.70949999999999</v>
      </c>
      <c r="S1401" s="2">
        <v>45116</v>
      </c>
      <c r="T1401" s="2">
        <v>45121</v>
      </c>
      <c r="U1401" t="s">
        <v>33</v>
      </c>
      <c r="V1401">
        <v>9</v>
      </c>
      <c r="W1401">
        <v>7</v>
      </c>
      <c r="X1401" t="s">
        <v>46</v>
      </c>
      <c r="Y1401">
        <v>2023</v>
      </c>
      <c r="Z1401">
        <v>3</v>
      </c>
      <c r="AA1401">
        <v>27</v>
      </c>
    </row>
    <row r="1402" spans="1:27" x14ac:dyDescent="0.3">
      <c r="A1402" s="2">
        <v>45715</v>
      </c>
      <c r="B1402" t="s">
        <v>0</v>
      </c>
      <c r="C1402" t="s">
        <v>9</v>
      </c>
      <c r="D1402">
        <v>18</v>
      </c>
      <c r="E1402">
        <v>432.52</v>
      </c>
      <c r="F1402" t="s">
        <v>15</v>
      </c>
      <c r="G1402" t="s">
        <v>17</v>
      </c>
      <c r="H1402">
        <v>0.05</v>
      </c>
      <c r="I1402" t="s">
        <v>23</v>
      </c>
      <c r="J1402">
        <v>7396.0919999999996</v>
      </c>
      <c r="K1402" t="s">
        <v>26</v>
      </c>
      <c r="L1402" t="s">
        <v>30</v>
      </c>
      <c r="M1402">
        <v>1</v>
      </c>
      <c r="N1402" t="s">
        <v>1475</v>
      </c>
      <c r="O1402" t="s">
        <v>2972</v>
      </c>
      <c r="P1402">
        <v>34.19</v>
      </c>
      <c r="Q1402">
        <f t="shared" si="21"/>
        <v>410.89400000000001</v>
      </c>
      <c r="R1402">
        <v>7361.902</v>
      </c>
      <c r="S1402" s="2">
        <v>45715</v>
      </c>
      <c r="T1402" s="2">
        <v>45720</v>
      </c>
      <c r="U1402" t="s">
        <v>33</v>
      </c>
      <c r="V1402">
        <v>27</v>
      </c>
      <c r="W1402">
        <v>2</v>
      </c>
      <c r="X1402" t="s">
        <v>38</v>
      </c>
      <c r="Y1402">
        <v>2025</v>
      </c>
      <c r="Z1402">
        <v>1</v>
      </c>
      <c r="AA1402">
        <v>9</v>
      </c>
    </row>
    <row r="1403" spans="1:27" x14ac:dyDescent="0.3">
      <c r="A1403" s="2">
        <v>45558</v>
      </c>
      <c r="B1403" t="s">
        <v>4</v>
      </c>
      <c r="C1403" t="s">
        <v>11</v>
      </c>
      <c r="D1403">
        <v>3</v>
      </c>
      <c r="E1403">
        <v>360.93</v>
      </c>
      <c r="F1403" t="s">
        <v>12</v>
      </c>
      <c r="G1403" t="s">
        <v>16</v>
      </c>
      <c r="H1403">
        <v>0.15</v>
      </c>
      <c r="I1403" t="s">
        <v>22</v>
      </c>
      <c r="J1403">
        <v>920.37149999999997</v>
      </c>
      <c r="K1403" t="s">
        <v>27</v>
      </c>
      <c r="L1403" t="s">
        <v>31</v>
      </c>
      <c r="M1403">
        <v>0</v>
      </c>
      <c r="N1403" t="s">
        <v>1476</v>
      </c>
      <c r="O1403" t="s">
        <v>2973</v>
      </c>
      <c r="P1403">
        <v>35.61</v>
      </c>
      <c r="Q1403">
        <f t="shared" si="21"/>
        <v>306.79050000000001</v>
      </c>
      <c r="R1403">
        <v>884.76149999999996</v>
      </c>
      <c r="S1403" s="2">
        <v>45558</v>
      </c>
      <c r="T1403" s="2">
        <v>45564</v>
      </c>
      <c r="U1403" t="s">
        <v>37</v>
      </c>
      <c r="V1403">
        <v>23</v>
      </c>
      <c r="W1403">
        <v>9</v>
      </c>
      <c r="X1403" t="s">
        <v>49</v>
      </c>
      <c r="Y1403">
        <v>2024</v>
      </c>
      <c r="Z1403">
        <v>3</v>
      </c>
      <c r="AA1403">
        <v>39</v>
      </c>
    </row>
    <row r="1404" spans="1:27" x14ac:dyDescent="0.3">
      <c r="A1404" s="2">
        <v>45830</v>
      </c>
      <c r="B1404" t="s">
        <v>0</v>
      </c>
      <c r="C1404" t="s">
        <v>10</v>
      </c>
      <c r="D1404">
        <v>5</v>
      </c>
      <c r="E1404">
        <v>414.58</v>
      </c>
      <c r="F1404" t="s">
        <v>12</v>
      </c>
      <c r="G1404" t="s">
        <v>17</v>
      </c>
      <c r="H1404">
        <v>0.1</v>
      </c>
      <c r="I1404" t="s">
        <v>22</v>
      </c>
      <c r="J1404">
        <v>1865.61</v>
      </c>
      <c r="K1404" t="s">
        <v>25</v>
      </c>
      <c r="L1404" t="s">
        <v>32</v>
      </c>
      <c r="M1404">
        <v>0</v>
      </c>
      <c r="N1404" t="s">
        <v>1477</v>
      </c>
      <c r="O1404" t="s">
        <v>2974</v>
      </c>
      <c r="P1404">
        <v>14.98</v>
      </c>
      <c r="Q1404">
        <f t="shared" si="21"/>
        <v>373.12199999999996</v>
      </c>
      <c r="R1404">
        <v>1850.6299999999999</v>
      </c>
      <c r="S1404" s="2">
        <v>45830</v>
      </c>
      <c r="T1404" s="2">
        <v>45839</v>
      </c>
      <c r="U1404" t="s">
        <v>33</v>
      </c>
      <c r="V1404">
        <v>22</v>
      </c>
      <c r="W1404">
        <v>6</v>
      </c>
      <c r="X1404" t="s">
        <v>41</v>
      </c>
      <c r="Y1404">
        <v>2025</v>
      </c>
      <c r="Z1404">
        <v>2</v>
      </c>
      <c r="AA1404">
        <v>25</v>
      </c>
    </row>
    <row r="1405" spans="1:27" x14ac:dyDescent="0.3">
      <c r="A1405" s="2">
        <v>45676</v>
      </c>
      <c r="B1405" t="s">
        <v>3</v>
      </c>
      <c r="C1405" t="s">
        <v>10</v>
      </c>
      <c r="D1405">
        <v>4</v>
      </c>
      <c r="E1405">
        <v>68.040000000000006</v>
      </c>
      <c r="F1405" t="s">
        <v>14</v>
      </c>
      <c r="G1405" t="s">
        <v>16</v>
      </c>
      <c r="H1405">
        <v>0</v>
      </c>
      <c r="I1405" t="s">
        <v>23</v>
      </c>
      <c r="J1405">
        <v>272.16000000000003</v>
      </c>
      <c r="K1405" t="s">
        <v>24</v>
      </c>
      <c r="L1405" t="s">
        <v>29</v>
      </c>
      <c r="M1405">
        <v>0</v>
      </c>
      <c r="N1405" t="s">
        <v>1478</v>
      </c>
      <c r="O1405" t="s">
        <v>2975</v>
      </c>
      <c r="P1405">
        <v>18.72</v>
      </c>
      <c r="Q1405">
        <f t="shared" si="21"/>
        <v>68.040000000000006</v>
      </c>
      <c r="R1405">
        <v>253.44000000000003</v>
      </c>
      <c r="S1405" s="2">
        <v>45676</v>
      </c>
      <c r="T1405" s="2">
        <v>45685</v>
      </c>
      <c r="U1405" t="s">
        <v>36</v>
      </c>
      <c r="V1405">
        <v>19</v>
      </c>
      <c r="W1405">
        <v>1</v>
      </c>
      <c r="X1405" t="s">
        <v>42</v>
      </c>
      <c r="Y1405">
        <v>2025</v>
      </c>
      <c r="Z1405">
        <v>1</v>
      </c>
      <c r="AA1405">
        <v>3</v>
      </c>
    </row>
    <row r="1406" spans="1:27" x14ac:dyDescent="0.3">
      <c r="A1406" s="2">
        <v>45691</v>
      </c>
      <c r="B1406" t="s">
        <v>0</v>
      </c>
      <c r="C1406" t="s">
        <v>6</v>
      </c>
      <c r="D1406">
        <v>10</v>
      </c>
      <c r="E1406">
        <v>407.99</v>
      </c>
      <c r="F1406" t="s">
        <v>14</v>
      </c>
      <c r="G1406" t="s">
        <v>17</v>
      </c>
      <c r="H1406">
        <v>0.15</v>
      </c>
      <c r="I1406" t="s">
        <v>18</v>
      </c>
      <c r="J1406">
        <v>3467.915</v>
      </c>
      <c r="K1406" t="s">
        <v>28</v>
      </c>
      <c r="L1406" t="s">
        <v>32</v>
      </c>
      <c r="M1406">
        <v>0</v>
      </c>
      <c r="N1406" t="s">
        <v>1479</v>
      </c>
      <c r="O1406" t="s">
        <v>2976</v>
      </c>
      <c r="P1406">
        <v>49.59</v>
      </c>
      <c r="Q1406">
        <f t="shared" si="21"/>
        <v>346.79149999999998</v>
      </c>
      <c r="R1406">
        <v>3418.3249999999998</v>
      </c>
      <c r="S1406" s="2">
        <v>45691</v>
      </c>
      <c r="T1406" s="2">
        <v>45696</v>
      </c>
      <c r="U1406" t="s">
        <v>33</v>
      </c>
      <c r="V1406">
        <v>3</v>
      </c>
      <c r="W1406">
        <v>2</v>
      </c>
      <c r="X1406" t="s">
        <v>38</v>
      </c>
      <c r="Y1406">
        <v>2025</v>
      </c>
      <c r="Z1406">
        <v>1</v>
      </c>
      <c r="AA1406">
        <v>6</v>
      </c>
    </row>
    <row r="1407" spans="1:27" x14ac:dyDescent="0.3">
      <c r="A1407" s="2">
        <v>45241</v>
      </c>
      <c r="B1407" t="s">
        <v>0</v>
      </c>
      <c r="C1407" t="s">
        <v>10</v>
      </c>
      <c r="D1407">
        <v>15</v>
      </c>
      <c r="E1407">
        <v>274.77</v>
      </c>
      <c r="F1407" t="s">
        <v>15</v>
      </c>
      <c r="G1407" t="s">
        <v>17</v>
      </c>
      <c r="H1407">
        <v>0</v>
      </c>
      <c r="I1407" t="s">
        <v>18</v>
      </c>
      <c r="J1407">
        <v>4121.5499999999993</v>
      </c>
      <c r="K1407" t="s">
        <v>28</v>
      </c>
      <c r="L1407" t="s">
        <v>32</v>
      </c>
      <c r="M1407">
        <v>1</v>
      </c>
      <c r="N1407" t="s">
        <v>1480</v>
      </c>
      <c r="O1407" t="s">
        <v>2977</v>
      </c>
      <c r="P1407">
        <v>19.37</v>
      </c>
      <c r="Q1407">
        <f t="shared" si="21"/>
        <v>274.76999999999992</v>
      </c>
      <c r="R1407">
        <v>4102.1799999999994</v>
      </c>
      <c r="S1407" s="2">
        <v>45241</v>
      </c>
      <c r="T1407" s="2">
        <v>45247</v>
      </c>
      <c r="U1407" t="s">
        <v>33</v>
      </c>
      <c r="V1407">
        <v>11</v>
      </c>
      <c r="W1407">
        <v>11</v>
      </c>
      <c r="X1407" t="s">
        <v>47</v>
      </c>
      <c r="Y1407">
        <v>2023</v>
      </c>
      <c r="Z1407">
        <v>4</v>
      </c>
      <c r="AA1407">
        <v>45</v>
      </c>
    </row>
    <row r="1408" spans="1:27" x14ac:dyDescent="0.3">
      <c r="A1408" s="2">
        <v>45420</v>
      </c>
      <c r="B1408" t="s">
        <v>0</v>
      </c>
      <c r="C1408" t="s">
        <v>7</v>
      </c>
      <c r="D1408">
        <v>15</v>
      </c>
      <c r="E1408">
        <v>31.81</v>
      </c>
      <c r="F1408" t="s">
        <v>14</v>
      </c>
      <c r="G1408" t="s">
        <v>16</v>
      </c>
      <c r="H1408">
        <v>0.15</v>
      </c>
      <c r="I1408" t="s">
        <v>18</v>
      </c>
      <c r="J1408">
        <v>405.57749999999999</v>
      </c>
      <c r="K1408" t="s">
        <v>28</v>
      </c>
      <c r="L1408" t="s">
        <v>30</v>
      </c>
      <c r="M1408">
        <v>0</v>
      </c>
      <c r="N1408" t="s">
        <v>1481</v>
      </c>
      <c r="O1408" t="s">
        <v>2978</v>
      </c>
      <c r="P1408">
        <v>23.61</v>
      </c>
      <c r="Q1408">
        <f t="shared" si="21"/>
        <v>27.038499999999999</v>
      </c>
      <c r="R1408">
        <v>381.96749999999997</v>
      </c>
      <c r="S1408" s="2">
        <v>45420</v>
      </c>
      <c r="T1408" s="2">
        <v>45422</v>
      </c>
      <c r="U1408" t="s">
        <v>33</v>
      </c>
      <c r="V1408">
        <v>8</v>
      </c>
      <c r="W1408">
        <v>5</v>
      </c>
      <c r="X1408" t="s">
        <v>40</v>
      </c>
      <c r="Y1408">
        <v>2024</v>
      </c>
      <c r="Z1408">
        <v>2</v>
      </c>
      <c r="AA1408">
        <v>19</v>
      </c>
    </row>
    <row r="1409" spans="1:27" x14ac:dyDescent="0.3">
      <c r="A1409" s="2">
        <v>45187</v>
      </c>
      <c r="B1409" t="s">
        <v>1</v>
      </c>
      <c r="C1409" t="s">
        <v>11</v>
      </c>
      <c r="D1409">
        <v>14</v>
      </c>
      <c r="E1409">
        <v>268.32</v>
      </c>
      <c r="F1409" t="s">
        <v>15</v>
      </c>
      <c r="G1409" t="s">
        <v>17</v>
      </c>
      <c r="H1409">
        <v>0</v>
      </c>
      <c r="I1409" t="s">
        <v>20</v>
      </c>
      <c r="J1409">
        <v>3756.48</v>
      </c>
      <c r="K1409" t="s">
        <v>24</v>
      </c>
      <c r="L1409" t="s">
        <v>31</v>
      </c>
      <c r="M1409">
        <v>0</v>
      </c>
      <c r="N1409" t="s">
        <v>1482</v>
      </c>
      <c r="O1409" t="s">
        <v>2979</v>
      </c>
      <c r="P1409">
        <v>43.14</v>
      </c>
      <c r="Q1409">
        <f t="shared" si="21"/>
        <v>268.32</v>
      </c>
      <c r="R1409">
        <v>3713.34</v>
      </c>
      <c r="S1409" s="2">
        <v>45187</v>
      </c>
      <c r="T1409" s="2">
        <v>45196</v>
      </c>
      <c r="U1409" t="s">
        <v>34</v>
      </c>
      <c r="V1409">
        <v>18</v>
      </c>
      <c r="W1409">
        <v>9</v>
      </c>
      <c r="X1409" t="s">
        <v>49</v>
      </c>
      <c r="Y1409">
        <v>2023</v>
      </c>
      <c r="Z1409">
        <v>3</v>
      </c>
      <c r="AA1409">
        <v>38</v>
      </c>
    </row>
    <row r="1410" spans="1:27" x14ac:dyDescent="0.3">
      <c r="A1410" s="2">
        <v>45752</v>
      </c>
      <c r="B1410" t="s">
        <v>3</v>
      </c>
      <c r="C1410" t="s">
        <v>10</v>
      </c>
      <c r="D1410">
        <v>19</v>
      </c>
      <c r="E1410">
        <v>350.12</v>
      </c>
      <c r="F1410" t="s">
        <v>15</v>
      </c>
      <c r="G1410" t="s">
        <v>17</v>
      </c>
      <c r="H1410">
        <v>0.05</v>
      </c>
      <c r="I1410" t="s">
        <v>19</v>
      </c>
      <c r="J1410">
        <v>6319.6659999999993</v>
      </c>
      <c r="K1410" t="s">
        <v>26</v>
      </c>
      <c r="L1410" t="s">
        <v>29</v>
      </c>
      <c r="M1410">
        <v>0</v>
      </c>
      <c r="N1410" t="s">
        <v>1483</v>
      </c>
      <c r="O1410" t="s">
        <v>2980</v>
      </c>
      <c r="P1410">
        <v>48.98</v>
      </c>
      <c r="Q1410">
        <f t="shared" si="21"/>
        <v>332.61399999999998</v>
      </c>
      <c r="R1410">
        <v>6270.6859999999997</v>
      </c>
      <c r="S1410" s="2">
        <v>45752</v>
      </c>
      <c r="T1410" s="2">
        <v>45760</v>
      </c>
      <c r="U1410" t="s">
        <v>36</v>
      </c>
      <c r="V1410">
        <v>5</v>
      </c>
      <c r="W1410">
        <v>4</v>
      </c>
      <c r="X1410" t="s">
        <v>45</v>
      </c>
      <c r="Y1410">
        <v>2025</v>
      </c>
      <c r="Z1410">
        <v>2</v>
      </c>
      <c r="AA1410">
        <v>14</v>
      </c>
    </row>
    <row r="1411" spans="1:27" x14ac:dyDescent="0.3">
      <c r="A1411" s="2">
        <v>45182</v>
      </c>
      <c r="B1411" t="s">
        <v>3</v>
      </c>
      <c r="C1411" t="s">
        <v>7</v>
      </c>
      <c r="D1411">
        <v>9</v>
      </c>
      <c r="E1411">
        <v>329.15</v>
      </c>
      <c r="F1411" t="s">
        <v>13</v>
      </c>
      <c r="G1411" t="s">
        <v>17</v>
      </c>
      <c r="H1411">
        <v>0.05</v>
      </c>
      <c r="I1411" t="s">
        <v>22</v>
      </c>
      <c r="J1411">
        <v>2814.2325000000001</v>
      </c>
      <c r="K1411" t="s">
        <v>25</v>
      </c>
      <c r="L1411" t="s">
        <v>29</v>
      </c>
      <c r="M1411">
        <v>0</v>
      </c>
      <c r="N1411" t="s">
        <v>1484</v>
      </c>
      <c r="O1411" t="s">
        <v>2981</v>
      </c>
      <c r="P1411">
        <v>29.41</v>
      </c>
      <c r="Q1411">
        <f t="shared" ref="Q1411:Q1474" si="22">J1411/D1411</f>
        <v>312.6925</v>
      </c>
      <c r="R1411">
        <v>2784.8225000000002</v>
      </c>
      <c r="S1411" s="2">
        <v>45182</v>
      </c>
      <c r="T1411" s="2">
        <v>45184</v>
      </c>
      <c r="U1411" t="s">
        <v>36</v>
      </c>
      <c r="V1411">
        <v>13</v>
      </c>
      <c r="W1411">
        <v>9</v>
      </c>
      <c r="X1411" t="s">
        <v>49</v>
      </c>
      <c r="Y1411">
        <v>2023</v>
      </c>
      <c r="Z1411">
        <v>3</v>
      </c>
      <c r="AA1411">
        <v>37</v>
      </c>
    </row>
    <row r="1412" spans="1:27" x14ac:dyDescent="0.3">
      <c r="A1412" s="2">
        <v>45471</v>
      </c>
      <c r="B1412" t="s">
        <v>0</v>
      </c>
      <c r="C1412" t="s">
        <v>9</v>
      </c>
      <c r="D1412">
        <v>1</v>
      </c>
      <c r="E1412">
        <v>577.07000000000005</v>
      </c>
      <c r="F1412" t="s">
        <v>14</v>
      </c>
      <c r="G1412" t="s">
        <v>16</v>
      </c>
      <c r="H1412">
        <v>0.05</v>
      </c>
      <c r="I1412" t="s">
        <v>20</v>
      </c>
      <c r="J1412">
        <v>548.2165</v>
      </c>
      <c r="K1412" t="s">
        <v>24</v>
      </c>
      <c r="L1412" t="s">
        <v>31</v>
      </c>
      <c r="M1412">
        <v>0</v>
      </c>
      <c r="N1412" t="s">
        <v>1485</v>
      </c>
      <c r="O1412" t="s">
        <v>2982</v>
      </c>
      <c r="P1412">
        <v>22.97</v>
      </c>
      <c r="Q1412">
        <f t="shared" si="22"/>
        <v>548.2165</v>
      </c>
      <c r="R1412">
        <v>525.24649999999997</v>
      </c>
      <c r="S1412" s="2">
        <v>45471</v>
      </c>
      <c r="T1412" s="2">
        <v>45479</v>
      </c>
      <c r="U1412" t="s">
        <v>33</v>
      </c>
      <c r="V1412">
        <v>28</v>
      </c>
      <c r="W1412">
        <v>6</v>
      </c>
      <c r="X1412" t="s">
        <v>41</v>
      </c>
      <c r="Y1412">
        <v>2024</v>
      </c>
      <c r="Z1412">
        <v>2</v>
      </c>
      <c r="AA1412">
        <v>26</v>
      </c>
    </row>
    <row r="1413" spans="1:27" x14ac:dyDescent="0.3">
      <c r="A1413" s="2">
        <v>45022</v>
      </c>
      <c r="B1413" t="s">
        <v>3</v>
      </c>
      <c r="C1413" t="s">
        <v>8</v>
      </c>
      <c r="D1413">
        <v>6</v>
      </c>
      <c r="E1413">
        <v>544.33000000000004</v>
      </c>
      <c r="F1413" t="s">
        <v>12</v>
      </c>
      <c r="G1413" t="s">
        <v>16</v>
      </c>
      <c r="H1413">
        <v>0.1</v>
      </c>
      <c r="I1413" t="s">
        <v>21</v>
      </c>
      <c r="J1413">
        <v>2939.382000000001</v>
      </c>
      <c r="K1413" t="s">
        <v>28</v>
      </c>
      <c r="L1413" t="s">
        <v>32</v>
      </c>
      <c r="M1413">
        <v>0</v>
      </c>
      <c r="N1413" t="s">
        <v>1486</v>
      </c>
      <c r="O1413" t="s">
        <v>2983</v>
      </c>
      <c r="P1413">
        <v>11.52</v>
      </c>
      <c r="Q1413">
        <f t="shared" si="22"/>
        <v>489.89700000000016</v>
      </c>
      <c r="R1413">
        <v>2927.862000000001</v>
      </c>
      <c r="S1413" s="2">
        <v>45022</v>
      </c>
      <c r="T1413" s="2">
        <v>45024</v>
      </c>
      <c r="U1413" t="s">
        <v>36</v>
      </c>
      <c r="V1413">
        <v>6</v>
      </c>
      <c r="W1413">
        <v>4</v>
      </c>
      <c r="X1413" t="s">
        <v>45</v>
      </c>
      <c r="Y1413">
        <v>2023</v>
      </c>
      <c r="Z1413">
        <v>2</v>
      </c>
      <c r="AA1413">
        <v>14</v>
      </c>
    </row>
    <row r="1414" spans="1:27" x14ac:dyDescent="0.3">
      <c r="A1414" s="2">
        <v>45059</v>
      </c>
      <c r="B1414" t="s">
        <v>1</v>
      </c>
      <c r="C1414" t="s">
        <v>5</v>
      </c>
      <c r="D1414">
        <v>18</v>
      </c>
      <c r="E1414">
        <v>331.45</v>
      </c>
      <c r="F1414" t="s">
        <v>15</v>
      </c>
      <c r="G1414" t="s">
        <v>17</v>
      </c>
      <c r="H1414">
        <v>0.15</v>
      </c>
      <c r="I1414" t="s">
        <v>19</v>
      </c>
      <c r="J1414">
        <v>5071.1849999999986</v>
      </c>
      <c r="K1414" t="s">
        <v>28</v>
      </c>
      <c r="L1414" t="s">
        <v>31</v>
      </c>
      <c r="M1414">
        <v>1</v>
      </c>
      <c r="N1414" t="s">
        <v>1487</v>
      </c>
      <c r="O1414" t="s">
        <v>2984</v>
      </c>
      <c r="P1414">
        <v>32.92</v>
      </c>
      <c r="Q1414">
        <f t="shared" si="22"/>
        <v>281.7324999999999</v>
      </c>
      <c r="R1414">
        <v>5038.2649999999985</v>
      </c>
      <c r="S1414" s="2">
        <v>45059</v>
      </c>
      <c r="T1414" s="2">
        <v>45064</v>
      </c>
      <c r="U1414" t="s">
        <v>34</v>
      </c>
      <c r="V1414">
        <v>13</v>
      </c>
      <c r="W1414">
        <v>5</v>
      </c>
      <c r="X1414" t="s">
        <v>40</v>
      </c>
      <c r="Y1414">
        <v>2023</v>
      </c>
      <c r="Z1414">
        <v>2</v>
      </c>
      <c r="AA1414">
        <v>19</v>
      </c>
    </row>
    <row r="1415" spans="1:27" x14ac:dyDescent="0.3">
      <c r="A1415" s="2">
        <v>45784</v>
      </c>
      <c r="B1415" t="s">
        <v>0</v>
      </c>
      <c r="C1415" t="s">
        <v>5</v>
      </c>
      <c r="D1415">
        <v>1</v>
      </c>
      <c r="E1415">
        <v>421.26</v>
      </c>
      <c r="F1415" t="s">
        <v>15</v>
      </c>
      <c r="G1415" t="s">
        <v>17</v>
      </c>
      <c r="H1415">
        <v>0.1</v>
      </c>
      <c r="I1415" t="s">
        <v>18</v>
      </c>
      <c r="J1415">
        <v>379.13400000000001</v>
      </c>
      <c r="K1415" t="s">
        <v>27</v>
      </c>
      <c r="L1415" t="s">
        <v>29</v>
      </c>
      <c r="M1415">
        <v>0</v>
      </c>
      <c r="N1415" t="s">
        <v>1488</v>
      </c>
      <c r="O1415" t="s">
        <v>2985</v>
      </c>
      <c r="P1415">
        <v>36.340000000000003</v>
      </c>
      <c r="Q1415">
        <f t="shared" si="22"/>
        <v>379.13400000000001</v>
      </c>
      <c r="R1415">
        <v>342.79399999999998</v>
      </c>
      <c r="S1415" s="2">
        <v>45784</v>
      </c>
      <c r="T1415" s="2">
        <v>45792</v>
      </c>
      <c r="U1415" t="s">
        <v>33</v>
      </c>
      <c r="V1415">
        <v>7</v>
      </c>
      <c r="W1415">
        <v>5</v>
      </c>
      <c r="X1415" t="s">
        <v>40</v>
      </c>
      <c r="Y1415">
        <v>2025</v>
      </c>
      <c r="Z1415">
        <v>2</v>
      </c>
      <c r="AA1415">
        <v>19</v>
      </c>
    </row>
    <row r="1416" spans="1:27" x14ac:dyDescent="0.3">
      <c r="A1416" s="2">
        <v>45738</v>
      </c>
      <c r="B1416" t="s">
        <v>2</v>
      </c>
      <c r="C1416" t="s">
        <v>10</v>
      </c>
      <c r="D1416">
        <v>4</v>
      </c>
      <c r="E1416">
        <v>555.02</v>
      </c>
      <c r="F1416" t="s">
        <v>12</v>
      </c>
      <c r="G1416" t="s">
        <v>17</v>
      </c>
      <c r="H1416">
        <v>0.1</v>
      </c>
      <c r="I1416" t="s">
        <v>22</v>
      </c>
      <c r="J1416">
        <v>1998.0719999999999</v>
      </c>
      <c r="K1416" t="s">
        <v>28</v>
      </c>
      <c r="L1416" t="s">
        <v>30</v>
      </c>
      <c r="M1416">
        <v>0</v>
      </c>
      <c r="N1416" t="s">
        <v>1489</v>
      </c>
      <c r="O1416" t="s">
        <v>1771</v>
      </c>
      <c r="P1416">
        <v>45.25</v>
      </c>
      <c r="Q1416">
        <f t="shared" si="22"/>
        <v>499.51799999999997</v>
      </c>
      <c r="R1416">
        <v>1952.8219999999999</v>
      </c>
      <c r="S1416" s="2">
        <v>45738</v>
      </c>
      <c r="T1416" s="2">
        <v>45743</v>
      </c>
      <c r="U1416" t="s">
        <v>35</v>
      </c>
      <c r="V1416">
        <v>22</v>
      </c>
      <c r="W1416">
        <v>3</v>
      </c>
      <c r="X1416" t="s">
        <v>44</v>
      </c>
      <c r="Y1416">
        <v>2025</v>
      </c>
      <c r="Z1416">
        <v>1</v>
      </c>
      <c r="AA1416">
        <v>12</v>
      </c>
    </row>
    <row r="1417" spans="1:27" x14ac:dyDescent="0.3">
      <c r="A1417" s="2">
        <v>45467</v>
      </c>
      <c r="B1417" t="s">
        <v>1</v>
      </c>
      <c r="C1417" t="s">
        <v>5</v>
      </c>
      <c r="D1417">
        <v>19</v>
      </c>
      <c r="E1417">
        <v>254.03</v>
      </c>
      <c r="F1417" t="s">
        <v>14</v>
      </c>
      <c r="G1417" t="s">
        <v>16</v>
      </c>
      <c r="H1417">
        <v>0</v>
      </c>
      <c r="I1417" t="s">
        <v>20</v>
      </c>
      <c r="J1417">
        <v>4826.57</v>
      </c>
      <c r="K1417" t="s">
        <v>24</v>
      </c>
      <c r="L1417" t="s">
        <v>30</v>
      </c>
      <c r="M1417">
        <v>1</v>
      </c>
      <c r="N1417" t="s">
        <v>1490</v>
      </c>
      <c r="O1417" t="s">
        <v>2986</v>
      </c>
      <c r="P1417">
        <v>11.21</v>
      </c>
      <c r="Q1417">
        <f t="shared" si="22"/>
        <v>254.02999999999997</v>
      </c>
      <c r="R1417">
        <v>4815.3599999999997</v>
      </c>
      <c r="S1417" s="2">
        <v>45467</v>
      </c>
      <c r="T1417" s="2">
        <v>45475</v>
      </c>
      <c r="U1417" t="s">
        <v>34</v>
      </c>
      <c r="V1417">
        <v>24</v>
      </c>
      <c r="W1417">
        <v>6</v>
      </c>
      <c r="X1417" t="s">
        <v>41</v>
      </c>
      <c r="Y1417">
        <v>2024</v>
      </c>
      <c r="Z1417">
        <v>2</v>
      </c>
      <c r="AA1417">
        <v>26</v>
      </c>
    </row>
    <row r="1418" spans="1:27" x14ac:dyDescent="0.3">
      <c r="A1418" s="2">
        <v>45837</v>
      </c>
      <c r="B1418" t="s">
        <v>4</v>
      </c>
      <c r="C1418" t="s">
        <v>10</v>
      </c>
      <c r="D1418">
        <v>9</v>
      </c>
      <c r="E1418">
        <v>533.92999999999995</v>
      </c>
      <c r="F1418" t="s">
        <v>15</v>
      </c>
      <c r="G1418" t="s">
        <v>17</v>
      </c>
      <c r="H1418">
        <v>0.15</v>
      </c>
      <c r="I1418" t="s">
        <v>20</v>
      </c>
      <c r="J1418">
        <v>4084.5645</v>
      </c>
      <c r="K1418" t="s">
        <v>25</v>
      </c>
      <c r="L1418" t="s">
        <v>32</v>
      </c>
      <c r="M1418">
        <v>0</v>
      </c>
      <c r="N1418" t="s">
        <v>1491</v>
      </c>
      <c r="O1418" t="s">
        <v>2987</v>
      </c>
      <c r="P1418">
        <v>34.76</v>
      </c>
      <c r="Q1418">
        <f t="shared" si="22"/>
        <v>453.84050000000002</v>
      </c>
      <c r="R1418">
        <v>4049.8044999999997</v>
      </c>
      <c r="S1418" s="2">
        <v>45837</v>
      </c>
      <c r="T1418" s="2">
        <v>45841</v>
      </c>
      <c r="U1418" t="s">
        <v>37</v>
      </c>
      <c r="V1418">
        <v>29</v>
      </c>
      <c r="W1418">
        <v>6</v>
      </c>
      <c r="X1418" t="s">
        <v>41</v>
      </c>
      <c r="Y1418">
        <v>2025</v>
      </c>
      <c r="Z1418">
        <v>2</v>
      </c>
      <c r="AA1418">
        <v>26</v>
      </c>
    </row>
    <row r="1419" spans="1:27" x14ac:dyDescent="0.3">
      <c r="A1419" s="2">
        <v>45383</v>
      </c>
      <c r="B1419" t="s">
        <v>4</v>
      </c>
      <c r="C1419" t="s">
        <v>7</v>
      </c>
      <c r="D1419">
        <v>7</v>
      </c>
      <c r="E1419">
        <v>241.35</v>
      </c>
      <c r="F1419" t="s">
        <v>12</v>
      </c>
      <c r="G1419" t="s">
        <v>16</v>
      </c>
      <c r="H1419">
        <v>0.1</v>
      </c>
      <c r="I1419" t="s">
        <v>22</v>
      </c>
      <c r="J1419">
        <v>1520.5050000000001</v>
      </c>
      <c r="K1419" t="s">
        <v>26</v>
      </c>
      <c r="L1419" t="s">
        <v>30</v>
      </c>
      <c r="M1419">
        <v>0</v>
      </c>
      <c r="N1419" t="s">
        <v>1492</v>
      </c>
      <c r="O1419" t="s">
        <v>2988</v>
      </c>
      <c r="P1419">
        <v>42.43</v>
      </c>
      <c r="Q1419">
        <f t="shared" si="22"/>
        <v>217.215</v>
      </c>
      <c r="R1419">
        <v>1478.075</v>
      </c>
      <c r="S1419" s="2">
        <v>45383</v>
      </c>
      <c r="T1419" s="2">
        <v>45392</v>
      </c>
      <c r="U1419" t="s">
        <v>37</v>
      </c>
      <c r="V1419">
        <v>1</v>
      </c>
      <c r="W1419">
        <v>4</v>
      </c>
      <c r="X1419" t="s">
        <v>45</v>
      </c>
      <c r="Y1419">
        <v>2024</v>
      </c>
      <c r="Z1419">
        <v>2</v>
      </c>
      <c r="AA1419">
        <v>14</v>
      </c>
    </row>
    <row r="1420" spans="1:27" x14ac:dyDescent="0.3">
      <c r="A1420" s="2">
        <v>45447</v>
      </c>
      <c r="B1420" t="s">
        <v>2</v>
      </c>
      <c r="C1420" t="s">
        <v>10</v>
      </c>
      <c r="D1420">
        <v>11</v>
      </c>
      <c r="E1420">
        <v>160.37</v>
      </c>
      <c r="F1420" t="s">
        <v>12</v>
      </c>
      <c r="G1420" t="s">
        <v>16</v>
      </c>
      <c r="H1420">
        <v>0.05</v>
      </c>
      <c r="I1420" t="s">
        <v>21</v>
      </c>
      <c r="J1420">
        <v>1675.8665000000001</v>
      </c>
      <c r="K1420" t="s">
        <v>28</v>
      </c>
      <c r="L1420" t="s">
        <v>32</v>
      </c>
      <c r="M1420">
        <v>0</v>
      </c>
      <c r="N1420" t="s">
        <v>1493</v>
      </c>
      <c r="O1420" t="s">
        <v>2989</v>
      </c>
      <c r="P1420">
        <v>36.049999999999997</v>
      </c>
      <c r="Q1420">
        <f t="shared" si="22"/>
        <v>152.35150000000002</v>
      </c>
      <c r="R1420">
        <v>1639.8165000000001</v>
      </c>
      <c r="S1420" s="2">
        <v>45447</v>
      </c>
      <c r="T1420" s="2">
        <v>45457</v>
      </c>
      <c r="U1420" t="s">
        <v>35</v>
      </c>
      <c r="V1420">
        <v>4</v>
      </c>
      <c r="W1420">
        <v>6</v>
      </c>
      <c r="X1420" t="s">
        <v>41</v>
      </c>
      <c r="Y1420">
        <v>2024</v>
      </c>
      <c r="Z1420">
        <v>2</v>
      </c>
      <c r="AA1420">
        <v>23</v>
      </c>
    </row>
    <row r="1421" spans="1:27" x14ac:dyDescent="0.3">
      <c r="A1421" s="2">
        <v>45015</v>
      </c>
      <c r="B1421" t="s">
        <v>0</v>
      </c>
      <c r="C1421" t="s">
        <v>10</v>
      </c>
      <c r="D1421">
        <v>1</v>
      </c>
      <c r="E1421">
        <v>419.1</v>
      </c>
      <c r="F1421" t="s">
        <v>12</v>
      </c>
      <c r="G1421" t="s">
        <v>16</v>
      </c>
      <c r="H1421">
        <v>0.1</v>
      </c>
      <c r="I1421" t="s">
        <v>21</v>
      </c>
      <c r="J1421">
        <v>377.19000000000011</v>
      </c>
      <c r="K1421" t="s">
        <v>25</v>
      </c>
      <c r="L1421" t="s">
        <v>30</v>
      </c>
      <c r="M1421">
        <v>1</v>
      </c>
      <c r="N1421" t="s">
        <v>1494</v>
      </c>
      <c r="O1421" t="s">
        <v>2990</v>
      </c>
      <c r="P1421">
        <v>38.81</v>
      </c>
      <c r="Q1421">
        <f t="shared" si="22"/>
        <v>377.19000000000011</v>
      </c>
      <c r="R1421">
        <v>338.38000000000011</v>
      </c>
      <c r="S1421" s="2">
        <v>45015</v>
      </c>
      <c r="T1421" s="2">
        <v>45022</v>
      </c>
      <c r="U1421" t="s">
        <v>33</v>
      </c>
      <c r="V1421">
        <v>30</v>
      </c>
      <c r="W1421">
        <v>3</v>
      </c>
      <c r="X1421" t="s">
        <v>44</v>
      </c>
      <c r="Y1421">
        <v>2023</v>
      </c>
      <c r="Z1421">
        <v>1</v>
      </c>
      <c r="AA1421">
        <v>13</v>
      </c>
    </row>
    <row r="1422" spans="1:27" x14ac:dyDescent="0.3">
      <c r="A1422" s="2">
        <v>45742</v>
      </c>
      <c r="B1422" t="s">
        <v>0</v>
      </c>
      <c r="C1422" t="s">
        <v>5</v>
      </c>
      <c r="D1422">
        <v>13</v>
      </c>
      <c r="E1422">
        <v>138.72</v>
      </c>
      <c r="F1422" t="s">
        <v>15</v>
      </c>
      <c r="G1422" t="s">
        <v>16</v>
      </c>
      <c r="H1422">
        <v>0.15</v>
      </c>
      <c r="I1422" t="s">
        <v>21</v>
      </c>
      <c r="J1422">
        <v>1532.856</v>
      </c>
      <c r="K1422" t="s">
        <v>28</v>
      </c>
      <c r="L1422" t="s">
        <v>31</v>
      </c>
      <c r="M1422">
        <v>1</v>
      </c>
      <c r="N1422" t="s">
        <v>1495</v>
      </c>
      <c r="O1422" t="s">
        <v>2991</v>
      </c>
      <c r="P1422">
        <v>17.89</v>
      </c>
      <c r="Q1422">
        <f t="shared" si="22"/>
        <v>117.91200000000001</v>
      </c>
      <c r="R1422">
        <v>1514.9659999999999</v>
      </c>
      <c r="S1422" s="2">
        <v>45742</v>
      </c>
      <c r="T1422" s="2">
        <v>45744</v>
      </c>
      <c r="U1422" t="s">
        <v>33</v>
      </c>
      <c r="V1422">
        <v>26</v>
      </c>
      <c r="W1422">
        <v>3</v>
      </c>
      <c r="X1422" t="s">
        <v>44</v>
      </c>
      <c r="Y1422">
        <v>2025</v>
      </c>
      <c r="Z1422">
        <v>1</v>
      </c>
      <c r="AA1422">
        <v>13</v>
      </c>
    </row>
    <row r="1423" spans="1:27" x14ac:dyDescent="0.3">
      <c r="A1423" s="2">
        <v>45160</v>
      </c>
      <c r="B1423" t="s">
        <v>4</v>
      </c>
      <c r="C1423" t="s">
        <v>9</v>
      </c>
      <c r="D1423">
        <v>8</v>
      </c>
      <c r="E1423">
        <v>461.04</v>
      </c>
      <c r="F1423" t="s">
        <v>12</v>
      </c>
      <c r="G1423" t="s">
        <v>17</v>
      </c>
      <c r="H1423">
        <v>0</v>
      </c>
      <c r="I1423" t="s">
        <v>19</v>
      </c>
      <c r="J1423">
        <v>3688.32</v>
      </c>
      <c r="K1423" t="s">
        <v>24</v>
      </c>
      <c r="L1423" t="s">
        <v>29</v>
      </c>
      <c r="M1423">
        <v>0</v>
      </c>
      <c r="N1423" t="s">
        <v>1496</v>
      </c>
      <c r="O1423" t="s">
        <v>2992</v>
      </c>
      <c r="P1423">
        <v>13.62</v>
      </c>
      <c r="Q1423">
        <f t="shared" si="22"/>
        <v>461.04</v>
      </c>
      <c r="R1423">
        <v>3674.7000000000003</v>
      </c>
      <c r="S1423" s="2">
        <v>45160</v>
      </c>
      <c r="T1423" s="2">
        <v>45162</v>
      </c>
      <c r="U1423" t="s">
        <v>37</v>
      </c>
      <c r="V1423">
        <v>22</v>
      </c>
      <c r="W1423">
        <v>8</v>
      </c>
      <c r="X1423" t="s">
        <v>48</v>
      </c>
      <c r="Y1423">
        <v>2023</v>
      </c>
      <c r="Z1423">
        <v>3</v>
      </c>
      <c r="AA1423">
        <v>34</v>
      </c>
    </row>
    <row r="1424" spans="1:27" x14ac:dyDescent="0.3">
      <c r="A1424" s="2">
        <v>45398</v>
      </c>
      <c r="B1424" t="s">
        <v>1</v>
      </c>
      <c r="C1424" t="s">
        <v>6</v>
      </c>
      <c r="D1424">
        <v>6</v>
      </c>
      <c r="E1424">
        <v>524.19000000000005</v>
      </c>
      <c r="F1424" t="s">
        <v>15</v>
      </c>
      <c r="G1424" t="s">
        <v>17</v>
      </c>
      <c r="H1424">
        <v>0.15</v>
      </c>
      <c r="I1424" t="s">
        <v>20</v>
      </c>
      <c r="J1424">
        <v>2673.3690000000001</v>
      </c>
      <c r="K1424" t="s">
        <v>28</v>
      </c>
      <c r="L1424" t="s">
        <v>31</v>
      </c>
      <c r="M1424">
        <v>0</v>
      </c>
      <c r="N1424" t="s">
        <v>1497</v>
      </c>
      <c r="O1424" t="s">
        <v>2993</v>
      </c>
      <c r="P1424">
        <v>31.04</v>
      </c>
      <c r="Q1424">
        <f t="shared" si="22"/>
        <v>445.56150000000002</v>
      </c>
      <c r="R1424">
        <v>2642.3290000000002</v>
      </c>
      <c r="S1424" s="2">
        <v>45398</v>
      </c>
      <c r="T1424" s="2">
        <v>45402</v>
      </c>
      <c r="U1424" t="s">
        <v>34</v>
      </c>
      <c r="V1424">
        <v>16</v>
      </c>
      <c r="W1424">
        <v>4</v>
      </c>
      <c r="X1424" t="s">
        <v>45</v>
      </c>
      <c r="Y1424">
        <v>2024</v>
      </c>
      <c r="Z1424">
        <v>2</v>
      </c>
      <c r="AA1424">
        <v>16</v>
      </c>
    </row>
    <row r="1425" spans="1:27" x14ac:dyDescent="0.3">
      <c r="A1425" s="2">
        <v>45788</v>
      </c>
      <c r="B1425" t="s">
        <v>3</v>
      </c>
      <c r="C1425" t="s">
        <v>8</v>
      </c>
      <c r="D1425">
        <v>16</v>
      </c>
      <c r="E1425">
        <v>305.20999999999998</v>
      </c>
      <c r="F1425" t="s">
        <v>13</v>
      </c>
      <c r="G1425" t="s">
        <v>16</v>
      </c>
      <c r="H1425">
        <v>0.1</v>
      </c>
      <c r="I1425" t="s">
        <v>19</v>
      </c>
      <c r="J1425">
        <v>4395.0239999999994</v>
      </c>
      <c r="K1425" t="s">
        <v>27</v>
      </c>
      <c r="L1425" t="s">
        <v>30</v>
      </c>
      <c r="M1425">
        <v>0</v>
      </c>
      <c r="N1425" t="s">
        <v>1498</v>
      </c>
      <c r="O1425" t="s">
        <v>2994</v>
      </c>
      <c r="P1425">
        <v>33.369999999999997</v>
      </c>
      <c r="Q1425">
        <f t="shared" si="22"/>
        <v>274.68899999999996</v>
      </c>
      <c r="R1425">
        <v>4361.6539999999995</v>
      </c>
      <c r="S1425" s="2">
        <v>45788</v>
      </c>
      <c r="T1425" s="2">
        <v>45796</v>
      </c>
      <c r="U1425" t="s">
        <v>36</v>
      </c>
      <c r="V1425">
        <v>11</v>
      </c>
      <c r="W1425">
        <v>5</v>
      </c>
      <c r="X1425" t="s">
        <v>40</v>
      </c>
      <c r="Y1425">
        <v>2025</v>
      </c>
      <c r="Z1425">
        <v>2</v>
      </c>
      <c r="AA1425">
        <v>19</v>
      </c>
    </row>
    <row r="1426" spans="1:27" x14ac:dyDescent="0.3">
      <c r="A1426" s="2">
        <v>45271</v>
      </c>
      <c r="B1426" t="s">
        <v>2</v>
      </c>
      <c r="C1426" t="s">
        <v>11</v>
      </c>
      <c r="D1426">
        <v>16</v>
      </c>
      <c r="E1426">
        <v>438.71</v>
      </c>
      <c r="F1426" t="s">
        <v>14</v>
      </c>
      <c r="G1426" t="s">
        <v>17</v>
      </c>
      <c r="H1426">
        <v>0</v>
      </c>
      <c r="I1426" t="s">
        <v>19</v>
      </c>
      <c r="J1426">
        <v>7019.36</v>
      </c>
      <c r="K1426" t="s">
        <v>24</v>
      </c>
      <c r="L1426" t="s">
        <v>32</v>
      </c>
      <c r="M1426">
        <v>0</v>
      </c>
      <c r="N1426" t="s">
        <v>1499</v>
      </c>
      <c r="O1426" t="s">
        <v>2995</v>
      </c>
      <c r="P1426">
        <v>6.53</v>
      </c>
      <c r="Q1426">
        <f t="shared" si="22"/>
        <v>438.71</v>
      </c>
      <c r="R1426">
        <v>7012.83</v>
      </c>
      <c r="S1426" s="2">
        <v>45271</v>
      </c>
      <c r="T1426" s="2">
        <v>45281</v>
      </c>
      <c r="U1426" t="s">
        <v>35</v>
      </c>
      <c r="V1426">
        <v>11</v>
      </c>
      <c r="W1426">
        <v>12</v>
      </c>
      <c r="X1426" t="s">
        <v>39</v>
      </c>
      <c r="Y1426">
        <v>2023</v>
      </c>
      <c r="Z1426">
        <v>4</v>
      </c>
      <c r="AA1426">
        <v>50</v>
      </c>
    </row>
    <row r="1427" spans="1:27" x14ac:dyDescent="0.3">
      <c r="A1427" s="2">
        <v>44942</v>
      </c>
      <c r="B1427" t="s">
        <v>2</v>
      </c>
      <c r="C1427" t="s">
        <v>11</v>
      </c>
      <c r="D1427">
        <v>10</v>
      </c>
      <c r="E1427">
        <v>193.96</v>
      </c>
      <c r="F1427" t="s">
        <v>15</v>
      </c>
      <c r="G1427" t="s">
        <v>16</v>
      </c>
      <c r="H1427">
        <v>0.1</v>
      </c>
      <c r="I1427" t="s">
        <v>19</v>
      </c>
      <c r="J1427">
        <v>1745.64</v>
      </c>
      <c r="K1427" t="s">
        <v>25</v>
      </c>
      <c r="L1427" t="s">
        <v>32</v>
      </c>
      <c r="M1427">
        <v>0</v>
      </c>
      <c r="N1427" t="s">
        <v>1500</v>
      </c>
      <c r="O1427" t="s">
        <v>2996</v>
      </c>
      <c r="P1427">
        <v>41.3</v>
      </c>
      <c r="Q1427">
        <f t="shared" si="22"/>
        <v>174.56400000000002</v>
      </c>
      <c r="R1427">
        <v>1704.3400000000001</v>
      </c>
      <c r="S1427" s="2">
        <v>44942</v>
      </c>
      <c r="T1427" s="2">
        <v>44947</v>
      </c>
      <c r="U1427" t="s">
        <v>35</v>
      </c>
      <c r="V1427">
        <v>16</v>
      </c>
      <c r="W1427">
        <v>1</v>
      </c>
      <c r="X1427" t="s">
        <v>42</v>
      </c>
      <c r="Y1427">
        <v>2023</v>
      </c>
      <c r="Z1427">
        <v>1</v>
      </c>
      <c r="AA1427">
        <v>3</v>
      </c>
    </row>
    <row r="1428" spans="1:27" x14ac:dyDescent="0.3">
      <c r="A1428" s="2">
        <v>45056</v>
      </c>
      <c r="B1428" t="s">
        <v>0</v>
      </c>
      <c r="C1428" t="s">
        <v>6</v>
      </c>
      <c r="D1428">
        <v>18</v>
      </c>
      <c r="E1428">
        <v>580.41999999999996</v>
      </c>
      <c r="F1428" t="s">
        <v>13</v>
      </c>
      <c r="G1428" t="s">
        <v>16</v>
      </c>
      <c r="H1428">
        <v>0.05</v>
      </c>
      <c r="I1428" t="s">
        <v>23</v>
      </c>
      <c r="J1428">
        <v>9925.1819999999989</v>
      </c>
      <c r="K1428" t="s">
        <v>24</v>
      </c>
      <c r="L1428" t="s">
        <v>30</v>
      </c>
      <c r="M1428">
        <v>0</v>
      </c>
      <c r="N1428" t="s">
        <v>1501</v>
      </c>
      <c r="O1428" t="s">
        <v>2997</v>
      </c>
      <c r="P1428">
        <v>37.81</v>
      </c>
      <c r="Q1428">
        <f t="shared" si="22"/>
        <v>551.39899999999989</v>
      </c>
      <c r="R1428">
        <v>9887.3719999999994</v>
      </c>
      <c r="S1428" s="2">
        <v>45056</v>
      </c>
      <c r="T1428" s="2">
        <v>45063</v>
      </c>
      <c r="U1428" t="s">
        <v>33</v>
      </c>
      <c r="V1428">
        <v>10</v>
      </c>
      <c r="W1428">
        <v>5</v>
      </c>
      <c r="X1428" t="s">
        <v>40</v>
      </c>
      <c r="Y1428">
        <v>2023</v>
      </c>
      <c r="Z1428">
        <v>2</v>
      </c>
      <c r="AA1428">
        <v>19</v>
      </c>
    </row>
    <row r="1429" spans="1:27" x14ac:dyDescent="0.3">
      <c r="A1429" s="2">
        <v>45465</v>
      </c>
      <c r="B1429" t="s">
        <v>3</v>
      </c>
      <c r="C1429" t="s">
        <v>9</v>
      </c>
      <c r="D1429">
        <v>18</v>
      </c>
      <c r="E1429">
        <v>91.55</v>
      </c>
      <c r="F1429" t="s">
        <v>14</v>
      </c>
      <c r="G1429" t="s">
        <v>17</v>
      </c>
      <c r="H1429">
        <v>0.1</v>
      </c>
      <c r="I1429" t="s">
        <v>19</v>
      </c>
      <c r="J1429">
        <v>1483.11</v>
      </c>
      <c r="K1429" t="s">
        <v>27</v>
      </c>
      <c r="L1429" t="s">
        <v>29</v>
      </c>
      <c r="M1429">
        <v>0</v>
      </c>
      <c r="N1429" t="s">
        <v>1502</v>
      </c>
      <c r="O1429" t="s">
        <v>2998</v>
      </c>
      <c r="P1429">
        <v>32.54</v>
      </c>
      <c r="Q1429">
        <f t="shared" si="22"/>
        <v>82.394999999999996</v>
      </c>
      <c r="R1429">
        <v>1450.57</v>
      </c>
      <c r="S1429" s="2">
        <v>45465</v>
      </c>
      <c r="T1429" s="2">
        <v>45472</v>
      </c>
      <c r="U1429" t="s">
        <v>36</v>
      </c>
      <c r="V1429">
        <v>22</v>
      </c>
      <c r="W1429">
        <v>6</v>
      </c>
      <c r="X1429" t="s">
        <v>41</v>
      </c>
      <c r="Y1429">
        <v>2024</v>
      </c>
      <c r="Z1429">
        <v>2</v>
      </c>
      <c r="AA1429">
        <v>25</v>
      </c>
    </row>
    <row r="1430" spans="1:27" x14ac:dyDescent="0.3">
      <c r="A1430" s="2">
        <v>45745</v>
      </c>
      <c r="B1430" t="s">
        <v>4</v>
      </c>
      <c r="C1430" t="s">
        <v>10</v>
      </c>
      <c r="D1430">
        <v>13</v>
      </c>
      <c r="E1430">
        <v>113.78</v>
      </c>
      <c r="F1430" t="s">
        <v>14</v>
      </c>
      <c r="G1430" t="s">
        <v>16</v>
      </c>
      <c r="H1430">
        <v>0.1</v>
      </c>
      <c r="I1430" t="s">
        <v>18</v>
      </c>
      <c r="J1430">
        <v>1331.2260000000001</v>
      </c>
      <c r="K1430" t="s">
        <v>24</v>
      </c>
      <c r="L1430" t="s">
        <v>29</v>
      </c>
      <c r="M1430">
        <v>0</v>
      </c>
      <c r="N1430" t="s">
        <v>1503</v>
      </c>
      <c r="O1430" t="s">
        <v>2999</v>
      </c>
      <c r="P1430">
        <v>28.07</v>
      </c>
      <c r="Q1430">
        <f t="shared" si="22"/>
        <v>102.40200000000002</v>
      </c>
      <c r="R1430">
        <v>1303.1560000000002</v>
      </c>
      <c r="S1430" s="2">
        <v>45745</v>
      </c>
      <c r="T1430" s="2">
        <v>45754</v>
      </c>
      <c r="U1430" t="s">
        <v>37</v>
      </c>
      <c r="V1430">
        <v>29</v>
      </c>
      <c r="W1430">
        <v>3</v>
      </c>
      <c r="X1430" t="s">
        <v>44</v>
      </c>
      <c r="Y1430">
        <v>2025</v>
      </c>
      <c r="Z1430">
        <v>1</v>
      </c>
      <c r="AA1430">
        <v>13</v>
      </c>
    </row>
    <row r="1431" spans="1:27" x14ac:dyDescent="0.3">
      <c r="A1431" s="2">
        <v>45034</v>
      </c>
      <c r="B1431" t="s">
        <v>2</v>
      </c>
      <c r="C1431" t="s">
        <v>10</v>
      </c>
      <c r="D1431">
        <v>16</v>
      </c>
      <c r="E1431">
        <v>477.91</v>
      </c>
      <c r="F1431" t="s">
        <v>13</v>
      </c>
      <c r="G1431" t="s">
        <v>16</v>
      </c>
      <c r="H1431">
        <v>0</v>
      </c>
      <c r="I1431" t="s">
        <v>21</v>
      </c>
      <c r="J1431">
        <v>7646.56</v>
      </c>
      <c r="K1431" t="s">
        <v>26</v>
      </c>
      <c r="L1431" t="s">
        <v>31</v>
      </c>
      <c r="M1431">
        <v>0</v>
      </c>
      <c r="N1431" t="s">
        <v>1504</v>
      </c>
      <c r="O1431" t="s">
        <v>3000</v>
      </c>
      <c r="P1431">
        <v>21.89</v>
      </c>
      <c r="Q1431">
        <f t="shared" si="22"/>
        <v>477.91</v>
      </c>
      <c r="R1431">
        <v>7624.67</v>
      </c>
      <c r="S1431" s="2">
        <v>45034</v>
      </c>
      <c r="T1431" s="2">
        <v>45039</v>
      </c>
      <c r="U1431" t="s">
        <v>35</v>
      </c>
      <c r="V1431">
        <v>18</v>
      </c>
      <c r="W1431">
        <v>4</v>
      </c>
      <c r="X1431" t="s">
        <v>45</v>
      </c>
      <c r="Y1431">
        <v>2023</v>
      </c>
      <c r="Z1431">
        <v>2</v>
      </c>
      <c r="AA1431">
        <v>16</v>
      </c>
    </row>
    <row r="1432" spans="1:27" x14ac:dyDescent="0.3">
      <c r="A1432" s="2">
        <v>44964</v>
      </c>
      <c r="B1432" t="s">
        <v>3</v>
      </c>
      <c r="C1432" t="s">
        <v>5</v>
      </c>
      <c r="D1432">
        <v>14</v>
      </c>
      <c r="E1432">
        <v>306.39</v>
      </c>
      <c r="F1432" t="s">
        <v>13</v>
      </c>
      <c r="G1432" t="s">
        <v>17</v>
      </c>
      <c r="H1432">
        <v>0.1</v>
      </c>
      <c r="I1432" t="s">
        <v>18</v>
      </c>
      <c r="J1432">
        <v>3860.5140000000001</v>
      </c>
      <c r="K1432" t="s">
        <v>28</v>
      </c>
      <c r="L1432" t="s">
        <v>31</v>
      </c>
      <c r="M1432">
        <v>0</v>
      </c>
      <c r="N1432" t="s">
        <v>1505</v>
      </c>
      <c r="O1432" t="s">
        <v>3001</v>
      </c>
      <c r="P1432">
        <v>38.729999999999997</v>
      </c>
      <c r="Q1432">
        <f t="shared" si="22"/>
        <v>275.75100000000003</v>
      </c>
      <c r="R1432">
        <v>3821.7840000000001</v>
      </c>
      <c r="S1432" s="2">
        <v>44964</v>
      </c>
      <c r="T1432" s="2">
        <v>44966</v>
      </c>
      <c r="U1432" t="s">
        <v>36</v>
      </c>
      <c r="V1432">
        <v>7</v>
      </c>
      <c r="W1432">
        <v>2</v>
      </c>
      <c r="X1432" t="s">
        <v>38</v>
      </c>
      <c r="Y1432">
        <v>2023</v>
      </c>
      <c r="Z1432">
        <v>1</v>
      </c>
      <c r="AA1432">
        <v>6</v>
      </c>
    </row>
    <row r="1433" spans="1:27" x14ac:dyDescent="0.3">
      <c r="A1433" s="2">
        <v>45679</v>
      </c>
      <c r="B1433" t="s">
        <v>0</v>
      </c>
      <c r="C1433" t="s">
        <v>10</v>
      </c>
      <c r="D1433">
        <v>17</v>
      </c>
      <c r="E1433">
        <v>8.33</v>
      </c>
      <c r="F1433" t="s">
        <v>13</v>
      </c>
      <c r="G1433" t="s">
        <v>17</v>
      </c>
      <c r="H1433">
        <v>0.05</v>
      </c>
      <c r="I1433" t="s">
        <v>18</v>
      </c>
      <c r="J1433">
        <v>134.52950000000001</v>
      </c>
      <c r="K1433" t="s">
        <v>28</v>
      </c>
      <c r="L1433" t="s">
        <v>32</v>
      </c>
      <c r="M1433">
        <v>0</v>
      </c>
      <c r="N1433" t="s">
        <v>1506</v>
      </c>
      <c r="O1433" t="s">
        <v>3002</v>
      </c>
      <c r="P1433">
        <v>43.29</v>
      </c>
      <c r="Q1433">
        <f t="shared" si="22"/>
        <v>7.9135000000000009</v>
      </c>
      <c r="R1433">
        <v>91.239500000000021</v>
      </c>
      <c r="S1433" s="2">
        <v>45679</v>
      </c>
      <c r="T1433" s="2">
        <v>45682</v>
      </c>
      <c r="U1433" t="s">
        <v>33</v>
      </c>
      <c r="V1433">
        <v>22</v>
      </c>
      <c r="W1433">
        <v>1</v>
      </c>
      <c r="X1433" t="s">
        <v>42</v>
      </c>
      <c r="Y1433">
        <v>2025</v>
      </c>
      <c r="Z1433">
        <v>1</v>
      </c>
      <c r="AA1433">
        <v>4</v>
      </c>
    </row>
    <row r="1434" spans="1:27" x14ac:dyDescent="0.3">
      <c r="A1434" s="2">
        <v>45111</v>
      </c>
      <c r="B1434" t="s">
        <v>0</v>
      </c>
      <c r="C1434" t="s">
        <v>6</v>
      </c>
      <c r="D1434">
        <v>6</v>
      </c>
      <c r="E1434">
        <v>346.86</v>
      </c>
      <c r="F1434" t="s">
        <v>14</v>
      </c>
      <c r="G1434" t="s">
        <v>17</v>
      </c>
      <c r="H1434">
        <v>0.05</v>
      </c>
      <c r="I1434" t="s">
        <v>18</v>
      </c>
      <c r="J1434">
        <v>1977.1020000000001</v>
      </c>
      <c r="K1434" t="s">
        <v>25</v>
      </c>
      <c r="L1434" t="s">
        <v>29</v>
      </c>
      <c r="M1434">
        <v>0</v>
      </c>
      <c r="N1434" t="s">
        <v>1507</v>
      </c>
      <c r="O1434" t="s">
        <v>3003</v>
      </c>
      <c r="P1434">
        <v>29.18</v>
      </c>
      <c r="Q1434">
        <f t="shared" si="22"/>
        <v>329.517</v>
      </c>
      <c r="R1434">
        <v>1947.922</v>
      </c>
      <c r="S1434" s="2">
        <v>45111</v>
      </c>
      <c r="T1434" s="2">
        <v>45119</v>
      </c>
      <c r="U1434" t="s">
        <v>33</v>
      </c>
      <c r="V1434">
        <v>4</v>
      </c>
      <c r="W1434">
        <v>7</v>
      </c>
      <c r="X1434" t="s">
        <v>46</v>
      </c>
      <c r="Y1434">
        <v>2023</v>
      </c>
      <c r="Z1434">
        <v>3</v>
      </c>
      <c r="AA1434">
        <v>27</v>
      </c>
    </row>
    <row r="1435" spans="1:27" x14ac:dyDescent="0.3">
      <c r="A1435" s="2">
        <v>45138</v>
      </c>
      <c r="B1435" t="s">
        <v>3</v>
      </c>
      <c r="C1435" t="s">
        <v>7</v>
      </c>
      <c r="D1435">
        <v>14</v>
      </c>
      <c r="E1435">
        <v>223.26</v>
      </c>
      <c r="F1435" t="s">
        <v>12</v>
      </c>
      <c r="G1435" t="s">
        <v>16</v>
      </c>
      <c r="H1435">
        <v>0.1</v>
      </c>
      <c r="I1435" t="s">
        <v>19</v>
      </c>
      <c r="J1435">
        <v>2813.076</v>
      </c>
      <c r="K1435" t="s">
        <v>26</v>
      </c>
      <c r="L1435" t="s">
        <v>31</v>
      </c>
      <c r="M1435">
        <v>0</v>
      </c>
      <c r="N1435" t="s">
        <v>1508</v>
      </c>
      <c r="O1435" t="s">
        <v>3004</v>
      </c>
      <c r="P1435">
        <v>12.88</v>
      </c>
      <c r="Q1435">
        <f t="shared" si="22"/>
        <v>200.934</v>
      </c>
      <c r="R1435">
        <v>2800.1959999999999</v>
      </c>
      <c r="S1435" s="2">
        <v>45138</v>
      </c>
      <c r="T1435" s="2">
        <v>45141</v>
      </c>
      <c r="U1435" t="s">
        <v>36</v>
      </c>
      <c r="V1435">
        <v>31</v>
      </c>
      <c r="W1435">
        <v>7</v>
      </c>
      <c r="X1435" t="s">
        <v>46</v>
      </c>
      <c r="Y1435">
        <v>2023</v>
      </c>
      <c r="Z1435">
        <v>3</v>
      </c>
      <c r="AA1435">
        <v>31</v>
      </c>
    </row>
    <row r="1436" spans="1:27" x14ac:dyDescent="0.3">
      <c r="A1436" s="2">
        <v>45036</v>
      </c>
      <c r="B1436" t="s">
        <v>2</v>
      </c>
      <c r="C1436" t="s">
        <v>7</v>
      </c>
      <c r="D1436">
        <v>6</v>
      </c>
      <c r="E1436">
        <v>529.1</v>
      </c>
      <c r="F1436" t="s">
        <v>15</v>
      </c>
      <c r="G1436" t="s">
        <v>16</v>
      </c>
      <c r="H1436">
        <v>0</v>
      </c>
      <c r="I1436" t="s">
        <v>18</v>
      </c>
      <c r="J1436">
        <v>3174.6</v>
      </c>
      <c r="K1436" t="s">
        <v>27</v>
      </c>
      <c r="L1436" t="s">
        <v>31</v>
      </c>
      <c r="M1436">
        <v>0</v>
      </c>
      <c r="N1436" t="s">
        <v>1509</v>
      </c>
      <c r="O1436" t="s">
        <v>3005</v>
      </c>
      <c r="P1436">
        <v>5.13</v>
      </c>
      <c r="Q1436">
        <f t="shared" si="22"/>
        <v>529.1</v>
      </c>
      <c r="R1436">
        <v>3169.47</v>
      </c>
      <c r="S1436" s="2">
        <v>45036</v>
      </c>
      <c r="T1436" s="2">
        <v>45043</v>
      </c>
      <c r="U1436" t="s">
        <v>35</v>
      </c>
      <c r="V1436">
        <v>20</v>
      </c>
      <c r="W1436">
        <v>4</v>
      </c>
      <c r="X1436" t="s">
        <v>45</v>
      </c>
      <c r="Y1436">
        <v>2023</v>
      </c>
      <c r="Z1436">
        <v>2</v>
      </c>
      <c r="AA1436">
        <v>16</v>
      </c>
    </row>
    <row r="1437" spans="1:27" x14ac:dyDescent="0.3">
      <c r="A1437" s="2">
        <v>45573</v>
      </c>
      <c r="B1437" t="s">
        <v>3</v>
      </c>
      <c r="C1437" t="s">
        <v>10</v>
      </c>
      <c r="D1437">
        <v>11</v>
      </c>
      <c r="E1437">
        <v>97.34</v>
      </c>
      <c r="F1437" t="s">
        <v>15</v>
      </c>
      <c r="G1437" t="s">
        <v>16</v>
      </c>
      <c r="H1437">
        <v>0.1</v>
      </c>
      <c r="I1437" t="s">
        <v>21</v>
      </c>
      <c r="J1437">
        <v>963.66600000000005</v>
      </c>
      <c r="K1437" t="s">
        <v>27</v>
      </c>
      <c r="L1437" t="s">
        <v>30</v>
      </c>
      <c r="M1437">
        <v>0</v>
      </c>
      <c r="N1437" t="s">
        <v>1510</v>
      </c>
      <c r="O1437" t="s">
        <v>3006</v>
      </c>
      <c r="P1437">
        <v>10.61</v>
      </c>
      <c r="Q1437">
        <f t="shared" si="22"/>
        <v>87.606000000000009</v>
      </c>
      <c r="R1437">
        <v>953.05600000000004</v>
      </c>
      <c r="S1437" s="2">
        <v>45573</v>
      </c>
      <c r="T1437" s="2">
        <v>45576</v>
      </c>
      <c r="U1437" t="s">
        <v>36</v>
      </c>
      <c r="V1437">
        <v>8</v>
      </c>
      <c r="W1437">
        <v>10</v>
      </c>
      <c r="X1437" t="s">
        <v>43</v>
      </c>
      <c r="Y1437">
        <v>2024</v>
      </c>
      <c r="Z1437">
        <v>4</v>
      </c>
      <c r="AA1437">
        <v>41</v>
      </c>
    </row>
    <row r="1438" spans="1:27" x14ac:dyDescent="0.3">
      <c r="A1438" s="2">
        <v>45316</v>
      </c>
      <c r="B1438" t="s">
        <v>0</v>
      </c>
      <c r="C1438" t="s">
        <v>8</v>
      </c>
      <c r="D1438">
        <v>11</v>
      </c>
      <c r="E1438">
        <v>422.89</v>
      </c>
      <c r="F1438" t="s">
        <v>12</v>
      </c>
      <c r="G1438" t="s">
        <v>17</v>
      </c>
      <c r="H1438">
        <v>0.1</v>
      </c>
      <c r="I1438" t="s">
        <v>20</v>
      </c>
      <c r="J1438">
        <v>4186.6109999999999</v>
      </c>
      <c r="K1438" t="s">
        <v>26</v>
      </c>
      <c r="L1438" t="s">
        <v>30</v>
      </c>
      <c r="M1438">
        <v>0</v>
      </c>
      <c r="N1438" t="s">
        <v>1511</v>
      </c>
      <c r="O1438" t="s">
        <v>3007</v>
      </c>
      <c r="P1438">
        <v>45.89</v>
      </c>
      <c r="Q1438">
        <f t="shared" si="22"/>
        <v>380.601</v>
      </c>
      <c r="R1438">
        <v>4140.7209999999995</v>
      </c>
      <c r="S1438" s="2">
        <v>45316</v>
      </c>
      <c r="T1438" s="2">
        <v>45318</v>
      </c>
      <c r="U1438" t="s">
        <v>33</v>
      </c>
      <c r="V1438">
        <v>25</v>
      </c>
      <c r="W1438">
        <v>1</v>
      </c>
      <c r="X1438" t="s">
        <v>42</v>
      </c>
      <c r="Y1438">
        <v>2024</v>
      </c>
      <c r="Z1438">
        <v>1</v>
      </c>
      <c r="AA1438">
        <v>4</v>
      </c>
    </row>
    <row r="1439" spans="1:27" x14ac:dyDescent="0.3">
      <c r="A1439" s="2">
        <v>45642</v>
      </c>
      <c r="B1439" t="s">
        <v>1</v>
      </c>
      <c r="C1439" t="s">
        <v>9</v>
      </c>
      <c r="D1439">
        <v>4</v>
      </c>
      <c r="E1439">
        <v>557.16999999999996</v>
      </c>
      <c r="F1439" t="s">
        <v>14</v>
      </c>
      <c r="G1439" t="s">
        <v>16</v>
      </c>
      <c r="H1439">
        <v>0.05</v>
      </c>
      <c r="I1439" t="s">
        <v>20</v>
      </c>
      <c r="J1439">
        <v>2117.2460000000001</v>
      </c>
      <c r="K1439" t="s">
        <v>26</v>
      </c>
      <c r="L1439" t="s">
        <v>32</v>
      </c>
      <c r="M1439">
        <v>0</v>
      </c>
      <c r="N1439" t="s">
        <v>1512</v>
      </c>
      <c r="O1439" t="s">
        <v>3008</v>
      </c>
      <c r="P1439">
        <v>32.159999999999997</v>
      </c>
      <c r="Q1439">
        <f t="shared" si="22"/>
        <v>529.31150000000002</v>
      </c>
      <c r="R1439">
        <v>2085.0860000000002</v>
      </c>
      <c r="S1439" s="2">
        <v>45642</v>
      </c>
      <c r="T1439" s="2">
        <v>45651</v>
      </c>
      <c r="U1439" t="s">
        <v>34</v>
      </c>
      <c r="V1439">
        <v>16</v>
      </c>
      <c r="W1439">
        <v>12</v>
      </c>
      <c r="X1439" t="s">
        <v>39</v>
      </c>
      <c r="Y1439">
        <v>2024</v>
      </c>
      <c r="Z1439">
        <v>4</v>
      </c>
      <c r="AA1439">
        <v>51</v>
      </c>
    </row>
    <row r="1440" spans="1:27" x14ac:dyDescent="0.3">
      <c r="A1440" s="2">
        <v>45589</v>
      </c>
      <c r="B1440" t="s">
        <v>3</v>
      </c>
      <c r="C1440" t="s">
        <v>11</v>
      </c>
      <c r="D1440">
        <v>9</v>
      </c>
      <c r="E1440">
        <v>459.65</v>
      </c>
      <c r="F1440" t="s">
        <v>12</v>
      </c>
      <c r="G1440" t="s">
        <v>17</v>
      </c>
      <c r="H1440">
        <v>0.1</v>
      </c>
      <c r="I1440" t="s">
        <v>23</v>
      </c>
      <c r="J1440">
        <v>3723.165</v>
      </c>
      <c r="K1440" t="s">
        <v>25</v>
      </c>
      <c r="L1440" t="s">
        <v>31</v>
      </c>
      <c r="M1440">
        <v>1</v>
      </c>
      <c r="N1440" t="s">
        <v>1513</v>
      </c>
      <c r="O1440" t="s">
        <v>3009</v>
      </c>
      <c r="P1440">
        <v>22.24</v>
      </c>
      <c r="Q1440">
        <f t="shared" si="22"/>
        <v>413.685</v>
      </c>
      <c r="R1440">
        <v>3700.9250000000002</v>
      </c>
      <c r="S1440" s="2">
        <v>45589</v>
      </c>
      <c r="T1440" s="2">
        <v>45597</v>
      </c>
      <c r="U1440" t="s">
        <v>36</v>
      </c>
      <c r="V1440">
        <v>24</v>
      </c>
      <c r="W1440">
        <v>10</v>
      </c>
      <c r="X1440" t="s">
        <v>43</v>
      </c>
      <c r="Y1440">
        <v>2024</v>
      </c>
      <c r="Z1440">
        <v>4</v>
      </c>
      <c r="AA1440">
        <v>43</v>
      </c>
    </row>
    <row r="1441" spans="1:27" x14ac:dyDescent="0.3">
      <c r="A1441" s="2">
        <v>45246</v>
      </c>
      <c r="B1441" t="s">
        <v>4</v>
      </c>
      <c r="C1441" t="s">
        <v>9</v>
      </c>
      <c r="D1441">
        <v>8</v>
      </c>
      <c r="E1441">
        <v>493.35</v>
      </c>
      <c r="F1441" t="s">
        <v>13</v>
      </c>
      <c r="G1441" t="s">
        <v>17</v>
      </c>
      <c r="H1441">
        <v>0.1</v>
      </c>
      <c r="I1441" t="s">
        <v>19</v>
      </c>
      <c r="J1441">
        <v>3552.12</v>
      </c>
      <c r="K1441" t="s">
        <v>28</v>
      </c>
      <c r="L1441" t="s">
        <v>29</v>
      </c>
      <c r="M1441">
        <v>1</v>
      </c>
      <c r="N1441" t="s">
        <v>1514</v>
      </c>
      <c r="O1441" t="s">
        <v>3010</v>
      </c>
      <c r="P1441">
        <v>12.86</v>
      </c>
      <c r="Q1441">
        <f t="shared" si="22"/>
        <v>444.01499999999999</v>
      </c>
      <c r="R1441">
        <v>3539.2599999999998</v>
      </c>
      <c r="S1441" s="2">
        <v>45246</v>
      </c>
      <c r="T1441" s="2">
        <v>45250</v>
      </c>
      <c r="U1441" t="s">
        <v>37</v>
      </c>
      <c r="V1441">
        <v>16</v>
      </c>
      <c r="W1441">
        <v>11</v>
      </c>
      <c r="X1441" t="s">
        <v>47</v>
      </c>
      <c r="Y1441">
        <v>2023</v>
      </c>
      <c r="Z1441">
        <v>4</v>
      </c>
      <c r="AA1441">
        <v>46</v>
      </c>
    </row>
    <row r="1442" spans="1:27" x14ac:dyDescent="0.3">
      <c r="A1442" s="2">
        <v>45382</v>
      </c>
      <c r="B1442" t="s">
        <v>1</v>
      </c>
      <c r="C1442" t="s">
        <v>5</v>
      </c>
      <c r="D1442">
        <v>13</v>
      </c>
      <c r="E1442">
        <v>428.59</v>
      </c>
      <c r="F1442" t="s">
        <v>15</v>
      </c>
      <c r="G1442" t="s">
        <v>17</v>
      </c>
      <c r="H1442">
        <v>0</v>
      </c>
      <c r="I1442" t="s">
        <v>23</v>
      </c>
      <c r="J1442">
        <v>5571.67</v>
      </c>
      <c r="K1442" t="s">
        <v>28</v>
      </c>
      <c r="L1442" t="s">
        <v>29</v>
      </c>
      <c r="M1442">
        <v>0</v>
      </c>
      <c r="N1442" t="s">
        <v>1515</v>
      </c>
      <c r="O1442" t="s">
        <v>3011</v>
      </c>
      <c r="P1442">
        <v>23.89</v>
      </c>
      <c r="Q1442">
        <f t="shared" si="22"/>
        <v>428.59000000000003</v>
      </c>
      <c r="R1442">
        <v>5547.78</v>
      </c>
      <c r="S1442" s="2">
        <v>45382</v>
      </c>
      <c r="T1442" s="2">
        <v>45390</v>
      </c>
      <c r="U1442" t="s">
        <v>34</v>
      </c>
      <c r="V1442">
        <v>31</v>
      </c>
      <c r="W1442">
        <v>3</v>
      </c>
      <c r="X1442" t="s">
        <v>44</v>
      </c>
      <c r="Y1442">
        <v>2024</v>
      </c>
      <c r="Z1442">
        <v>1</v>
      </c>
      <c r="AA1442">
        <v>13</v>
      </c>
    </row>
    <row r="1443" spans="1:27" x14ac:dyDescent="0.3">
      <c r="A1443" s="2">
        <v>44970</v>
      </c>
      <c r="B1443" t="s">
        <v>0</v>
      </c>
      <c r="C1443" t="s">
        <v>5</v>
      </c>
      <c r="D1443">
        <v>7</v>
      </c>
      <c r="E1443">
        <v>242.11</v>
      </c>
      <c r="F1443" t="s">
        <v>14</v>
      </c>
      <c r="G1443" t="s">
        <v>16</v>
      </c>
      <c r="H1443">
        <v>0.05</v>
      </c>
      <c r="I1443" t="s">
        <v>18</v>
      </c>
      <c r="J1443">
        <v>1610.0315000000001</v>
      </c>
      <c r="K1443" t="s">
        <v>27</v>
      </c>
      <c r="L1443" t="s">
        <v>31</v>
      </c>
      <c r="M1443">
        <v>0</v>
      </c>
      <c r="N1443" t="s">
        <v>1516</v>
      </c>
      <c r="O1443" t="s">
        <v>3012</v>
      </c>
      <c r="P1443">
        <v>47.19</v>
      </c>
      <c r="Q1443">
        <f t="shared" si="22"/>
        <v>230.00450000000001</v>
      </c>
      <c r="R1443">
        <v>1562.8415</v>
      </c>
      <c r="S1443" s="2">
        <v>44970</v>
      </c>
      <c r="T1443" s="2">
        <v>44975</v>
      </c>
      <c r="U1443" t="s">
        <v>33</v>
      </c>
      <c r="V1443">
        <v>13</v>
      </c>
      <c r="W1443">
        <v>2</v>
      </c>
      <c r="X1443" t="s">
        <v>38</v>
      </c>
      <c r="Y1443">
        <v>2023</v>
      </c>
      <c r="Z1443">
        <v>1</v>
      </c>
      <c r="AA1443">
        <v>7</v>
      </c>
    </row>
    <row r="1444" spans="1:27" x14ac:dyDescent="0.3">
      <c r="A1444" s="2">
        <v>45189</v>
      </c>
      <c r="B1444" t="s">
        <v>1</v>
      </c>
      <c r="C1444" t="s">
        <v>10</v>
      </c>
      <c r="D1444">
        <v>17</v>
      </c>
      <c r="E1444">
        <v>477.38</v>
      </c>
      <c r="F1444" t="s">
        <v>14</v>
      </c>
      <c r="G1444" t="s">
        <v>17</v>
      </c>
      <c r="H1444">
        <v>0.05</v>
      </c>
      <c r="I1444" t="s">
        <v>19</v>
      </c>
      <c r="J1444">
        <v>7709.6869999999999</v>
      </c>
      <c r="K1444" t="s">
        <v>25</v>
      </c>
      <c r="L1444" t="s">
        <v>29</v>
      </c>
      <c r="M1444">
        <v>0</v>
      </c>
      <c r="N1444" t="s">
        <v>1517</v>
      </c>
      <c r="O1444" t="s">
        <v>3013</v>
      </c>
      <c r="P1444">
        <v>35.28</v>
      </c>
      <c r="Q1444">
        <f t="shared" si="22"/>
        <v>453.51099999999997</v>
      </c>
      <c r="R1444">
        <v>7674.4070000000002</v>
      </c>
      <c r="S1444" s="2">
        <v>45189</v>
      </c>
      <c r="T1444" s="2">
        <v>45196</v>
      </c>
      <c r="U1444" t="s">
        <v>34</v>
      </c>
      <c r="V1444">
        <v>20</v>
      </c>
      <c r="W1444">
        <v>9</v>
      </c>
      <c r="X1444" t="s">
        <v>49</v>
      </c>
      <c r="Y1444">
        <v>2023</v>
      </c>
      <c r="Z1444">
        <v>3</v>
      </c>
      <c r="AA1444">
        <v>38</v>
      </c>
    </row>
    <row r="1445" spans="1:27" x14ac:dyDescent="0.3">
      <c r="A1445" s="2">
        <v>45104</v>
      </c>
      <c r="B1445" t="s">
        <v>1</v>
      </c>
      <c r="C1445" t="s">
        <v>8</v>
      </c>
      <c r="D1445">
        <v>3</v>
      </c>
      <c r="E1445">
        <v>261.60000000000002</v>
      </c>
      <c r="F1445" t="s">
        <v>15</v>
      </c>
      <c r="G1445" t="s">
        <v>17</v>
      </c>
      <c r="H1445">
        <v>0.05</v>
      </c>
      <c r="I1445" t="s">
        <v>22</v>
      </c>
      <c r="J1445">
        <v>745.56000000000006</v>
      </c>
      <c r="K1445" t="s">
        <v>28</v>
      </c>
      <c r="L1445" t="s">
        <v>31</v>
      </c>
      <c r="M1445">
        <v>0</v>
      </c>
      <c r="N1445" t="s">
        <v>1518</v>
      </c>
      <c r="O1445" t="s">
        <v>3014</v>
      </c>
      <c r="P1445">
        <v>42.11</v>
      </c>
      <c r="Q1445">
        <f t="shared" si="22"/>
        <v>248.52</v>
      </c>
      <c r="R1445">
        <v>703.45</v>
      </c>
      <c r="S1445" s="2">
        <v>45104</v>
      </c>
      <c r="T1445" s="2">
        <v>45114</v>
      </c>
      <c r="U1445" t="s">
        <v>34</v>
      </c>
      <c r="V1445">
        <v>27</v>
      </c>
      <c r="W1445">
        <v>6</v>
      </c>
      <c r="X1445" t="s">
        <v>41</v>
      </c>
      <c r="Y1445">
        <v>2023</v>
      </c>
      <c r="Z1445">
        <v>2</v>
      </c>
      <c r="AA1445">
        <v>26</v>
      </c>
    </row>
    <row r="1446" spans="1:27" x14ac:dyDescent="0.3">
      <c r="A1446" s="2">
        <v>45749</v>
      </c>
      <c r="B1446" t="s">
        <v>3</v>
      </c>
      <c r="C1446" t="s">
        <v>5</v>
      </c>
      <c r="D1446">
        <v>6</v>
      </c>
      <c r="E1446">
        <v>416.2</v>
      </c>
      <c r="F1446" t="s">
        <v>13</v>
      </c>
      <c r="G1446" t="s">
        <v>16</v>
      </c>
      <c r="H1446">
        <v>0.05</v>
      </c>
      <c r="I1446" t="s">
        <v>19</v>
      </c>
      <c r="J1446">
        <v>2372.34</v>
      </c>
      <c r="K1446" t="s">
        <v>28</v>
      </c>
      <c r="L1446" t="s">
        <v>31</v>
      </c>
      <c r="M1446">
        <v>1</v>
      </c>
      <c r="N1446" t="s">
        <v>1519</v>
      </c>
      <c r="O1446" t="s">
        <v>3015</v>
      </c>
      <c r="P1446">
        <v>44.14</v>
      </c>
      <c r="Q1446">
        <f t="shared" si="22"/>
        <v>395.39000000000004</v>
      </c>
      <c r="R1446">
        <v>2328.2000000000003</v>
      </c>
      <c r="S1446" s="2">
        <v>45749</v>
      </c>
      <c r="T1446" s="2">
        <v>45753</v>
      </c>
      <c r="U1446" t="s">
        <v>36</v>
      </c>
      <c r="V1446">
        <v>2</v>
      </c>
      <c r="W1446">
        <v>4</v>
      </c>
      <c r="X1446" t="s">
        <v>45</v>
      </c>
      <c r="Y1446">
        <v>2025</v>
      </c>
      <c r="Z1446">
        <v>2</v>
      </c>
      <c r="AA1446">
        <v>14</v>
      </c>
    </row>
    <row r="1447" spans="1:27" x14ac:dyDescent="0.3">
      <c r="A1447" s="2">
        <v>45763</v>
      </c>
      <c r="B1447" t="s">
        <v>2</v>
      </c>
      <c r="C1447" t="s">
        <v>11</v>
      </c>
      <c r="D1447">
        <v>15</v>
      </c>
      <c r="E1447">
        <v>99.66</v>
      </c>
      <c r="F1447" t="s">
        <v>13</v>
      </c>
      <c r="G1447" t="s">
        <v>16</v>
      </c>
      <c r="H1447">
        <v>0</v>
      </c>
      <c r="I1447" t="s">
        <v>18</v>
      </c>
      <c r="J1447">
        <v>1494.9</v>
      </c>
      <c r="K1447" t="s">
        <v>28</v>
      </c>
      <c r="L1447" t="s">
        <v>29</v>
      </c>
      <c r="M1447">
        <v>0</v>
      </c>
      <c r="N1447" t="s">
        <v>1520</v>
      </c>
      <c r="O1447" t="s">
        <v>3016</v>
      </c>
      <c r="P1447">
        <v>27.55</v>
      </c>
      <c r="Q1447">
        <f t="shared" si="22"/>
        <v>99.660000000000011</v>
      </c>
      <c r="R1447">
        <v>1467.3500000000001</v>
      </c>
      <c r="S1447" s="2">
        <v>45763</v>
      </c>
      <c r="T1447" s="2">
        <v>45773</v>
      </c>
      <c r="U1447" t="s">
        <v>35</v>
      </c>
      <c r="V1447">
        <v>16</v>
      </c>
      <c r="W1447">
        <v>4</v>
      </c>
      <c r="X1447" t="s">
        <v>45</v>
      </c>
      <c r="Y1447">
        <v>2025</v>
      </c>
      <c r="Z1447">
        <v>2</v>
      </c>
      <c r="AA1447">
        <v>16</v>
      </c>
    </row>
    <row r="1448" spans="1:27" x14ac:dyDescent="0.3">
      <c r="A1448" s="2">
        <v>45482</v>
      </c>
      <c r="B1448" t="s">
        <v>3</v>
      </c>
      <c r="C1448" t="s">
        <v>5</v>
      </c>
      <c r="D1448">
        <v>16</v>
      </c>
      <c r="E1448">
        <v>55.56</v>
      </c>
      <c r="F1448" t="s">
        <v>15</v>
      </c>
      <c r="G1448" t="s">
        <v>16</v>
      </c>
      <c r="H1448">
        <v>0.15</v>
      </c>
      <c r="I1448" t="s">
        <v>20</v>
      </c>
      <c r="J1448">
        <v>755.61599999999999</v>
      </c>
      <c r="K1448" t="s">
        <v>28</v>
      </c>
      <c r="L1448" t="s">
        <v>32</v>
      </c>
      <c r="M1448">
        <v>1</v>
      </c>
      <c r="N1448" t="s">
        <v>1521</v>
      </c>
      <c r="O1448" t="s">
        <v>3017</v>
      </c>
      <c r="P1448">
        <v>17.809999999999999</v>
      </c>
      <c r="Q1448">
        <f t="shared" si="22"/>
        <v>47.225999999999999</v>
      </c>
      <c r="R1448">
        <v>737.80600000000004</v>
      </c>
      <c r="S1448" s="2">
        <v>45482</v>
      </c>
      <c r="T1448" s="2">
        <v>45490</v>
      </c>
      <c r="U1448" t="s">
        <v>36</v>
      </c>
      <c r="V1448">
        <v>9</v>
      </c>
      <c r="W1448">
        <v>7</v>
      </c>
      <c r="X1448" t="s">
        <v>46</v>
      </c>
      <c r="Y1448">
        <v>2024</v>
      </c>
      <c r="Z1448">
        <v>3</v>
      </c>
      <c r="AA1448">
        <v>28</v>
      </c>
    </row>
    <row r="1449" spans="1:27" x14ac:dyDescent="0.3">
      <c r="A1449" s="2">
        <v>45831</v>
      </c>
      <c r="B1449" t="s">
        <v>0</v>
      </c>
      <c r="C1449" t="s">
        <v>6</v>
      </c>
      <c r="D1449">
        <v>20</v>
      </c>
      <c r="E1449">
        <v>243.47</v>
      </c>
      <c r="F1449" t="s">
        <v>13</v>
      </c>
      <c r="G1449" t="s">
        <v>16</v>
      </c>
      <c r="H1449">
        <v>0.05</v>
      </c>
      <c r="I1449" t="s">
        <v>19</v>
      </c>
      <c r="J1449">
        <v>4625.9299999999994</v>
      </c>
      <c r="K1449" t="s">
        <v>25</v>
      </c>
      <c r="L1449" t="s">
        <v>29</v>
      </c>
      <c r="M1449">
        <v>1</v>
      </c>
      <c r="N1449" t="s">
        <v>1522</v>
      </c>
      <c r="O1449" t="s">
        <v>3018</v>
      </c>
      <c r="P1449">
        <v>32.28</v>
      </c>
      <c r="Q1449">
        <f t="shared" si="22"/>
        <v>231.29649999999998</v>
      </c>
      <c r="R1449">
        <v>4593.6499999999996</v>
      </c>
      <c r="S1449" s="2">
        <v>45831</v>
      </c>
      <c r="T1449" s="2">
        <v>45841</v>
      </c>
      <c r="U1449" t="s">
        <v>33</v>
      </c>
      <c r="V1449">
        <v>23</v>
      </c>
      <c r="W1449">
        <v>6</v>
      </c>
      <c r="X1449" t="s">
        <v>41</v>
      </c>
      <c r="Y1449">
        <v>2025</v>
      </c>
      <c r="Z1449">
        <v>2</v>
      </c>
      <c r="AA1449">
        <v>26</v>
      </c>
    </row>
    <row r="1450" spans="1:27" x14ac:dyDescent="0.3">
      <c r="A1450" s="2">
        <v>45452</v>
      </c>
      <c r="B1450" t="s">
        <v>0</v>
      </c>
      <c r="C1450" t="s">
        <v>10</v>
      </c>
      <c r="D1450">
        <v>11</v>
      </c>
      <c r="E1450">
        <v>185.59</v>
      </c>
      <c r="F1450" t="s">
        <v>12</v>
      </c>
      <c r="G1450" t="s">
        <v>17</v>
      </c>
      <c r="H1450">
        <v>0.1</v>
      </c>
      <c r="I1450" t="s">
        <v>21</v>
      </c>
      <c r="J1450">
        <v>1837.3409999999999</v>
      </c>
      <c r="K1450" t="s">
        <v>25</v>
      </c>
      <c r="L1450" t="s">
        <v>32</v>
      </c>
      <c r="M1450">
        <v>0</v>
      </c>
      <c r="N1450" t="s">
        <v>1523</v>
      </c>
      <c r="O1450" t="s">
        <v>3019</v>
      </c>
      <c r="P1450">
        <v>45.19</v>
      </c>
      <c r="Q1450">
        <f t="shared" si="22"/>
        <v>167.03099999999998</v>
      </c>
      <c r="R1450">
        <v>1792.1509999999998</v>
      </c>
      <c r="S1450" s="2">
        <v>45452</v>
      </c>
      <c r="T1450" s="2">
        <v>45461</v>
      </c>
      <c r="U1450" t="s">
        <v>33</v>
      </c>
      <c r="V1450">
        <v>9</v>
      </c>
      <c r="W1450">
        <v>6</v>
      </c>
      <c r="X1450" t="s">
        <v>41</v>
      </c>
      <c r="Y1450">
        <v>2024</v>
      </c>
      <c r="Z1450">
        <v>2</v>
      </c>
      <c r="AA1450">
        <v>23</v>
      </c>
    </row>
    <row r="1451" spans="1:27" x14ac:dyDescent="0.3">
      <c r="A1451" s="2">
        <v>45261</v>
      </c>
      <c r="B1451" t="s">
        <v>3</v>
      </c>
      <c r="C1451" t="s">
        <v>7</v>
      </c>
      <c r="D1451">
        <v>11</v>
      </c>
      <c r="E1451">
        <v>347.38</v>
      </c>
      <c r="F1451" t="s">
        <v>14</v>
      </c>
      <c r="G1451" t="s">
        <v>16</v>
      </c>
      <c r="H1451">
        <v>0.05</v>
      </c>
      <c r="I1451" t="s">
        <v>18</v>
      </c>
      <c r="J1451">
        <v>3630.1210000000001</v>
      </c>
      <c r="K1451" t="s">
        <v>26</v>
      </c>
      <c r="L1451" t="s">
        <v>29</v>
      </c>
      <c r="M1451">
        <v>0</v>
      </c>
      <c r="N1451" t="s">
        <v>1524</v>
      </c>
      <c r="O1451" t="s">
        <v>3020</v>
      </c>
      <c r="P1451">
        <v>24.8</v>
      </c>
      <c r="Q1451">
        <f t="shared" si="22"/>
        <v>330.01100000000002</v>
      </c>
      <c r="R1451">
        <v>3605.3209999999999</v>
      </c>
      <c r="S1451" s="2">
        <v>45261</v>
      </c>
      <c r="T1451" s="2">
        <v>45263</v>
      </c>
      <c r="U1451" t="s">
        <v>36</v>
      </c>
      <c r="V1451">
        <v>1</v>
      </c>
      <c r="W1451">
        <v>12</v>
      </c>
      <c r="X1451" t="s">
        <v>39</v>
      </c>
      <c r="Y1451">
        <v>2023</v>
      </c>
      <c r="Z1451">
        <v>4</v>
      </c>
      <c r="AA1451">
        <v>48</v>
      </c>
    </row>
    <row r="1452" spans="1:27" x14ac:dyDescent="0.3">
      <c r="A1452" s="2">
        <v>45497</v>
      </c>
      <c r="B1452" t="s">
        <v>4</v>
      </c>
      <c r="C1452" t="s">
        <v>10</v>
      </c>
      <c r="D1452">
        <v>15</v>
      </c>
      <c r="E1452">
        <v>318.02999999999997</v>
      </c>
      <c r="F1452" t="s">
        <v>15</v>
      </c>
      <c r="G1452" t="s">
        <v>17</v>
      </c>
      <c r="H1452">
        <v>0.05</v>
      </c>
      <c r="I1452" t="s">
        <v>22</v>
      </c>
      <c r="J1452">
        <v>4531.9274999999998</v>
      </c>
      <c r="K1452" t="s">
        <v>25</v>
      </c>
      <c r="L1452" t="s">
        <v>31</v>
      </c>
      <c r="M1452">
        <v>1</v>
      </c>
      <c r="N1452" t="s">
        <v>1525</v>
      </c>
      <c r="O1452" t="s">
        <v>3021</v>
      </c>
      <c r="P1452">
        <v>24.38</v>
      </c>
      <c r="Q1452">
        <f t="shared" si="22"/>
        <v>302.12849999999997</v>
      </c>
      <c r="R1452">
        <v>4507.5474999999997</v>
      </c>
      <c r="S1452" s="2">
        <v>45497</v>
      </c>
      <c r="T1452" s="2">
        <v>45503</v>
      </c>
      <c r="U1452" t="s">
        <v>37</v>
      </c>
      <c r="V1452">
        <v>24</v>
      </c>
      <c r="W1452">
        <v>7</v>
      </c>
      <c r="X1452" t="s">
        <v>46</v>
      </c>
      <c r="Y1452">
        <v>2024</v>
      </c>
      <c r="Z1452">
        <v>3</v>
      </c>
      <c r="AA1452">
        <v>30</v>
      </c>
    </row>
    <row r="1453" spans="1:27" x14ac:dyDescent="0.3">
      <c r="A1453" s="2">
        <v>45028</v>
      </c>
      <c r="B1453" t="s">
        <v>4</v>
      </c>
      <c r="C1453" t="s">
        <v>8</v>
      </c>
      <c r="D1453">
        <v>15</v>
      </c>
      <c r="E1453">
        <v>242.35</v>
      </c>
      <c r="F1453" t="s">
        <v>15</v>
      </c>
      <c r="G1453" t="s">
        <v>16</v>
      </c>
      <c r="H1453">
        <v>0.15</v>
      </c>
      <c r="I1453" t="s">
        <v>22</v>
      </c>
      <c r="J1453">
        <v>3089.9625000000001</v>
      </c>
      <c r="K1453" t="s">
        <v>28</v>
      </c>
      <c r="L1453" t="s">
        <v>31</v>
      </c>
      <c r="M1453">
        <v>1</v>
      </c>
      <c r="N1453" t="s">
        <v>1526</v>
      </c>
      <c r="O1453" t="s">
        <v>3022</v>
      </c>
      <c r="P1453">
        <v>14.92</v>
      </c>
      <c r="Q1453">
        <f t="shared" si="22"/>
        <v>205.9975</v>
      </c>
      <c r="R1453">
        <v>3075.0425</v>
      </c>
      <c r="S1453" s="2">
        <v>45028</v>
      </c>
      <c r="T1453" s="2">
        <v>45035</v>
      </c>
      <c r="U1453" t="s">
        <v>37</v>
      </c>
      <c r="V1453">
        <v>12</v>
      </c>
      <c r="W1453">
        <v>4</v>
      </c>
      <c r="X1453" t="s">
        <v>45</v>
      </c>
      <c r="Y1453">
        <v>2023</v>
      </c>
      <c r="Z1453">
        <v>2</v>
      </c>
      <c r="AA1453">
        <v>15</v>
      </c>
    </row>
    <row r="1454" spans="1:27" x14ac:dyDescent="0.3">
      <c r="A1454" s="2">
        <v>45643</v>
      </c>
      <c r="B1454" t="s">
        <v>2</v>
      </c>
      <c r="C1454" t="s">
        <v>7</v>
      </c>
      <c r="D1454">
        <v>3</v>
      </c>
      <c r="E1454">
        <v>82.09</v>
      </c>
      <c r="F1454" t="s">
        <v>12</v>
      </c>
      <c r="G1454" t="s">
        <v>17</v>
      </c>
      <c r="H1454">
        <v>0.15</v>
      </c>
      <c r="I1454" t="s">
        <v>18</v>
      </c>
      <c r="J1454">
        <v>209.3295</v>
      </c>
      <c r="K1454" t="s">
        <v>25</v>
      </c>
      <c r="L1454" t="s">
        <v>31</v>
      </c>
      <c r="M1454">
        <v>1</v>
      </c>
      <c r="N1454" t="s">
        <v>1527</v>
      </c>
      <c r="O1454" t="s">
        <v>3023</v>
      </c>
      <c r="P1454">
        <v>12.63</v>
      </c>
      <c r="Q1454">
        <f t="shared" si="22"/>
        <v>69.776499999999999</v>
      </c>
      <c r="R1454">
        <v>196.6995</v>
      </c>
      <c r="S1454" s="2">
        <v>45643</v>
      </c>
      <c r="T1454" s="2">
        <v>45652</v>
      </c>
      <c r="U1454" t="s">
        <v>35</v>
      </c>
      <c r="V1454">
        <v>17</v>
      </c>
      <c r="W1454">
        <v>12</v>
      </c>
      <c r="X1454" t="s">
        <v>39</v>
      </c>
      <c r="Y1454">
        <v>2024</v>
      </c>
      <c r="Z1454">
        <v>4</v>
      </c>
      <c r="AA1454">
        <v>51</v>
      </c>
    </row>
    <row r="1455" spans="1:27" x14ac:dyDescent="0.3">
      <c r="A1455" s="2">
        <v>45512</v>
      </c>
      <c r="B1455" t="s">
        <v>1</v>
      </c>
      <c r="C1455" t="s">
        <v>9</v>
      </c>
      <c r="D1455">
        <v>10</v>
      </c>
      <c r="E1455">
        <v>285.73</v>
      </c>
      <c r="F1455" t="s">
        <v>15</v>
      </c>
      <c r="G1455" t="s">
        <v>16</v>
      </c>
      <c r="H1455">
        <v>0.15</v>
      </c>
      <c r="I1455" t="s">
        <v>18</v>
      </c>
      <c r="J1455">
        <v>2428.7049999999999</v>
      </c>
      <c r="K1455" t="s">
        <v>28</v>
      </c>
      <c r="L1455" t="s">
        <v>31</v>
      </c>
      <c r="M1455">
        <v>1</v>
      </c>
      <c r="N1455" t="s">
        <v>1528</v>
      </c>
      <c r="O1455" t="s">
        <v>3024</v>
      </c>
      <c r="P1455">
        <v>26.68</v>
      </c>
      <c r="Q1455">
        <f t="shared" si="22"/>
        <v>242.87049999999999</v>
      </c>
      <c r="R1455">
        <v>2402.0250000000001</v>
      </c>
      <c r="S1455" s="2">
        <v>45512</v>
      </c>
      <c r="T1455" s="2">
        <v>45518</v>
      </c>
      <c r="U1455" t="s">
        <v>34</v>
      </c>
      <c r="V1455">
        <v>8</v>
      </c>
      <c r="W1455">
        <v>8</v>
      </c>
      <c r="X1455" t="s">
        <v>48</v>
      </c>
      <c r="Y1455">
        <v>2024</v>
      </c>
      <c r="Z1455">
        <v>3</v>
      </c>
      <c r="AA1455">
        <v>32</v>
      </c>
    </row>
    <row r="1456" spans="1:27" x14ac:dyDescent="0.3">
      <c r="A1456" s="2">
        <v>45550</v>
      </c>
      <c r="B1456" t="s">
        <v>0</v>
      </c>
      <c r="C1456" t="s">
        <v>5</v>
      </c>
      <c r="D1456">
        <v>17</v>
      </c>
      <c r="E1456">
        <v>341.52</v>
      </c>
      <c r="F1456" t="s">
        <v>14</v>
      </c>
      <c r="G1456" t="s">
        <v>16</v>
      </c>
      <c r="H1456">
        <v>0.1</v>
      </c>
      <c r="I1456" t="s">
        <v>18</v>
      </c>
      <c r="J1456">
        <v>5225.2560000000003</v>
      </c>
      <c r="K1456" t="s">
        <v>26</v>
      </c>
      <c r="L1456" t="s">
        <v>29</v>
      </c>
      <c r="M1456">
        <v>0</v>
      </c>
      <c r="N1456" t="s">
        <v>1529</v>
      </c>
      <c r="O1456" t="s">
        <v>3025</v>
      </c>
      <c r="P1456">
        <v>16.670000000000002</v>
      </c>
      <c r="Q1456">
        <f t="shared" si="22"/>
        <v>307.36799999999999</v>
      </c>
      <c r="R1456">
        <v>5208.5860000000002</v>
      </c>
      <c r="S1456" s="2">
        <v>45550</v>
      </c>
      <c r="T1456" s="2">
        <v>45557</v>
      </c>
      <c r="U1456" t="s">
        <v>33</v>
      </c>
      <c r="V1456">
        <v>15</v>
      </c>
      <c r="W1456">
        <v>9</v>
      </c>
      <c r="X1456" t="s">
        <v>49</v>
      </c>
      <c r="Y1456">
        <v>2024</v>
      </c>
      <c r="Z1456">
        <v>3</v>
      </c>
      <c r="AA1456">
        <v>37</v>
      </c>
    </row>
    <row r="1457" spans="1:27" x14ac:dyDescent="0.3">
      <c r="A1457" s="2">
        <v>45207</v>
      </c>
      <c r="B1457" t="s">
        <v>1</v>
      </c>
      <c r="C1457" t="s">
        <v>10</v>
      </c>
      <c r="D1457">
        <v>14</v>
      </c>
      <c r="E1457">
        <v>216.4</v>
      </c>
      <c r="F1457" t="s">
        <v>15</v>
      </c>
      <c r="G1457" t="s">
        <v>16</v>
      </c>
      <c r="H1457">
        <v>0.1</v>
      </c>
      <c r="I1457" t="s">
        <v>22</v>
      </c>
      <c r="J1457">
        <v>2726.64</v>
      </c>
      <c r="K1457" t="s">
        <v>27</v>
      </c>
      <c r="L1457" t="s">
        <v>31</v>
      </c>
      <c r="M1457">
        <v>0</v>
      </c>
      <c r="N1457" t="s">
        <v>1530</v>
      </c>
      <c r="O1457" t="s">
        <v>3026</v>
      </c>
      <c r="P1457">
        <v>40.74</v>
      </c>
      <c r="Q1457">
        <f t="shared" si="22"/>
        <v>194.76</v>
      </c>
      <c r="R1457">
        <v>2685.9</v>
      </c>
      <c r="S1457" s="2">
        <v>45207</v>
      </c>
      <c r="T1457" s="2">
        <v>45209</v>
      </c>
      <c r="U1457" t="s">
        <v>34</v>
      </c>
      <c r="V1457">
        <v>8</v>
      </c>
      <c r="W1457">
        <v>10</v>
      </c>
      <c r="X1457" t="s">
        <v>43</v>
      </c>
      <c r="Y1457">
        <v>2023</v>
      </c>
      <c r="Z1457">
        <v>4</v>
      </c>
      <c r="AA1457">
        <v>40</v>
      </c>
    </row>
    <row r="1458" spans="1:27" x14ac:dyDescent="0.3">
      <c r="A1458" s="2">
        <v>45800</v>
      </c>
      <c r="B1458" t="s">
        <v>1</v>
      </c>
      <c r="C1458" t="s">
        <v>6</v>
      </c>
      <c r="D1458">
        <v>16</v>
      </c>
      <c r="E1458">
        <v>231.76</v>
      </c>
      <c r="F1458" t="s">
        <v>12</v>
      </c>
      <c r="G1458" t="s">
        <v>17</v>
      </c>
      <c r="H1458">
        <v>0.15</v>
      </c>
      <c r="I1458" t="s">
        <v>23</v>
      </c>
      <c r="J1458">
        <v>3151.9360000000001</v>
      </c>
      <c r="K1458" t="s">
        <v>24</v>
      </c>
      <c r="L1458" t="s">
        <v>31</v>
      </c>
      <c r="M1458">
        <v>1</v>
      </c>
      <c r="N1458" t="s">
        <v>1531</v>
      </c>
      <c r="O1458" t="s">
        <v>3027</v>
      </c>
      <c r="P1458">
        <v>9.42</v>
      </c>
      <c r="Q1458">
        <f t="shared" si="22"/>
        <v>196.99600000000001</v>
      </c>
      <c r="R1458">
        <v>3142.5160000000001</v>
      </c>
      <c r="S1458" s="2">
        <v>45800</v>
      </c>
      <c r="T1458" s="2">
        <v>45804</v>
      </c>
      <c r="U1458" t="s">
        <v>34</v>
      </c>
      <c r="V1458">
        <v>23</v>
      </c>
      <c r="W1458">
        <v>5</v>
      </c>
      <c r="X1458" t="s">
        <v>40</v>
      </c>
      <c r="Y1458">
        <v>2025</v>
      </c>
      <c r="Z1458">
        <v>2</v>
      </c>
      <c r="AA1458">
        <v>21</v>
      </c>
    </row>
    <row r="1459" spans="1:27" x14ac:dyDescent="0.3">
      <c r="A1459" s="2">
        <v>44928</v>
      </c>
      <c r="B1459" t="s">
        <v>1</v>
      </c>
      <c r="C1459" t="s">
        <v>5</v>
      </c>
      <c r="D1459">
        <v>7</v>
      </c>
      <c r="E1459">
        <v>61.47</v>
      </c>
      <c r="F1459" t="s">
        <v>14</v>
      </c>
      <c r="G1459" t="s">
        <v>17</v>
      </c>
      <c r="H1459">
        <v>0.15</v>
      </c>
      <c r="I1459" t="s">
        <v>18</v>
      </c>
      <c r="J1459">
        <v>365.74650000000003</v>
      </c>
      <c r="K1459" t="s">
        <v>24</v>
      </c>
      <c r="L1459" t="s">
        <v>29</v>
      </c>
      <c r="M1459">
        <v>0</v>
      </c>
      <c r="N1459" t="s">
        <v>1532</v>
      </c>
      <c r="O1459" t="s">
        <v>3028</v>
      </c>
      <c r="P1459">
        <v>14.44</v>
      </c>
      <c r="Q1459">
        <f t="shared" si="22"/>
        <v>52.249500000000005</v>
      </c>
      <c r="R1459">
        <v>351.30650000000003</v>
      </c>
      <c r="S1459" s="2">
        <v>44928</v>
      </c>
      <c r="T1459" s="2">
        <v>44938</v>
      </c>
      <c r="U1459" t="s">
        <v>34</v>
      </c>
      <c r="V1459">
        <v>2</v>
      </c>
      <c r="W1459">
        <v>1</v>
      </c>
      <c r="X1459" t="s">
        <v>42</v>
      </c>
      <c r="Y1459">
        <v>2023</v>
      </c>
      <c r="Z1459">
        <v>1</v>
      </c>
      <c r="AA1459">
        <v>1</v>
      </c>
    </row>
    <row r="1460" spans="1:27" x14ac:dyDescent="0.3">
      <c r="A1460" s="2">
        <v>45218</v>
      </c>
      <c r="B1460" t="s">
        <v>2</v>
      </c>
      <c r="C1460" t="s">
        <v>7</v>
      </c>
      <c r="D1460">
        <v>15</v>
      </c>
      <c r="E1460">
        <v>434.44</v>
      </c>
      <c r="F1460" t="s">
        <v>12</v>
      </c>
      <c r="G1460" t="s">
        <v>16</v>
      </c>
      <c r="H1460">
        <v>0</v>
      </c>
      <c r="I1460" t="s">
        <v>23</v>
      </c>
      <c r="J1460">
        <v>6516.6</v>
      </c>
      <c r="K1460" t="s">
        <v>27</v>
      </c>
      <c r="L1460" t="s">
        <v>32</v>
      </c>
      <c r="M1460">
        <v>1</v>
      </c>
      <c r="N1460" t="s">
        <v>1533</v>
      </c>
      <c r="O1460" t="s">
        <v>3029</v>
      </c>
      <c r="P1460">
        <v>33.86</v>
      </c>
      <c r="Q1460">
        <f t="shared" si="22"/>
        <v>434.44</v>
      </c>
      <c r="R1460">
        <v>6482.7400000000007</v>
      </c>
      <c r="S1460" s="2">
        <v>45218</v>
      </c>
      <c r="T1460" s="2">
        <v>45227</v>
      </c>
      <c r="U1460" t="s">
        <v>35</v>
      </c>
      <c r="V1460">
        <v>19</v>
      </c>
      <c r="W1460">
        <v>10</v>
      </c>
      <c r="X1460" t="s">
        <v>43</v>
      </c>
      <c r="Y1460">
        <v>2023</v>
      </c>
      <c r="Z1460">
        <v>4</v>
      </c>
      <c r="AA1460">
        <v>42</v>
      </c>
    </row>
    <row r="1461" spans="1:27" x14ac:dyDescent="0.3">
      <c r="A1461" s="2">
        <v>45772</v>
      </c>
      <c r="B1461" t="s">
        <v>4</v>
      </c>
      <c r="C1461" t="s">
        <v>8</v>
      </c>
      <c r="D1461">
        <v>16</v>
      </c>
      <c r="E1461">
        <v>484.01</v>
      </c>
      <c r="F1461" t="s">
        <v>13</v>
      </c>
      <c r="G1461" t="s">
        <v>16</v>
      </c>
      <c r="H1461">
        <v>0</v>
      </c>
      <c r="I1461" t="s">
        <v>19</v>
      </c>
      <c r="J1461">
        <v>7744.16</v>
      </c>
      <c r="K1461" t="s">
        <v>24</v>
      </c>
      <c r="L1461" t="s">
        <v>30</v>
      </c>
      <c r="M1461">
        <v>1</v>
      </c>
      <c r="N1461" t="s">
        <v>1534</v>
      </c>
      <c r="O1461" t="s">
        <v>3030</v>
      </c>
      <c r="P1461">
        <v>9.65</v>
      </c>
      <c r="Q1461">
        <f t="shared" si="22"/>
        <v>484.01</v>
      </c>
      <c r="R1461">
        <v>7734.51</v>
      </c>
      <c r="S1461" s="2">
        <v>45772</v>
      </c>
      <c r="T1461" s="2">
        <v>45778</v>
      </c>
      <c r="U1461" t="s">
        <v>37</v>
      </c>
      <c r="V1461">
        <v>25</v>
      </c>
      <c r="W1461">
        <v>4</v>
      </c>
      <c r="X1461" t="s">
        <v>45</v>
      </c>
      <c r="Y1461">
        <v>2025</v>
      </c>
      <c r="Z1461">
        <v>2</v>
      </c>
      <c r="AA1461">
        <v>17</v>
      </c>
    </row>
    <row r="1462" spans="1:27" x14ac:dyDescent="0.3">
      <c r="A1462" s="2">
        <v>45382</v>
      </c>
      <c r="B1462" t="s">
        <v>3</v>
      </c>
      <c r="C1462" t="s">
        <v>7</v>
      </c>
      <c r="D1462">
        <v>2</v>
      </c>
      <c r="E1462">
        <v>55.08</v>
      </c>
      <c r="F1462" t="s">
        <v>14</v>
      </c>
      <c r="G1462" t="s">
        <v>16</v>
      </c>
      <c r="H1462">
        <v>0</v>
      </c>
      <c r="I1462" t="s">
        <v>20</v>
      </c>
      <c r="J1462">
        <v>110.16</v>
      </c>
      <c r="K1462" t="s">
        <v>26</v>
      </c>
      <c r="L1462" t="s">
        <v>29</v>
      </c>
      <c r="M1462">
        <v>0</v>
      </c>
      <c r="N1462" t="s">
        <v>1535</v>
      </c>
      <c r="O1462" t="s">
        <v>3031</v>
      </c>
      <c r="P1462">
        <v>9.85</v>
      </c>
      <c r="Q1462">
        <f t="shared" si="22"/>
        <v>55.08</v>
      </c>
      <c r="R1462">
        <v>100.31</v>
      </c>
      <c r="S1462" s="2">
        <v>45382</v>
      </c>
      <c r="T1462" s="2">
        <v>45386</v>
      </c>
      <c r="U1462" t="s">
        <v>36</v>
      </c>
      <c r="V1462">
        <v>31</v>
      </c>
      <c r="W1462">
        <v>3</v>
      </c>
      <c r="X1462" t="s">
        <v>44</v>
      </c>
      <c r="Y1462">
        <v>2024</v>
      </c>
      <c r="Z1462">
        <v>1</v>
      </c>
      <c r="AA1462">
        <v>13</v>
      </c>
    </row>
    <row r="1463" spans="1:27" x14ac:dyDescent="0.3">
      <c r="A1463" s="2">
        <v>45688</v>
      </c>
      <c r="B1463" t="s">
        <v>2</v>
      </c>
      <c r="C1463" t="s">
        <v>11</v>
      </c>
      <c r="D1463">
        <v>13</v>
      </c>
      <c r="E1463">
        <v>223.44</v>
      </c>
      <c r="F1463" t="s">
        <v>12</v>
      </c>
      <c r="G1463" t="s">
        <v>17</v>
      </c>
      <c r="H1463">
        <v>0.15</v>
      </c>
      <c r="I1463" t="s">
        <v>21</v>
      </c>
      <c r="J1463">
        <v>2469.0120000000002</v>
      </c>
      <c r="K1463" t="s">
        <v>26</v>
      </c>
      <c r="L1463" t="s">
        <v>32</v>
      </c>
      <c r="M1463">
        <v>1</v>
      </c>
      <c r="N1463" t="s">
        <v>1536</v>
      </c>
      <c r="O1463" t="s">
        <v>3032</v>
      </c>
      <c r="P1463">
        <v>38.46</v>
      </c>
      <c r="Q1463">
        <f t="shared" si="22"/>
        <v>189.92400000000001</v>
      </c>
      <c r="R1463">
        <v>2430.5520000000001</v>
      </c>
      <c r="S1463" s="2">
        <v>45688</v>
      </c>
      <c r="T1463" s="2">
        <v>45695</v>
      </c>
      <c r="U1463" t="s">
        <v>35</v>
      </c>
      <c r="V1463">
        <v>31</v>
      </c>
      <c r="W1463">
        <v>1</v>
      </c>
      <c r="X1463" t="s">
        <v>42</v>
      </c>
      <c r="Y1463">
        <v>2025</v>
      </c>
      <c r="Z1463">
        <v>1</v>
      </c>
      <c r="AA1463">
        <v>5</v>
      </c>
    </row>
    <row r="1464" spans="1:27" x14ac:dyDescent="0.3">
      <c r="A1464" s="2">
        <v>45743</v>
      </c>
      <c r="B1464" t="s">
        <v>0</v>
      </c>
      <c r="C1464" t="s">
        <v>6</v>
      </c>
      <c r="D1464">
        <v>11</v>
      </c>
      <c r="E1464">
        <v>548.08000000000004</v>
      </c>
      <c r="F1464" t="s">
        <v>15</v>
      </c>
      <c r="G1464" t="s">
        <v>16</v>
      </c>
      <c r="H1464">
        <v>0.05</v>
      </c>
      <c r="I1464" t="s">
        <v>18</v>
      </c>
      <c r="J1464">
        <v>5727.4359999999997</v>
      </c>
      <c r="K1464" t="s">
        <v>28</v>
      </c>
      <c r="L1464" t="s">
        <v>32</v>
      </c>
      <c r="M1464">
        <v>0</v>
      </c>
      <c r="N1464" t="s">
        <v>1537</v>
      </c>
      <c r="O1464" t="s">
        <v>3033</v>
      </c>
      <c r="P1464">
        <v>25.82</v>
      </c>
      <c r="Q1464">
        <f t="shared" si="22"/>
        <v>520.67599999999993</v>
      </c>
      <c r="R1464">
        <v>5701.616</v>
      </c>
      <c r="S1464" s="2">
        <v>45743</v>
      </c>
      <c r="T1464" s="2">
        <v>45753</v>
      </c>
      <c r="U1464" t="s">
        <v>33</v>
      </c>
      <c r="V1464">
        <v>27</v>
      </c>
      <c r="W1464">
        <v>3</v>
      </c>
      <c r="X1464" t="s">
        <v>44</v>
      </c>
      <c r="Y1464">
        <v>2025</v>
      </c>
      <c r="Z1464">
        <v>1</v>
      </c>
      <c r="AA1464">
        <v>13</v>
      </c>
    </row>
    <row r="1465" spans="1:27" x14ac:dyDescent="0.3">
      <c r="A1465" s="2">
        <v>45676</v>
      </c>
      <c r="B1465" t="s">
        <v>3</v>
      </c>
      <c r="C1465" t="s">
        <v>7</v>
      </c>
      <c r="D1465">
        <v>11</v>
      </c>
      <c r="E1465">
        <v>133.63999999999999</v>
      </c>
      <c r="F1465" t="s">
        <v>15</v>
      </c>
      <c r="G1465" t="s">
        <v>16</v>
      </c>
      <c r="H1465">
        <v>0</v>
      </c>
      <c r="I1465" t="s">
        <v>22</v>
      </c>
      <c r="J1465">
        <v>1470.04</v>
      </c>
      <c r="K1465" t="s">
        <v>27</v>
      </c>
      <c r="L1465" t="s">
        <v>32</v>
      </c>
      <c r="M1465">
        <v>1</v>
      </c>
      <c r="N1465" t="s">
        <v>1538</v>
      </c>
      <c r="O1465" t="s">
        <v>3034</v>
      </c>
      <c r="P1465">
        <v>30.18</v>
      </c>
      <c r="Q1465">
        <f t="shared" si="22"/>
        <v>133.63999999999999</v>
      </c>
      <c r="R1465">
        <v>1439.86</v>
      </c>
      <c r="S1465" s="2">
        <v>45676</v>
      </c>
      <c r="T1465" s="2">
        <v>45681</v>
      </c>
      <c r="U1465" t="s">
        <v>36</v>
      </c>
      <c r="V1465">
        <v>19</v>
      </c>
      <c r="W1465">
        <v>1</v>
      </c>
      <c r="X1465" t="s">
        <v>42</v>
      </c>
      <c r="Y1465">
        <v>2025</v>
      </c>
      <c r="Z1465">
        <v>1</v>
      </c>
      <c r="AA1465">
        <v>3</v>
      </c>
    </row>
    <row r="1466" spans="1:27" x14ac:dyDescent="0.3">
      <c r="A1466" s="2">
        <v>45428</v>
      </c>
      <c r="B1466" t="s">
        <v>2</v>
      </c>
      <c r="C1466" t="s">
        <v>8</v>
      </c>
      <c r="D1466">
        <v>19</v>
      </c>
      <c r="E1466">
        <v>368.85</v>
      </c>
      <c r="F1466" t="s">
        <v>14</v>
      </c>
      <c r="G1466" t="s">
        <v>17</v>
      </c>
      <c r="H1466">
        <v>0.1</v>
      </c>
      <c r="I1466" t="s">
        <v>23</v>
      </c>
      <c r="J1466">
        <v>6307.3350000000009</v>
      </c>
      <c r="K1466" t="s">
        <v>25</v>
      </c>
      <c r="L1466" t="s">
        <v>29</v>
      </c>
      <c r="M1466">
        <v>0</v>
      </c>
      <c r="N1466" t="s">
        <v>1539</v>
      </c>
      <c r="O1466" t="s">
        <v>3035</v>
      </c>
      <c r="P1466">
        <v>35.369999999999997</v>
      </c>
      <c r="Q1466">
        <f t="shared" si="22"/>
        <v>331.96500000000003</v>
      </c>
      <c r="R1466">
        <v>6271.9650000000011</v>
      </c>
      <c r="S1466" s="2">
        <v>45428</v>
      </c>
      <c r="T1466" s="2">
        <v>45433</v>
      </c>
      <c r="U1466" t="s">
        <v>35</v>
      </c>
      <c r="V1466">
        <v>16</v>
      </c>
      <c r="W1466">
        <v>5</v>
      </c>
      <c r="X1466" t="s">
        <v>40</v>
      </c>
      <c r="Y1466">
        <v>2024</v>
      </c>
      <c r="Z1466">
        <v>2</v>
      </c>
      <c r="AA1466">
        <v>20</v>
      </c>
    </row>
    <row r="1467" spans="1:27" x14ac:dyDescent="0.3">
      <c r="A1467" s="2">
        <v>45173</v>
      </c>
      <c r="B1467" t="s">
        <v>3</v>
      </c>
      <c r="C1467" t="s">
        <v>8</v>
      </c>
      <c r="D1467">
        <v>14</v>
      </c>
      <c r="E1467">
        <v>115.98</v>
      </c>
      <c r="F1467" t="s">
        <v>13</v>
      </c>
      <c r="G1467" t="s">
        <v>16</v>
      </c>
      <c r="H1467">
        <v>0</v>
      </c>
      <c r="I1467" t="s">
        <v>23</v>
      </c>
      <c r="J1467">
        <v>1623.72</v>
      </c>
      <c r="K1467" t="s">
        <v>27</v>
      </c>
      <c r="L1467" t="s">
        <v>32</v>
      </c>
      <c r="M1467">
        <v>0</v>
      </c>
      <c r="N1467" t="s">
        <v>1540</v>
      </c>
      <c r="O1467" t="s">
        <v>3036</v>
      </c>
      <c r="P1467">
        <v>31.85</v>
      </c>
      <c r="Q1467">
        <f t="shared" si="22"/>
        <v>115.98</v>
      </c>
      <c r="R1467">
        <v>1591.8700000000001</v>
      </c>
      <c r="S1467" s="2">
        <v>45173</v>
      </c>
      <c r="T1467" s="2">
        <v>45175</v>
      </c>
      <c r="U1467" t="s">
        <v>36</v>
      </c>
      <c r="V1467">
        <v>4</v>
      </c>
      <c r="W1467">
        <v>9</v>
      </c>
      <c r="X1467" t="s">
        <v>49</v>
      </c>
      <c r="Y1467">
        <v>2023</v>
      </c>
      <c r="Z1467">
        <v>3</v>
      </c>
      <c r="AA1467">
        <v>36</v>
      </c>
    </row>
    <row r="1468" spans="1:27" x14ac:dyDescent="0.3">
      <c r="A1468" s="2">
        <v>45277</v>
      </c>
      <c r="B1468" t="s">
        <v>1</v>
      </c>
      <c r="C1468" t="s">
        <v>9</v>
      </c>
      <c r="D1468">
        <v>9</v>
      </c>
      <c r="E1468">
        <v>55.04</v>
      </c>
      <c r="F1468" t="s">
        <v>12</v>
      </c>
      <c r="G1468" t="s">
        <v>17</v>
      </c>
      <c r="H1468">
        <v>0.15</v>
      </c>
      <c r="I1468" t="s">
        <v>19</v>
      </c>
      <c r="J1468">
        <v>421.05599999999998</v>
      </c>
      <c r="K1468" t="s">
        <v>24</v>
      </c>
      <c r="L1468" t="s">
        <v>32</v>
      </c>
      <c r="M1468">
        <v>0</v>
      </c>
      <c r="N1468" t="s">
        <v>1541</v>
      </c>
      <c r="O1468" t="s">
        <v>3037</v>
      </c>
      <c r="P1468">
        <v>31.09</v>
      </c>
      <c r="Q1468">
        <f t="shared" si="22"/>
        <v>46.783999999999999</v>
      </c>
      <c r="R1468">
        <v>389.96600000000001</v>
      </c>
      <c r="S1468" s="2">
        <v>45277</v>
      </c>
      <c r="T1468" s="2">
        <v>45283</v>
      </c>
      <c r="U1468" t="s">
        <v>34</v>
      </c>
      <c r="V1468">
        <v>17</v>
      </c>
      <c r="W1468">
        <v>12</v>
      </c>
      <c r="X1468" t="s">
        <v>39</v>
      </c>
      <c r="Y1468">
        <v>2023</v>
      </c>
      <c r="Z1468">
        <v>4</v>
      </c>
      <c r="AA1468">
        <v>50</v>
      </c>
    </row>
    <row r="1469" spans="1:27" x14ac:dyDescent="0.3">
      <c r="A1469" s="2">
        <v>45306</v>
      </c>
      <c r="B1469" t="s">
        <v>3</v>
      </c>
      <c r="C1469" t="s">
        <v>9</v>
      </c>
      <c r="D1469">
        <v>4</v>
      </c>
      <c r="E1469">
        <v>159.54</v>
      </c>
      <c r="F1469" t="s">
        <v>13</v>
      </c>
      <c r="G1469" t="s">
        <v>16</v>
      </c>
      <c r="H1469">
        <v>0.05</v>
      </c>
      <c r="I1469" t="s">
        <v>19</v>
      </c>
      <c r="J1469">
        <v>606.25199999999995</v>
      </c>
      <c r="K1469" t="s">
        <v>26</v>
      </c>
      <c r="L1469" t="s">
        <v>29</v>
      </c>
      <c r="M1469">
        <v>0</v>
      </c>
      <c r="N1469" t="s">
        <v>1542</v>
      </c>
      <c r="O1469" t="s">
        <v>3038</v>
      </c>
      <c r="P1469">
        <v>32.36</v>
      </c>
      <c r="Q1469">
        <f t="shared" si="22"/>
        <v>151.56299999999999</v>
      </c>
      <c r="R1469">
        <v>573.89199999999994</v>
      </c>
      <c r="S1469" s="2">
        <v>45306</v>
      </c>
      <c r="T1469" s="2">
        <v>45312</v>
      </c>
      <c r="U1469" t="s">
        <v>36</v>
      </c>
      <c r="V1469">
        <v>15</v>
      </c>
      <c r="W1469">
        <v>1</v>
      </c>
      <c r="X1469" t="s">
        <v>42</v>
      </c>
      <c r="Y1469">
        <v>2024</v>
      </c>
      <c r="Z1469">
        <v>1</v>
      </c>
      <c r="AA1469">
        <v>3</v>
      </c>
    </row>
    <row r="1470" spans="1:27" x14ac:dyDescent="0.3">
      <c r="A1470" s="2">
        <v>45645</v>
      </c>
      <c r="B1470" t="s">
        <v>3</v>
      </c>
      <c r="C1470" t="s">
        <v>5</v>
      </c>
      <c r="D1470">
        <v>15</v>
      </c>
      <c r="E1470">
        <v>150.15</v>
      </c>
      <c r="F1470" t="s">
        <v>14</v>
      </c>
      <c r="G1470" t="s">
        <v>17</v>
      </c>
      <c r="H1470">
        <v>0</v>
      </c>
      <c r="I1470" t="s">
        <v>20</v>
      </c>
      <c r="J1470">
        <v>2252.25</v>
      </c>
      <c r="K1470" t="s">
        <v>24</v>
      </c>
      <c r="L1470" t="s">
        <v>31</v>
      </c>
      <c r="M1470">
        <v>0</v>
      </c>
      <c r="N1470" t="s">
        <v>1543</v>
      </c>
      <c r="O1470" t="s">
        <v>3039</v>
      </c>
      <c r="P1470">
        <v>35.94</v>
      </c>
      <c r="Q1470">
        <f t="shared" si="22"/>
        <v>150.15</v>
      </c>
      <c r="R1470">
        <v>2216.31</v>
      </c>
      <c r="S1470" s="2">
        <v>45645</v>
      </c>
      <c r="T1470" s="2">
        <v>45655</v>
      </c>
      <c r="U1470" t="s">
        <v>36</v>
      </c>
      <c r="V1470">
        <v>19</v>
      </c>
      <c r="W1470">
        <v>12</v>
      </c>
      <c r="X1470" t="s">
        <v>39</v>
      </c>
      <c r="Y1470">
        <v>2024</v>
      </c>
      <c r="Z1470">
        <v>4</v>
      </c>
      <c r="AA1470">
        <v>51</v>
      </c>
    </row>
    <row r="1471" spans="1:27" x14ac:dyDescent="0.3">
      <c r="A1471" s="2">
        <v>45276</v>
      </c>
      <c r="B1471" t="s">
        <v>2</v>
      </c>
      <c r="C1471" t="s">
        <v>8</v>
      </c>
      <c r="D1471">
        <v>9</v>
      </c>
      <c r="E1471">
        <v>57.93</v>
      </c>
      <c r="F1471" t="s">
        <v>14</v>
      </c>
      <c r="G1471" t="s">
        <v>16</v>
      </c>
      <c r="H1471">
        <v>0</v>
      </c>
      <c r="I1471" t="s">
        <v>23</v>
      </c>
      <c r="J1471">
        <v>521.37</v>
      </c>
      <c r="K1471" t="s">
        <v>25</v>
      </c>
      <c r="L1471" t="s">
        <v>29</v>
      </c>
      <c r="M1471">
        <v>1</v>
      </c>
      <c r="N1471" t="s">
        <v>1544</v>
      </c>
      <c r="O1471" t="s">
        <v>3040</v>
      </c>
      <c r="P1471">
        <v>28.73</v>
      </c>
      <c r="Q1471">
        <f t="shared" si="22"/>
        <v>57.93</v>
      </c>
      <c r="R1471">
        <v>492.64</v>
      </c>
      <c r="S1471" s="2">
        <v>45276</v>
      </c>
      <c r="T1471" s="2">
        <v>45278</v>
      </c>
      <c r="U1471" t="s">
        <v>35</v>
      </c>
      <c r="V1471">
        <v>16</v>
      </c>
      <c r="W1471">
        <v>12</v>
      </c>
      <c r="X1471" t="s">
        <v>39</v>
      </c>
      <c r="Y1471">
        <v>2023</v>
      </c>
      <c r="Z1471">
        <v>4</v>
      </c>
      <c r="AA1471">
        <v>50</v>
      </c>
    </row>
    <row r="1472" spans="1:27" x14ac:dyDescent="0.3">
      <c r="A1472" s="2">
        <v>45791</v>
      </c>
      <c r="B1472" t="s">
        <v>3</v>
      </c>
      <c r="C1472" t="s">
        <v>5</v>
      </c>
      <c r="D1472">
        <v>4</v>
      </c>
      <c r="E1472">
        <v>438.58</v>
      </c>
      <c r="F1472" t="s">
        <v>15</v>
      </c>
      <c r="G1472" t="s">
        <v>17</v>
      </c>
      <c r="H1472">
        <v>0.05</v>
      </c>
      <c r="I1472" t="s">
        <v>19</v>
      </c>
      <c r="J1472">
        <v>1666.604</v>
      </c>
      <c r="K1472" t="s">
        <v>24</v>
      </c>
      <c r="L1472" t="s">
        <v>31</v>
      </c>
      <c r="M1472">
        <v>0</v>
      </c>
      <c r="N1472" t="s">
        <v>1545</v>
      </c>
      <c r="O1472" t="s">
        <v>3041</v>
      </c>
      <c r="P1472">
        <v>5.0999999999999996</v>
      </c>
      <c r="Q1472">
        <f t="shared" si="22"/>
        <v>416.65100000000001</v>
      </c>
      <c r="R1472">
        <v>1661.5040000000001</v>
      </c>
      <c r="S1472" s="2">
        <v>45791</v>
      </c>
      <c r="T1472" s="2">
        <v>45795</v>
      </c>
      <c r="U1472" t="s">
        <v>36</v>
      </c>
      <c r="V1472">
        <v>14</v>
      </c>
      <c r="W1472">
        <v>5</v>
      </c>
      <c r="X1472" t="s">
        <v>40</v>
      </c>
      <c r="Y1472">
        <v>2025</v>
      </c>
      <c r="Z1472">
        <v>2</v>
      </c>
      <c r="AA1472">
        <v>20</v>
      </c>
    </row>
    <row r="1473" spans="1:27" x14ac:dyDescent="0.3">
      <c r="A1473" s="2">
        <v>45107</v>
      </c>
      <c r="B1473" t="s">
        <v>1</v>
      </c>
      <c r="C1473" t="s">
        <v>9</v>
      </c>
      <c r="D1473">
        <v>6</v>
      </c>
      <c r="E1473">
        <v>536.24</v>
      </c>
      <c r="F1473" t="s">
        <v>15</v>
      </c>
      <c r="G1473" t="s">
        <v>17</v>
      </c>
      <c r="H1473">
        <v>0</v>
      </c>
      <c r="I1473" t="s">
        <v>22</v>
      </c>
      <c r="J1473">
        <v>3217.44</v>
      </c>
      <c r="K1473" t="s">
        <v>28</v>
      </c>
      <c r="L1473" t="s">
        <v>31</v>
      </c>
      <c r="M1473">
        <v>0</v>
      </c>
      <c r="N1473" t="s">
        <v>1546</v>
      </c>
      <c r="O1473" t="s">
        <v>3042</v>
      </c>
      <c r="P1473">
        <v>35.32</v>
      </c>
      <c r="Q1473">
        <f t="shared" si="22"/>
        <v>536.24</v>
      </c>
      <c r="R1473">
        <v>3182.12</v>
      </c>
      <c r="S1473" s="2">
        <v>45107</v>
      </c>
      <c r="T1473" s="2">
        <v>45109</v>
      </c>
      <c r="U1473" t="s">
        <v>34</v>
      </c>
      <c r="V1473">
        <v>30</v>
      </c>
      <c r="W1473">
        <v>6</v>
      </c>
      <c r="X1473" t="s">
        <v>41</v>
      </c>
      <c r="Y1473">
        <v>2023</v>
      </c>
      <c r="Z1473">
        <v>2</v>
      </c>
      <c r="AA1473">
        <v>26</v>
      </c>
    </row>
    <row r="1474" spans="1:27" x14ac:dyDescent="0.3">
      <c r="A1474" s="2">
        <v>45838</v>
      </c>
      <c r="B1474" t="s">
        <v>1</v>
      </c>
      <c r="C1474" t="s">
        <v>6</v>
      </c>
      <c r="D1474">
        <v>20</v>
      </c>
      <c r="E1474">
        <v>444.77</v>
      </c>
      <c r="F1474" t="s">
        <v>12</v>
      </c>
      <c r="G1474" t="s">
        <v>16</v>
      </c>
      <c r="H1474">
        <v>0.1</v>
      </c>
      <c r="I1474" t="s">
        <v>22</v>
      </c>
      <c r="J1474">
        <v>8005.86</v>
      </c>
      <c r="K1474" t="s">
        <v>24</v>
      </c>
      <c r="L1474" t="s">
        <v>32</v>
      </c>
      <c r="M1474">
        <v>1</v>
      </c>
      <c r="N1474" t="s">
        <v>1547</v>
      </c>
      <c r="O1474" t="s">
        <v>3043</v>
      </c>
      <c r="P1474">
        <v>20.05</v>
      </c>
      <c r="Q1474">
        <f t="shared" si="22"/>
        <v>400.29300000000001</v>
      </c>
      <c r="R1474">
        <v>7985.8099999999995</v>
      </c>
      <c r="S1474" s="2">
        <v>45838</v>
      </c>
      <c r="T1474" s="2">
        <v>45845</v>
      </c>
      <c r="U1474" t="s">
        <v>34</v>
      </c>
      <c r="V1474">
        <v>30</v>
      </c>
      <c r="W1474">
        <v>6</v>
      </c>
      <c r="X1474" t="s">
        <v>41</v>
      </c>
      <c r="Y1474">
        <v>2025</v>
      </c>
      <c r="Z1474">
        <v>2</v>
      </c>
      <c r="AA1474">
        <v>27</v>
      </c>
    </row>
    <row r="1475" spans="1:27" x14ac:dyDescent="0.3">
      <c r="A1475" s="2">
        <v>45730</v>
      </c>
      <c r="B1475" t="s">
        <v>3</v>
      </c>
      <c r="C1475" t="s">
        <v>11</v>
      </c>
      <c r="D1475">
        <v>10</v>
      </c>
      <c r="E1475">
        <v>212.1</v>
      </c>
      <c r="F1475" t="s">
        <v>12</v>
      </c>
      <c r="G1475" t="s">
        <v>17</v>
      </c>
      <c r="H1475">
        <v>0.15</v>
      </c>
      <c r="I1475" t="s">
        <v>18</v>
      </c>
      <c r="J1475">
        <v>1802.85</v>
      </c>
      <c r="K1475" t="s">
        <v>25</v>
      </c>
      <c r="L1475" t="s">
        <v>31</v>
      </c>
      <c r="M1475">
        <v>0</v>
      </c>
      <c r="N1475" t="s">
        <v>1548</v>
      </c>
      <c r="O1475" t="s">
        <v>3044</v>
      </c>
      <c r="P1475">
        <v>47.93</v>
      </c>
      <c r="Q1475">
        <f t="shared" ref="Q1475:Q1501" si="23">J1475/D1475</f>
        <v>180.285</v>
      </c>
      <c r="R1475">
        <v>1754.9199999999998</v>
      </c>
      <c r="S1475" s="2">
        <v>45730</v>
      </c>
      <c r="T1475" s="2">
        <v>45738</v>
      </c>
      <c r="U1475" t="s">
        <v>36</v>
      </c>
      <c r="V1475">
        <v>14</v>
      </c>
      <c r="W1475">
        <v>3</v>
      </c>
      <c r="X1475" t="s">
        <v>44</v>
      </c>
      <c r="Y1475">
        <v>2025</v>
      </c>
      <c r="Z1475">
        <v>1</v>
      </c>
      <c r="AA1475">
        <v>11</v>
      </c>
    </row>
    <row r="1476" spans="1:27" x14ac:dyDescent="0.3">
      <c r="A1476" s="2">
        <v>45034</v>
      </c>
      <c r="B1476" t="s">
        <v>1</v>
      </c>
      <c r="C1476" t="s">
        <v>6</v>
      </c>
      <c r="D1476">
        <v>9</v>
      </c>
      <c r="E1476">
        <v>509.44</v>
      </c>
      <c r="F1476" t="s">
        <v>12</v>
      </c>
      <c r="G1476" t="s">
        <v>17</v>
      </c>
      <c r="H1476">
        <v>0.15</v>
      </c>
      <c r="I1476" t="s">
        <v>18</v>
      </c>
      <c r="J1476">
        <v>3897.2159999999999</v>
      </c>
      <c r="K1476" t="s">
        <v>26</v>
      </c>
      <c r="L1476" t="s">
        <v>30</v>
      </c>
      <c r="M1476">
        <v>0</v>
      </c>
      <c r="N1476" t="s">
        <v>1549</v>
      </c>
      <c r="O1476" t="s">
        <v>3045</v>
      </c>
      <c r="P1476">
        <v>13</v>
      </c>
      <c r="Q1476">
        <f t="shared" si="23"/>
        <v>433.024</v>
      </c>
      <c r="R1476">
        <v>3884.2159999999999</v>
      </c>
      <c r="S1476" s="2">
        <v>45034</v>
      </c>
      <c r="T1476" s="2">
        <v>45043</v>
      </c>
      <c r="U1476" t="s">
        <v>34</v>
      </c>
      <c r="V1476">
        <v>18</v>
      </c>
      <c r="W1476">
        <v>4</v>
      </c>
      <c r="X1476" t="s">
        <v>45</v>
      </c>
      <c r="Y1476">
        <v>2023</v>
      </c>
      <c r="Z1476">
        <v>2</v>
      </c>
      <c r="AA1476">
        <v>16</v>
      </c>
    </row>
    <row r="1477" spans="1:27" x14ac:dyDescent="0.3">
      <c r="A1477" s="2">
        <v>45546</v>
      </c>
      <c r="B1477" t="s">
        <v>4</v>
      </c>
      <c r="C1477" t="s">
        <v>9</v>
      </c>
      <c r="D1477">
        <v>8</v>
      </c>
      <c r="E1477">
        <v>236.17</v>
      </c>
      <c r="F1477" t="s">
        <v>14</v>
      </c>
      <c r="G1477" t="s">
        <v>16</v>
      </c>
      <c r="H1477">
        <v>0.15</v>
      </c>
      <c r="I1477" t="s">
        <v>20</v>
      </c>
      <c r="J1477">
        <v>1605.9559999999999</v>
      </c>
      <c r="K1477" t="s">
        <v>28</v>
      </c>
      <c r="L1477" t="s">
        <v>31</v>
      </c>
      <c r="M1477">
        <v>0</v>
      </c>
      <c r="N1477" t="s">
        <v>1550</v>
      </c>
      <c r="O1477" t="s">
        <v>3046</v>
      </c>
      <c r="P1477">
        <v>22.88</v>
      </c>
      <c r="Q1477">
        <f t="shared" si="23"/>
        <v>200.74449999999999</v>
      </c>
      <c r="R1477">
        <v>1583.0759999999998</v>
      </c>
      <c r="S1477" s="2">
        <v>45546</v>
      </c>
      <c r="T1477" s="2">
        <v>45554</v>
      </c>
      <c r="U1477" t="s">
        <v>37</v>
      </c>
      <c r="V1477">
        <v>11</v>
      </c>
      <c r="W1477">
        <v>9</v>
      </c>
      <c r="X1477" t="s">
        <v>49</v>
      </c>
      <c r="Y1477">
        <v>2024</v>
      </c>
      <c r="Z1477">
        <v>3</v>
      </c>
      <c r="AA1477">
        <v>37</v>
      </c>
    </row>
    <row r="1478" spans="1:27" x14ac:dyDescent="0.3">
      <c r="A1478" s="2">
        <v>45251</v>
      </c>
      <c r="B1478" t="s">
        <v>3</v>
      </c>
      <c r="C1478" t="s">
        <v>11</v>
      </c>
      <c r="D1478">
        <v>1</v>
      </c>
      <c r="E1478">
        <v>147.4</v>
      </c>
      <c r="F1478" t="s">
        <v>15</v>
      </c>
      <c r="G1478" t="s">
        <v>17</v>
      </c>
      <c r="H1478">
        <v>0</v>
      </c>
      <c r="I1478" t="s">
        <v>21</v>
      </c>
      <c r="J1478">
        <v>147.4</v>
      </c>
      <c r="K1478" t="s">
        <v>28</v>
      </c>
      <c r="L1478" t="s">
        <v>30</v>
      </c>
      <c r="M1478">
        <v>1</v>
      </c>
      <c r="N1478" t="s">
        <v>1551</v>
      </c>
      <c r="O1478" t="s">
        <v>3047</v>
      </c>
      <c r="P1478">
        <v>40.47</v>
      </c>
      <c r="Q1478">
        <f t="shared" si="23"/>
        <v>147.4</v>
      </c>
      <c r="R1478">
        <v>106.93</v>
      </c>
      <c r="S1478" s="2">
        <v>45251</v>
      </c>
      <c r="T1478" s="2">
        <v>45258</v>
      </c>
      <c r="U1478" t="s">
        <v>36</v>
      </c>
      <c r="V1478">
        <v>21</v>
      </c>
      <c r="W1478">
        <v>11</v>
      </c>
      <c r="X1478" t="s">
        <v>47</v>
      </c>
      <c r="Y1478">
        <v>2023</v>
      </c>
      <c r="Z1478">
        <v>4</v>
      </c>
      <c r="AA1478">
        <v>47</v>
      </c>
    </row>
    <row r="1479" spans="1:27" x14ac:dyDescent="0.3">
      <c r="A1479" s="2">
        <v>45351</v>
      </c>
      <c r="B1479" t="s">
        <v>4</v>
      </c>
      <c r="C1479" t="s">
        <v>10</v>
      </c>
      <c r="D1479">
        <v>8</v>
      </c>
      <c r="E1479">
        <v>279.74</v>
      </c>
      <c r="F1479" t="s">
        <v>12</v>
      </c>
      <c r="G1479" t="s">
        <v>17</v>
      </c>
      <c r="H1479">
        <v>0.05</v>
      </c>
      <c r="I1479" t="s">
        <v>19</v>
      </c>
      <c r="J1479">
        <v>2126.0239999999999</v>
      </c>
      <c r="K1479" t="s">
        <v>25</v>
      </c>
      <c r="L1479" t="s">
        <v>29</v>
      </c>
      <c r="M1479">
        <v>0</v>
      </c>
      <c r="N1479" t="s">
        <v>1552</v>
      </c>
      <c r="O1479" t="s">
        <v>3048</v>
      </c>
      <c r="P1479">
        <v>33.1</v>
      </c>
      <c r="Q1479">
        <f t="shared" si="23"/>
        <v>265.75299999999999</v>
      </c>
      <c r="R1479">
        <v>2092.924</v>
      </c>
      <c r="S1479" s="2">
        <v>45351</v>
      </c>
      <c r="T1479" s="2">
        <v>45358</v>
      </c>
      <c r="U1479" t="s">
        <v>37</v>
      </c>
      <c r="V1479">
        <v>29</v>
      </c>
      <c r="W1479">
        <v>2</v>
      </c>
      <c r="X1479" t="s">
        <v>38</v>
      </c>
      <c r="Y1479">
        <v>2024</v>
      </c>
      <c r="Z1479">
        <v>1</v>
      </c>
      <c r="AA1479">
        <v>9</v>
      </c>
    </row>
    <row r="1480" spans="1:27" x14ac:dyDescent="0.3">
      <c r="A1480" s="2">
        <v>45057</v>
      </c>
      <c r="B1480" t="s">
        <v>4</v>
      </c>
      <c r="C1480" t="s">
        <v>5</v>
      </c>
      <c r="D1480">
        <v>3</v>
      </c>
      <c r="E1480">
        <v>304.61</v>
      </c>
      <c r="F1480" t="s">
        <v>12</v>
      </c>
      <c r="G1480" t="s">
        <v>16</v>
      </c>
      <c r="H1480">
        <v>0.05</v>
      </c>
      <c r="I1480" t="s">
        <v>23</v>
      </c>
      <c r="J1480">
        <v>868.13850000000002</v>
      </c>
      <c r="K1480" t="s">
        <v>28</v>
      </c>
      <c r="L1480" t="s">
        <v>30</v>
      </c>
      <c r="M1480">
        <v>0</v>
      </c>
      <c r="N1480" t="s">
        <v>1553</v>
      </c>
      <c r="O1480" t="s">
        <v>3049</v>
      </c>
      <c r="P1480">
        <v>47.14</v>
      </c>
      <c r="Q1480">
        <f t="shared" si="23"/>
        <v>289.37950000000001</v>
      </c>
      <c r="R1480">
        <v>820.99850000000004</v>
      </c>
      <c r="S1480" s="2">
        <v>45057</v>
      </c>
      <c r="T1480" s="2">
        <v>45061</v>
      </c>
      <c r="U1480" t="s">
        <v>37</v>
      </c>
      <c r="V1480">
        <v>11</v>
      </c>
      <c r="W1480">
        <v>5</v>
      </c>
      <c r="X1480" t="s">
        <v>40</v>
      </c>
      <c r="Y1480">
        <v>2023</v>
      </c>
      <c r="Z1480">
        <v>2</v>
      </c>
      <c r="AA1480">
        <v>19</v>
      </c>
    </row>
    <row r="1481" spans="1:27" x14ac:dyDescent="0.3">
      <c r="A1481" s="2">
        <v>45546</v>
      </c>
      <c r="B1481" t="s">
        <v>1</v>
      </c>
      <c r="C1481" t="s">
        <v>10</v>
      </c>
      <c r="D1481">
        <v>9</v>
      </c>
      <c r="E1481">
        <v>238.32</v>
      </c>
      <c r="F1481" t="s">
        <v>14</v>
      </c>
      <c r="G1481" t="s">
        <v>17</v>
      </c>
      <c r="H1481">
        <v>0</v>
      </c>
      <c r="I1481" t="s">
        <v>22</v>
      </c>
      <c r="J1481">
        <v>2144.88</v>
      </c>
      <c r="K1481" t="s">
        <v>28</v>
      </c>
      <c r="L1481" t="s">
        <v>31</v>
      </c>
      <c r="M1481">
        <v>1</v>
      </c>
      <c r="N1481" t="s">
        <v>1554</v>
      </c>
      <c r="O1481" t="s">
        <v>3050</v>
      </c>
      <c r="P1481">
        <v>8.5</v>
      </c>
      <c r="Q1481">
        <f t="shared" si="23"/>
        <v>238.32000000000002</v>
      </c>
      <c r="R1481">
        <v>2136.38</v>
      </c>
      <c r="S1481" s="2">
        <v>45546</v>
      </c>
      <c r="T1481" s="2">
        <v>45555</v>
      </c>
      <c r="U1481" t="s">
        <v>34</v>
      </c>
      <c r="V1481">
        <v>11</v>
      </c>
      <c r="W1481">
        <v>9</v>
      </c>
      <c r="X1481" t="s">
        <v>49</v>
      </c>
      <c r="Y1481">
        <v>2024</v>
      </c>
      <c r="Z1481">
        <v>3</v>
      </c>
      <c r="AA1481">
        <v>37</v>
      </c>
    </row>
    <row r="1482" spans="1:27" x14ac:dyDescent="0.3">
      <c r="A1482" s="2">
        <v>45520</v>
      </c>
      <c r="B1482" t="s">
        <v>4</v>
      </c>
      <c r="C1482" t="s">
        <v>11</v>
      </c>
      <c r="D1482">
        <v>16</v>
      </c>
      <c r="E1482">
        <v>483.37</v>
      </c>
      <c r="F1482" t="s">
        <v>12</v>
      </c>
      <c r="G1482" t="s">
        <v>17</v>
      </c>
      <c r="H1482">
        <v>0.1</v>
      </c>
      <c r="I1482" t="s">
        <v>19</v>
      </c>
      <c r="J1482">
        <v>6960.5280000000002</v>
      </c>
      <c r="K1482" t="s">
        <v>27</v>
      </c>
      <c r="L1482" t="s">
        <v>32</v>
      </c>
      <c r="M1482">
        <v>0</v>
      </c>
      <c r="N1482" t="s">
        <v>1555</v>
      </c>
      <c r="O1482" t="s">
        <v>3051</v>
      </c>
      <c r="P1482">
        <v>42.52</v>
      </c>
      <c r="Q1482">
        <f t="shared" si="23"/>
        <v>435.03300000000002</v>
      </c>
      <c r="R1482">
        <v>6918.0079999999998</v>
      </c>
      <c r="S1482" s="2">
        <v>45520</v>
      </c>
      <c r="T1482" s="2">
        <v>45526</v>
      </c>
      <c r="U1482" t="s">
        <v>37</v>
      </c>
      <c r="V1482">
        <v>16</v>
      </c>
      <c r="W1482">
        <v>8</v>
      </c>
      <c r="X1482" t="s">
        <v>48</v>
      </c>
      <c r="Y1482">
        <v>2024</v>
      </c>
      <c r="Z1482">
        <v>3</v>
      </c>
      <c r="AA1482">
        <v>33</v>
      </c>
    </row>
    <row r="1483" spans="1:27" x14ac:dyDescent="0.3">
      <c r="A1483" s="2">
        <v>45807</v>
      </c>
      <c r="B1483" t="s">
        <v>2</v>
      </c>
      <c r="C1483" t="s">
        <v>9</v>
      </c>
      <c r="D1483">
        <v>6</v>
      </c>
      <c r="E1483">
        <v>159.53</v>
      </c>
      <c r="F1483" t="s">
        <v>13</v>
      </c>
      <c r="G1483" t="s">
        <v>17</v>
      </c>
      <c r="H1483">
        <v>0.05</v>
      </c>
      <c r="I1483" t="s">
        <v>23</v>
      </c>
      <c r="J1483">
        <v>909.32100000000003</v>
      </c>
      <c r="K1483" t="s">
        <v>25</v>
      </c>
      <c r="L1483" t="s">
        <v>32</v>
      </c>
      <c r="M1483">
        <v>0</v>
      </c>
      <c r="N1483" t="s">
        <v>1556</v>
      </c>
      <c r="O1483" t="s">
        <v>3052</v>
      </c>
      <c r="P1483">
        <v>48.6</v>
      </c>
      <c r="Q1483">
        <f t="shared" si="23"/>
        <v>151.55350000000001</v>
      </c>
      <c r="R1483">
        <v>860.721</v>
      </c>
      <c r="S1483" s="2">
        <v>45807</v>
      </c>
      <c r="T1483" s="2">
        <v>45815</v>
      </c>
      <c r="U1483" t="s">
        <v>35</v>
      </c>
      <c r="V1483">
        <v>30</v>
      </c>
      <c r="W1483">
        <v>5</v>
      </c>
      <c r="X1483" t="s">
        <v>40</v>
      </c>
      <c r="Y1483">
        <v>2025</v>
      </c>
      <c r="Z1483">
        <v>2</v>
      </c>
      <c r="AA1483">
        <v>22</v>
      </c>
    </row>
    <row r="1484" spans="1:27" x14ac:dyDescent="0.3">
      <c r="A1484" s="2">
        <v>45160</v>
      </c>
      <c r="B1484" t="s">
        <v>0</v>
      </c>
      <c r="C1484" t="s">
        <v>7</v>
      </c>
      <c r="D1484">
        <v>19</v>
      </c>
      <c r="E1484">
        <v>280.60000000000002</v>
      </c>
      <c r="F1484" t="s">
        <v>13</v>
      </c>
      <c r="G1484" t="s">
        <v>16</v>
      </c>
      <c r="H1484">
        <v>0.1</v>
      </c>
      <c r="I1484" t="s">
        <v>20</v>
      </c>
      <c r="J1484">
        <v>4798.26</v>
      </c>
      <c r="K1484" t="s">
        <v>25</v>
      </c>
      <c r="L1484" t="s">
        <v>29</v>
      </c>
      <c r="M1484">
        <v>0</v>
      </c>
      <c r="N1484" t="s">
        <v>1557</v>
      </c>
      <c r="O1484" t="s">
        <v>3053</v>
      </c>
      <c r="P1484">
        <v>35.94</v>
      </c>
      <c r="Q1484">
        <f t="shared" si="23"/>
        <v>252.54000000000002</v>
      </c>
      <c r="R1484">
        <v>4762.3200000000006</v>
      </c>
      <c r="S1484" s="2">
        <v>45160</v>
      </c>
      <c r="T1484" s="2">
        <v>45166</v>
      </c>
      <c r="U1484" t="s">
        <v>33</v>
      </c>
      <c r="V1484">
        <v>22</v>
      </c>
      <c r="W1484">
        <v>8</v>
      </c>
      <c r="X1484" t="s">
        <v>48</v>
      </c>
      <c r="Y1484">
        <v>2023</v>
      </c>
      <c r="Z1484">
        <v>3</v>
      </c>
      <c r="AA1484">
        <v>34</v>
      </c>
    </row>
    <row r="1485" spans="1:27" x14ac:dyDescent="0.3">
      <c r="A1485" s="2">
        <v>45314</v>
      </c>
      <c r="B1485" t="s">
        <v>0</v>
      </c>
      <c r="C1485" t="s">
        <v>10</v>
      </c>
      <c r="D1485">
        <v>2</v>
      </c>
      <c r="E1485">
        <v>389.98</v>
      </c>
      <c r="F1485" t="s">
        <v>15</v>
      </c>
      <c r="G1485" t="s">
        <v>16</v>
      </c>
      <c r="H1485">
        <v>0.05</v>
      </c>
      <c r="I1485" t="s">
        <v>21</v>
      </c>
      <c r="J1485">
        <v>740.96199999999999</v>
      </c>
      <c r="K1485" t="s">
        <v>27</v>
      </c>
      <c r="L1485" t="s">
        <v>30</v>
      </c>
      <c r="M1485">
        <v>1</v>
      </c>
      <c r="N1485" t="s">
        <v>1558</v>
      </c>
      <c r="O1485" t="s">
        <v>3054</v>
      </c>
      <c r="P1485">
        <v>24.55</v>
      </c>
      <c r="Q1485">
        <f t="shared" si="23"/>
        <v>370.48099999999999</v>
      </c>
      <c r="R1485">
        <v>716.41200000000003</v>
      </c>
      <c r="S1485" s="2">
        <v>45314</v>
      </c>
      <c r="T1485" s="2">
        <v>45316</v>
      </c>
      <c r="U1485" t="s">
        <v>33</v>
      </c>
      <c r="V1485">
        <v>23</v>
      </c>
      <c r="W1485">
        <v>1</v>
      </c>
      <c r="X1485" t="s">
        <v>42</v>
      </c>
      <c r="Y1485">
        <v>2024</v>
      </c>
      <c r="Z1485">
        <v>1</v>
      </c>
      <c r="AA1485">
        <v>4</v>
      </c>
    </row>
    <row r="1486" spans="1:27" x14ac:dyDescent="0.3">
      <c r="A1486" s="2">
        <v>45001</v>
      </c>
      <c r="B1486" t="s">
        <v>2</v>
      </c>
      <c r="C1486" t="s">
        <v>9</v>
      </c>
      <c r="D1486">
        <v>17</v>
      </c>
      <c r="E1486">
        <v>485.3</v>
      </c>
      <c r="F1486" t="s">
        <v>15</v>
      </c>
      <c r="G1486" t="s">
        <v>17</v>
      </c>
      <c r="H1486">
        <v>0.15</v>
      </c>
      <c r="I1486" t="s">
        <v>22</v>
      </c>
      <c r="J1486">
        <v>7012.585</v>
      </c>
      <c r="K1486" t="s">
        <v>28</v>
      </c>
      <c r="L1486" t="s">
        <v>31</v>
      </c>
      <c r="M1486">
        <v>0</v>
      </c>
      <c r="N1486" t="s">
        <v>1559</v>
      </c>
      <c r="O1486" t="s">
        <v>3055</v>
      </c>
      <c r="P1486">
        <v>37.94</v>
      </c>
      <c r="Q1486">
        <f t="shared" si="23"/>
        <v>412.505</v>
      </c>
      <c r="R1486">
        <v>6974.6450000000004</v>
      </c>
      <c r="S1486" s="2">
        <v>45001</v>
      </c>
      <c r="T1486" s="2">
        <v>45008</v>
      </c>
      <c r="U1486" t="s">
        <v>35</v>
      </c>
      <c r="V1486">
        <v>16</v>
      </c>
      <c r="W1486">
        <v>3</v>
      </c>
      <c r="X1486" t="s">
        <v>44</v>
      </c>
      <c r="Y1486">
        <v>2023</v>
      </c>
      <c r="Z1486">
        <v>1</v>
      </c>
      <c r="AA1486">
        <v>11</v>
      </c>
    </row>
    <row r="1487" spans="1:27" x14ac:dyDescent="0.3">
      <c r="A1487" s="2">
        <v>45793</v>
      </c>
      <c r="B1487" t="s">
        <v>1</v>
      </c>
      <c r="C1487" t="s">
        <v>5</v>
      </c>
      <c r="D1487">
        <v>4</v>
      </c>
      <c r="E1487">
        <v>472.24</v>
      </c>
      <c r="F1487" t="s">
        <v>15</v>
      </c>
      <c r="G1487" t="s">
        <v>17</v>
      </c>
      <c r="H1487">
        <v>0</v>
      </c>
      <c r="I1487" t="s">
        <v>19</v>
      </c>
      <c r="J1487">
        <v>1888.96</v>
      </c>
      <c r="K1487" t="s">
        <v>25</v>
      </c>
      <c r="L1487" t="s">
        <v>29</v>
      </c>
      <c r="M1487">
        <v>1</v>
      </c>
      <c r="N1487" t="s">
        <v>1560</v>
      </c>
      <c r="O1487" t="s">
        <v>3056</v>
      </c>
      <c r="P1487">
        <v>6.78</v>
      </c>
      <c r="Q1487">
        <f t="shared" si="23"/>
        <v>472.24</v>
      </c>
      <c r="R1487">
        <v>1882.18</v>
      </c>
      <c r="S1487" s="2">
        <v>45793</v>
      </c>
      <c r="T1487" s="2">
        <v>45798</v>
      </c>
      <c r="U1487" t="s">
        <v>34</v>
      </c>
      <c r="V1487">
        <v>16</v>
      </c>
      <c r="W1487">
        <v>5</v>
      </c>
      <c r="X1487" t="s">
        <v>40</v>
      </c>
      <c r="Y1487">
        <v>2025</v>
      </c>
      <c r="Z1487">
        <v>2</v>
      </c>
      <c r="AA1487">
        <v>20</v>
      </c>
    </row>
    <row r="1488" spans="1:27" x14ac:dyDescent="0.3">
      <c r="A1488" s="2">
        <v>45069</v>
      </c>
      <c r="B1488" t="s">
        <v>0</v>
      </c>
      <c r="C1488" t="s">
        <v>9</v>
      </c>
      <c r="D1488">
        <v>8</v>
      </c>
      <c r="E1488">
        <v>143.53</v>
      </c>
      <c r="F1488" t="s">
        <v>15</v>
      </c>
      <c r="G1488" t="s">
        <v>16</v>
      </c>
      <c r="H1488">
        <v>0</v>
      </c>
      <c r="I1488" t="s">
        <v>19</v>
      </c>
      <c r="J1488">
        <v>1148.24</v>
      </c>
      <c r="K1488" t="s">
        <v>28</v>
      </c>
      <c r="L1488" t="s">
        <v>31</v>
      </c>
      <c r="M1488">
        <v>0</v>
      </c>
      <c r="N1488" t="s">
        <v>1561</v>
      </c>
      <c r="O1488" t="s">
        <v>3057</v>
      </c>
      <c r="P1488">
        <v>9.1</v>
      </c>
      <c r="Q1488">
        <f t="shared" si="23"/>
        <v>143.53</v>
      </c>
      <c r="R1488">
        <v>1139.1400000000001</v>
      </c>
      <c r="S1488" s="2">
        <v>45069</v>
      </c>
      <c r="T1488" s="2">
        <v>45075</v>
      </c>
      <c r="U1488" t="s">
        <v>33</v>
      </c>
      <c r="V1488">
        <v>23</v>
      </c>
      <c r="W1488">
        <v>5</v>
      </c>
      <c r="X1488" t="s">
        <v>40</v>
      </c>
      <c r="Y1488">
        <v>2023</v>
      </c>
      <c r="Z1488">
        <v>2</v>
      </c>
      <c r="AA1488">
        <v>21</v>
      </c>
    </row>
    <row r="1489" spans="1:27" x14ac:dyDescent="0.3">
      <c r="A1489" s="2">
        <v>45459</v>
      </c>
      <c r="B1489" t="s">
        <v>2</v>
      </c>
      <c r="C1489" t="s">
        <v>8</v>
      </c>
      <c r="D1489">
        <v>5</v>
      </c>
      <c r="E1489">
        <v>159.91999999999999</v>
      </c>
      <c r="F1489" t="s">
        <v>12</v>
      </c>
      <c r="G1489" t="s">
        <v>16</v>
      </c>
      <c r="H1489">
        <v>0</v>
      </c>
      <c r="I1489" t="s">
        <v>21</v>
      </c>
      <c r="J1489">
        <v>799.59999999999991</v>
      </c>
      <c r="K1489" t="s">
        <v>28</v>
      </c>
      <c r="L1489" t="s">
        <v>30</v>
      </c>
      <c r="M1489">
        <v>0</v>
      </c>
      <c r="N1489" t="s">
        <v>1562</v>
      </c>
      <c r="O1489" t="s">
        <v>3058</v>
      </c>
      <c r="P1489">
        <v>10.86</v>
      </c>
      <c r="Q1489">
        <f t="shared" si="23"/>
        <v>159.91999999999999</v>
      </c>
      <c r="R1489">
        <v>788.7399999999999</v>
      </c>
      <c r="S1489" s="2">
        <v>45459</v>
      </c>
      <c r="T1489" s="2">
        <v>45466</v>
      </c>
      <c r="U1489" t="s">
        <v>35</v>
      </c>
      <c r="V1489">
        <v>16</v>
      </c>
      <c r="W1489">
        <v>6</v>
      </c>
      <c r="X1489" t="s">
        <v>41</v>
      </c>
      <c r="Y1489">
        <v>2024</v>
      </c>
      <c r="Z1489">
        <v>2</v>
      </c>
      <c r="AA1489">
        <v>24</v>
      </c>
    </row>
    <row r="1490" spans="1:27" x14ac:dyDescent="0.3">
      <c r="A1490" s="2">
        <v>45685</v>
      </c>
      <c r="B1490" t="s">
        <v>3</v>
      </c>
      <c r="C1490" t="s">
        <v>9</v>
      </c>
      <c r="D1490">
        <v>13</v>
      </c>
      <c r="E1490">
        <v>447.34</v>
      </c>
      <c r="F1490" t="s">
        <v>13</v>
      </c>
      <c r="G1490" t="s">
        <v>16</v>
      </c>
      <c r="H1490">
        <v>0.05</v>
      </c>
      <c r="I1490" t="s">
        <v>20</v>
      </c>
      <c r="J1490">
        <v>5524.6489999999994</v>
      </c>
      <c r="K1490" t="s">
        <v>28</v>
      </c>
      <c r="L1490" t="s">
        <v>30</v>
      </c>
      <c r="M1490">
        <v>0</v>
      </c>
      <c r="N1490" t="s">
        <v>1563</v>
      </c>
      <c r="O1490" t="s">
        <v>3059</v>
      </c>
      <c r="P1490">
        <v>38.93</v>
      </c>
      <c r="Q1490">
        <f t="shared" si="23"/>
        <v>424.97299999999996</v>
      </c>
      <c r="R1490">
        <v>5485.7189999999991</v>
      </c>
      <c r="S1490" s="2">
        <v>45685</v>
      </c>
      <c r="T1490" s="2">
        <v>45692</v>
      </c>
      <c r="U1490" t="s">
        <v>36</v>
      </c>
      <c r="V1490">
        <v>28</v>
      </c>
      <c r="W1490">
        <v>1</v>
      </c>
      <c r="X1490" t="s">
        <v>42</v>
      </c>
      <c r="Y1490">
        <v>2025</v>
      </c>
      <c r="Z1490">
        <v>1</v>
      </c>
      <c r="AA1490">
        <v>5</v>
      </c>
    </row>
    <row r="1491" spans="1:27" x14ac:dyDescent="0.3">
      <c r="A1491" s="2">
        <v>45623</v>
      </c>
      <c r="B1491" t="s">
        <v>1</v>
      </c>
      <c r="C1491" t="s">
        <v>6</v>
      </c>
      <c r="D1491">
        <v>13</v>
      </c>
      <c r="E1491">
        <v>196.8</v>
      </c>
      <c r="F1491" t="s">
        <v>12</v>
      </c>
      <c r="G1491" t="s">
        <v>17</v>
      </c>
      <c r="H1491">
        <v>0.1</v>
      </c>
      <c r="I1491" t="s">
        <v>22</v>
      </c>
      <c r="J1491">
        <v>2302.56</v>
      </c>
      <c r="K1491" t="s">
        <v>28</v>
      </c>
      <c r="L1491" t="s">
        <v>32</v>
      </c>
      <c r="M1491">
        <v>0</v>
      </c>
      <c r="N1491" t="s">
        <v>1564</v>
      </c>
      <c r="O1491" t="s">
        <v>3060</v>
      </c>
      <c r="P1491">
        <v>10.119999999999999</v>
      </c>
      <c r="Q1491">
        <f t="shared" si="23"/>
        <v>177.12</v>
      </c>
      <c r="R1491">
        <v>2292.44</v>
      </c>
      <c r="S1491" s="2">
        <v>45623</v>
      </c>
      <c r="T1491" s="2">
        <v>45633</v>
      </c>
      <c r="U1491" t="s">
        <v>34</v>
      </c>
      <c r="V1491">
        <v>27</v>
      </c>
      <c r="W1491">
        <v>11</v>
      </c>
      <c r="X1491" t="s">
        <v>47</v>
      </c>
      <c r="Y1491">
        <v>2024</v>
      </c>
      <c r="Z1491">
        <v>4</v>
      </c>
      <c r="AA1491">
        <v>48</v>
      </c>
    </row>
    <row r="1492" spans="1:27" x14ac:dyDescent="0.3">
      <c r="A1492" s="2">
        <v>45208</v>
      </c>
      <c r="B1492" t="s">
        <v>3</v>
      </c>
      <c r="C1492" t="s">
        <v>8</v>
      </c>
      <c r="D1492">
        <v>3</v>
      </c>
      <c r="E1492">
        <v>485.81</v>
      </c>
      <c r="F1492" t="s">
        <v>13</v>
      </c>
      <c r="G1492" t="s">
        <v>16</v>
      </c>
      <c r="H1492">
        <v>0.1</v>
      </c>
      <c r="I1492" t="s">
        <v>18</v>
      </c>
      <c r="J1492">
        <v>1311.6869999999999</v>
      </c>
      <c r="K1492" t="s">
        <v>27</v>
      </c>
      <c r="L1492" t="s">
        <v>30</v>
      </c>
      <c r="M1492">
        <v>0</v>
      </c>
      <c r="N1492" t="s">
        <v>1565</v>
      </c>
      <c r="O1492" t="s">
        <v>3061</v>
      </c>
      <c r="P1492">
        <v>19.46</v>
      </c>
      <c r="Q1492">
        <f t="shared" si="23"/>
        <v>437.22899999999998</v>
      </c>
      <c r="R1492">
        <v>1292.2269999999999</v>
      </c>
      <c r="S1492" s="2">
        <v>45208</v>
      </c>
      <c r="T1492" s="2">
        <v>45210</v>
      </c>
      <c r="U1492" t="s">
        <v>36</v>
      </c>
      <c r="V1492">
        <v>9</v>
      </c>
      <c r="W1492">
        <v>10</v>
      </c>
      <c r="X1492" t="s">
        <v>43</v>
      </c>
      <c r="Y1492">
        <v>2023</v>
      </c>
      <c r="Z1492">
        <v>4</v>
      </c>
      <c r="AA1492">
        <v>41</v>
      </c>
    </row>
    <row r="1493" spans="1:27" x14ac:dyDescent="0.3">
      <c r="A1493" s="2">
        <v>45494</v>
      </c>
      <c r="B1493" t="s">
        <v>4</v>
      </c>
      <c r="C1493" t="s">
        <v>6</v>
      </c>
      <c r="D1493">
        <v>16</v>
      </c>
      <c r="E1493">
        <v>183.62</v>
      </c>
      <c r="F1493" t="s">
        <v>13</v>
      </c>
      <c r="G1493" t="s">
        <v>16</v>
      </c>
      <c r="H1493">
        <v>0.05</v>
      </c>
      <c r="I1493" t="s">
        <v>23</v>
      </c>
      <c r="J1493">
        <v>2791.0239999999999</v>
      </c>
      <c r="K1493" t="s">
        <v>25</v>
      </c>
      <c r="L1493" t="s">
        <v>31</v>
      </c>
      <c r="M1493">
        <v>0</v>
      </c>
      <c r="N1493" t="s">
        <v>1566</v>
      </c>
      <c r="O1493" t="s">
        <v>3062</v>
      </c>
      <c r="P1493">
        <v>6.56</v>
      </c>
      <c r="Q1493">
        <f t="shared" si="23"/>
        <v>174.43899999999999</v>
      </c>
      <c r="R1493">
        <v>2784.4639999999999</v>
      </c>
      <c r="S1493" s="2">
        <v>45494</v>
      </c>
      <c r="T1493" s="2">
        <v>45504</v>
      </c>
      <c r="U1493" t="s">
        <v>37</v>
      </c>
      <c r="V1493">
        <v>21</v>
      </c>
      <c r="W1493">
        <v>7</v>
      </c>
      <c r="X1493" t="s">
        <v>46</v>
      </c>
      <c r="Y1493">
        <v>2024</v>
      </c>
      <c r="Z1493">
        <v>3</v>
      </c>
      <c r="AA1493">
        <v>29</v>
      </c>
    </row>
    <row r="1494" spans="1:27" x14ac:dyDescent="0.3">
      <c r="A1494" s="2">
        <v>45476</v>
      </c>
      <c r="B1494" t="s">
        <v>0</v>
      </c>
      <c r="C1494" t="s">
        <v>9</v>
      </c>
      <c r="D1494">
        <v>2</v>
      </c>
      <c r="E1494">
        <v>373.07</v>
      </c>
      <c r="F1494" t="s">
        <v>13</v>
      </c>
      <c r="G1494" t="s">
        <v>17</v>
      </c>
      <c r="H1494">
        <v>0.05</v>
      </c>
      <c r="I1494" t="s">
        <v>22</v>
      </c>
      <c r="J1494">
        <v>708.83299999999997</v>
      </c>
      <c r="K1494" t="s">
        <v>26</v>
      </c>
      <c r="L1494" t="s">
        <v>29</v>
      </c>
      <c r="M1494">
        <v>0</v>
      </c>
      <c r="N1494" t="s">
        <v>1567</v>
      </c>
      <c r="O1494" t="s">
        <v>3063</v>
      </c>
      <c r="P1494">
        <v>26.9</v>
      </c>
      <c r="Q1494">
        <f t="shared" si="23"/>
        <v>354.41649999999998</v>
      </c>
      <c r="R1494">
        <v>681.93299999999999</v>
      </c>
      <c r="S1494" s="2">
        <v>45476</v>
      </c>
      <c r="T1494" s="2">
        <v>45480</v>
      </c>
      <c r="U1494" t="s">
        <v>33</v>
      </c>
      <c r="V1494">
        <v>3</v>
      </c>
      <c r="W1494">
        <v>7</v>
      </c>
      <c r="X1494" t="s">
        <v>46</v>
      </c>
      <c r="Y1494">
        <v>2024</v>
      </c>
      <c r="Z1494">
        <v>3</v>
      </c>
      <c r="AA1494">
        <v>27</v>
      </c>
    </row>
    <row r="1495" spans="1:27" x14ac:dyDescent="0.3">
      <c r="A1495" s="2">
        <v>45559</v>
      </c>
      <c r="B1495" t="s">
        <v>4</v>
      </c>
      <c r="C1495" t="s">
        <v>9</v>
      </c>
      <c r="D1495">
        <v>17</v>
      </c>
      <c r="E1495">
        <v>527.67999999999995</v>
      </c>
      <c r="F1495" t="s">
        <v>12</v>
      </c>
      <c r="G1495" t="s">
        <v>16</v>
      </c>
      <c r="H1495">
        <v>0</v>
      </c>
      <c r="I1495" t="s">
        <v>22</v>
      </c>
      <c r="J1495">
        <v>8970.56</v>
      </c>
      <c r="K1495" t="s">
        <v>25</v>
      </c>
      <c r="L1495" t="s">
        <v>29</v>
      </c>
      <c r="M1495">
        <v>0</v>
      </c>
      <c r="N1495" t="s">
        <v>1568</v>
      </c>
      <c r="O1495" t="s">
        <v>3064</v>
      </c>
      <c r="P1495">
        <v>29.19</v>
      </c>
      <c r="Q1495">
        <f t="shared" si="23"/>
        <v>527.67999999999995</v>
      </c>
      <c r="R1495">
        <v>8941.369999999999</v>
      </c>
      <c r="S1495" s="2">
        <v>45559</v>
      </c>
      <c r="T1495" s="2">
        <v>45567</v>
      </c>
      <c r="U1495" t="s">
        <v>37</v>
      </c>
      <c r="V1495">
        <v>24</v>
      </c>
      <c r="W1495">
        <v>9</v>
      </c>
      <c r="X1495" t="s">
        <v>49</v>
      </c>
      <c r="Y1495">
        <v>2024</v>
      </c>
      <c r="Z1495">
        <v>3</v>
      </c>
      <c r="AA1495">
        <v>39</v>
      </c>
    </row>
    <row r="1496" spans="1:27" x14ac:dyDescent="0.3">
      <c r="A1496" s="2">
        <v>45671</v>
      </c>
      <c r="B1496" t="s">
        <v>0</v>
      </c>
      <c r="C1496" t="s">
        <v>10</v>
      </c>
      <c r="D1496">
        <v>5</v>
      </c>
      <c r="E1496">
        <v>201.29</v>
      </c>
      <c r="F1496" t="s">
        <v>15</v>
      </c>
      <c r="G1496" t="s">
        <v>16</v>
      </c>
      <c r="H1496">
        <v>0</v>
      </c>
      <c r="I1496" t="s">
        <v>21</v>
      </c>
      <c r="J1496">
        <v>1006.45</v>
      </c>
      <c r="K1496" t="s">
        <v>24</v>
      </c>
      <c r="L1496" t="s">
        <v>29</v>
      </c>
      <c r="M1496">
        <v>0</v>
      </c>
      <c r="N1496" t="s">
        <v>1569</v>
      </c>
      <c r="O1496" t="s">
        <v>3065</v>
      </c>
      <c r="P1496">
        <v>49.13</v>
      </c>
      <c r="Q1496">
        <f t="shared" si="23"/>
        <v>201.29000000000002</v>
      </c>
      <c r="R1496">
        <v>957.32</v>
      </c>
      <c r="S1496" s="2">
        <v>45671</v>
      </c>
      <c r="T1496" s="2">
        <v>45678</v>
      </c>
      <c r="U1496" t="s">
        <v>33</v>
      </c>
      <c r="V1496">
        <v>14</v>
      </c>
      <c r="W1496">
        <v>1</v>
      </c>
      <c r="X1496" t="s">
        <v>42</v>
      </c>
      <c r="Y1496">
        <v>2025</v>
      </c>
      <c r="Z1496">
        <v>1</v>
      </c>
      <c r="AA1496">
        <v>3</v>
      </c>
    </row>
    <row r="1497" spans="1:27" x14ac:dyDescent="0.3">
      <c r="A1497" s="2">
        <v>45705</v>
      </c>
      <c r="B1497" t="s">
        <v>4</v>
      </c>
      <c r="C1497" t="s">
        <v>7</v>
      </c>
      <c r="D1497">
        <v>13</v>
      </c>
      <c r="E1497">
        <v>134.56</v>
      </c>
      <c r="F1497" t="s">
        <v>15</v>
      </c>
      <c r="G1497" t="s">
        <v>17</v>
      </c>
      <c r="H1497">
        <v>0.05</v>
      </c>
      <c r="I1497" t="s">
        <v>21</v>
      </c>
      <c r="J1497">
        <v>1661.816</v>
      </c>
      <c r="K1497" t="s">
        <v>26</v>
      </c>
      <c r="L1497" t="s">
        <v>31</v>
      </c>
      <c r="M1497">
        <v>0</v>
      </c>
      <c r="N1497" t="s">
        <v>1570</v>
      </c>
      <c r="O1497" t="s">
        <v>3066</v>
      </c>
      <c r="P1497">
        <v>35.630000000000003</v>
      </c>
      <c r="Q1497">
        <f t="shared" si="23"/>
        <v>127.83200000000001</v>
      </c>
      <c r="R1497">
        <v>1626.1859999999999</v>
      </c>
      <c r="S1497" s="2">
        <v>45705</v>
      </c>
      <c r="T1497" s="2">
        <v>45710</v>
      </c>
      <c r="U1497" t="s">
        <v>37</v>
      </c>
      <c r="V1497">
        <v>17</v>
      </c>
      <c r="W1497">
        <v>2</v>
      </c>
      <c r="X1497" t="s">
        <v>38</v>
      </c>
      <c r="Y1497">
        <v>2025</v>
      </c>
      <c r="Z1497">
        <v>1</v>
      </c>
      <c r="AA1497">
        <v>8</v>
      </c>
    </row>
    <row r="1498" spans="1:27" x14ac:dyDescent="0.3">
      <c r="A1498" s="2">
        <v>45302</v>
      </c>
      <c r="B1498" t="s">
        <v>1</v>
      </c>
      <c r="C1498" t="s">
        <v>8</v>
      </c>
      <c r="D1498">
        <v>18</v>
      </c>
      <c r="E1498">
        <v>209.75</v>
      </c>
      <c r="F1498" t="s">
        <v>14</v>
      </c>
      <c r="G1498" t="s">
        <v>16</v>
      </c>
      <c r="H1498">
        <v>0.15</v>
      </c>
      <c r="I1498" t="s">
        <v>20</v>
      </c>
      <c r="J1498">
        <v>3209.1750000000002</v>
      </c>
      <c r="K1498" t="s">
        <v>27</v>
      </c>
      <c r="L1498" t="s">
        <v>29</v>
      </c>
      <c r="M1498">
        <v>0</v>
      </c>
      <c r="N1498" t="s">
        <v>1571</v>
      </c>
      <c r="O1498" t="s">
        <v>3067</v>
      </c>
      <c r="P1498">
        <v>45.93</v>
      </c>
      <c r="Q1498">
        <f t="shared" si="23"/>
        <v>178.28750000000002</v>
      </c>
      <c r="R1498">
        <v>3163.2450000000003</v>
      </c>
      <c r="S1498" s="2">
        <v>45302</v>
      </c>
      <c r="T1498" s="2">
        <v>45308</v>
      </c>
      <c r="U1498" t="s">
        <v>34</v>
      </c>
      <c r="V1498">
        <v>11</v>
      </c>
      <c r="W1498">
        <v>1</v>
      </c>
      <c r="X1498" t="s">
        <v>42</v>
      </c>
      <c r="Y1498">
        <v>2024</v>
      </c>
      <c r="Z1498">
        <v>1</v>
      </c>
      <c r="AA1498">
        <v>2</v>
      </c>
    </row>
    <row r="1499" spans="1:27" x14ac:dyDescent="0.3">
      <c r="A1499" s="2">
        <v>45500</v>
      </c>
      <c r="B1499" t="s">
        <v>0</v>
      </c>
      <c r="C1499" t="s">
        <v>7</v>
      </c>
      <c r="D1499">
        <v>1</v>
      </c>
      <c r="E1499">
        <v>272.5</v>
      </c>
      <c r="F1499" t="s">
        <v>13</v>
      </c>
      <c r="G1499" t="s">
        <v>16</v>
      </c>
      <c r="H1499">
        <v>0</v>
      </c>
      <c r="I1499" t="s">
        <v>18</v>
      </c>
      <c r="J1499">
        <v>272.5</v>
      </c>
      <c r="K1499" t="s">
        <v>25</v>
      </c>
      <c r="L1499" t="s">
        <v>31</v>
      </c>
      <c r="M1499">
        <v>0</v>
      </c>
      <c r="N1499" t="s">
        <v>1572</v>
      </c>
      <c r="O1499" t="s">
        <v>3068</v>
      </c>
      <c r="P1499">
        <v>35.56</v>
      </c>
      <c r="Q1499">
        <f t="shared" si="23"/>
        <v>272.5</v>
      </c>
      <c r="R1499">
        <v>236.94</v>
      </c>
      <c r="S1499" s="2">
        <v>45500</v>
      </c>
      <c r="T1499" s="2">
        <v>45507</v>
      </c>
      <c r="U1499" t="s">
        <v>33</v>
      </c>
      <c r="V1499">
        <v>27</v>
      </c>
      <c r="W1499">
        <v>7</v>
      </c>
      <c r="X1499" t="s">
        <v>46</v>
      </c>
      <c r="Y1499">
        <v>2024</v>
      </c>
      <c r="Z1499">
        <v>3</v>
      </c>
      <c r="AA1499">
        <v>30</v>
      </c>
    </row>
    <row r="1500" spans="1:27" x14ac:dyDescent="0.3">
      <c r="A1500" s="2">
        <v>45629</v>
      </c>
      <c r="B1500" t="s">
        <v>3</v>
      </c>
      <c r="C1500" t="s">
        <v>9</v>
      </c>
      <c r="D1500">
        <v>14</v>
      </c>
      <c r="E1500">
        <v>262.67</v>
      </c>
      <c r="F1500" t="s">
        <v>13</v>
      </c>
      <c r="G1500" t="s">
        <v>17</v>
      </c>
      <c r="H1500">
        <v>0.05</v>
      </c>
      <c r="I1500" t="s">
        <v>21</v>
      </c>
      <c r="J1500">
        <v>3493.511</v>
      </c>
      <c r="K1500" t="s">
        <v>25</v>
      </c>
      <c r="L1500" t="s">
        <v>30</v>
      </c>
      <c r="M1500">
        <v>0</v>
      </c>
      <c r="N1500" t="s">
        <v>1573</v>
      </c>
      <c r="O1500" t="s">
        <v>3069</v>
      </c>
      <c r="P1500">
        <v>24.53</v>
      </c>
      <c r="Q1500">
        <f t="shared" si="23"/>
        <v>249.53649999999999</v>
      </c>
      <c r="R1500">
        <v>3468.9809999999998</v>
      </c>
      <c r="S1500" s="2">
        <v>45629</v>
      </c>
      <c r="T1500" s="2">
        <v>45636</v>
      </c>
      <c r="U1500" t="s">
        <v>36</v>
      </c>
      <c r="V1500">
        <v>3</v>
      </c>
      <c r="W1500">
        <v>12</v>
      </c>
      <c r="X1500" t="s">
        <v>39</v>
      </c>
      <c r="Y1500">
        <v>2024</v>
      </c>
      <c r="Z1500">
        <v>4</v>
      </c>
      <c r="AA1500">
        <v>49</v>
      </c>
    </row>
    <row r="1501" spans="1:27" x14ac:dyDescent="0.3">
      <c r="A1501" s="2">
        <v>45786</v>
      </c>
      <c r="B1501" t="s">
        <v>4</v>
      </c>
      <c r="C1501" t="s">
        <v>8</v>
      </c>
      <c r="D1501">
        <v>13</v>
      </c>
      <c r="E1501">
        <v>221.39</v>
      </c>
      <c r="F1501" t="s">
        <v>15</v>
      </c>
      <c r="G1501" t="s">
        <v>16</v>
      </c>
      <c r="H1501">
        <v>0</v>
      </c>
      <c r="I1501" t="s">
        <v>20</v>
      </c>
      <c r="J1501">
        <v>2878.07</v>
      </c>
      <c r="K1501" t="s">
        <v>27</v>
      </c>
      <c r="L1501" t="s">
        <v>29</v>
      </c>
      <c r="M1501">
        <v>1</v>
      </c>
      <c r="N1501" t="s">
        <v>1574</v>
      </c>
      <c r="O1501" t="s">
        <v>3070</v>
      </c>
      <c r="P1501">
        <v>21.05</v>
      </c>
      <c r="Q1501">
        <f t="shared" si="23"/>
        <v>221.39000000000001</v>
      </c>
      <c r="R1501">
        <v>2857.02</v>
      </c>
      <c r="S1501" s="2">
        <v>45786</v>
      </c>
      <c r="T1501" s="2">
        <v>45790</v>
      </c>
      <c r="U1501" t="s">
        <v>37</v>
      </c>
      <c r="V1501">
        <v>9</v>
      </c>
      <c r="W1501">
        <v>5</v>
      </c>
      <c r="X1501" t="s">
        <v>40</v>
      </c>
      <c r="Y1501">
        <v>2025</v>
      </c>
      <c r="Z1501">
        <v>2</v>
      </c>
      <c r="AA1501">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8987-AAB5-4502-A793-D6270B3BC040}">
  <dimension ref="A3:I14"/>
  <sheetViews>
    <sheetView workbookViewId="0">
      <selection activeCell="F4" sqref="F4"/>
    </sheetView>
  </sheetViews>
  <sheetFormatPr defaultRowHeight="14.4" x14ac:dyDescent="0.3"/>
  <cols>
    <col min="1" max="1" width="17.33203125" bestFit="1" customWidth="1"/>
    <col min="2" max="2" width="16.21875" bestFit="1" customWidth="1"/>
    <col min="3" max="3" width="17.77734375" bestFit="1" customWidth="1"/>
    <col min="4" max="4" width="16.5546875" bestFit="1" customWidth="1"/>
    <col min="5" max="5" width="26.5546875" bestFit="1" customWidth="1"/>
    <col min="6" max="6" width="16.21875" bestFit="1" customWidth="1"/>
    <col min="8" max="8" width="9.88671875" bestFit="1" customWidth="1"/>
    <col min="9" max="9" width="10" bestFit="1" customWidth="1"/>
  </cols>
  <sheetData>
    <row r="3" spans="1:9" x14ac:dyDescent="0.3">
      <c r="A3" s="6" t="s">
        <v>3079</v>
      </c>
      <c r="B3" s="6" t="s">
        <v>3076</v>
      </c>
      <c r="C3" s="6" t="s">
        <v>3075</v>
      </c>
      <c r="D3" s="6" t="s">
        <v>3078</v>
      </c>
      <c r="F3" s="6" t="s">
        <v>3085</v>
      </c>
      <c r="G3" s="6" t="s">
        <v>3086</v>
      </c>
      <c r="H3" s="6" t="s">
        <v>3087</v>
      </c>
      <c r="I3" s="6" t="s">
        <v>3088</v>
      </c>
    </row>
    <row r="4" spans="1:9" x14ac:dyDescent="0.3">
      <c r="A4" s="8">
        <v>1500</v>
      </c>
      <c r="B4" s="8">
        <v>15616</v>
      </c>
      <c r="C4" s="9">
        <v>4379992.4284999985</v>
      </c>
      <c r="D4" s="9">
        <v>448240.4199999994</v>
      </c>
      <c r="F4" s="10" t="str">
        <f>TEXT(A4,"#,##")</f>
        <v>1,500</v>
      </c>
      <c r="G4" s="10" t="str">
        <f t="shared" ref="G4:I4" si="0">TEXT(B4,"#,##")</f>
        <v>15,616</v>
      </c>
      <c r="H4" s="10" t="str">
        <f>TEXT(C4,"$#,##")</f>
        <v>$4,379,992</v>
      </c>
      <c r="I4" s="10" t="str">
        <f>TEXT(D4,"$#,##")</f>
        <v>$448,240</v>
      </c>
    </row>
    <row r="10" spans="1:9" x14ac:dyDescent="0.3">
      <c r="B10" t="s">
        <v>3080</v>
      </c>
    </row>
    <row r="11" spans="1:9" x14ac:dyDescent="0.3">
      <c r="B11" t="s">
        <v>3081</v>
      </c>
    </row>
    <row r="12" spans="1:9" x14ac:dyDescent="0.3">
      <c r="B12" t="s">
        <v>3082</v>
      </c>
    </row>
    <row r="13" spans="1:9" x14ac:dyDescent="0.3">
      <c r="B13" t="s">
        <v>3083</v>
      </c>
    </row>
    <row r="14" spans="1:9" x14ac:dyDescent="0.3">
      <c r="B14" t="s">
        <v>3084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A9AF-63B9-4C29-84F2-2DC5BFB9D8B4}">
  <dimension ref="A3:C9"/>
  <sheetViews>
    <sheetView topLeftCell="A2" workbookViewId="0">
      <selection activeCell="A4" sqref="A4:A8"/>
    </sheetView>
  </sheetViews>
  <sheetFormatPr defaultRowHeight="14.4" x14ac:dyDescent="0.3"/>
  <cols>
    <col min="1" max="1" width="12.5546875" bestFit="1" customWidth="1"/>
    <col min="2" max="2" width="16.33203125" bestFit="1" customWidth="1"/>
    <col min="3" max="4" width="20" bestFit="1" customWidth="1"/>
    <col min="5" max="6" width="12" bestFit="1" customWidth="1"/>
    <col min="7" max="7" width="20" bestFit="1" customWidth="1"/>
    <col min="8" max="8" width="16.33203125" bestFit="1" customWidth="1"/>
    <col min="9" max="9" width="20" bestFit="1" customWidth="1"/>
    <col min="10" max="10" width="21.109375" bestFit="1" customWidth="1"/>
    <col min="11" max="11" width="24.77734375" bestFit="1" customWidth="1"/>
    <col min="12" max="12" width="14.88671875" bestFit="1" customWidth="1"/>
    <col min="13" max="13" width="20" bestFit="1" customWidth="1"/>
    <col min="14" max="14" width="21.109375" bestFit="1" customWidth="1"/>
    <col min="15" max="15" width="19.6640625" bestFit="1" customWidth="1"/>
    <col min="16" max="16" width="24.77734375" bestFit="1" customWidth="1"/>
    <col min="17" max="17" width="20" bestFit="1" customWidth="1"/>
    <col min="18" max="18" width="21.109375" bestFit="1" customWidth="1"/>
    <col min="19" max="19" width="19.6640625" bestFit="1" customWidth="1"/>
    <col min="20" max="20" width="30" bestFit="1" customWidth="1"/>
    <col min="21" max="21" width="24.77734375" bestFit="1" customWidth="1"/>
  </cols>
  <sheetData>
    <row r="3" spans="1:3" x14ac:dyDescent="0.3">
      <c r="A3" s="4" t="s">
        <v>3073</v>
      </c>
      <c r="B3" t="s">
        <v>3075</v>
      </c>
      <c r="C3" t="s">
        <v>3077</v>
      </c>
    </row>
    <row r="4" spans="1:3" x14ac:dyDescent="0.3">
      <c r="A4" s="5" t="s">
        <v>3</v>
      </c>
      <c r="B4" s="6">
        <v>847153.68450000032</v>
      </c>
      <c r="C4" s="6">
        <v>838759.12449999957</v>
      </c>
    </row>
    <row r="5" spans="1:3" x14ac:dyDescent="0.3">
      <c r="A5" s="5" t="s">
        <v>0</v>
      </c>
      <c r="B5" s="6">
        <v>883633.71800000116</v>
      </c>
      <c r="C5" s="6">
        <v>874838.40799999924</v>
      </c>
    </row>
    <row r="6" spans="1:3" x14ac:dyDescent="0.3">
      <c r="A6" s="5" t="s">
        <v>2</v>
      </c>
      <c r="B6" s="6">
        <v>967957.98000000068</v>
      </c>
      <c r="C6" s="6">
        <v>959954.97999999975</v>
      </c>
    </row>
    <row r="7" spans="1:3" x14ac:dyDescent="0.3">
      <c r="A7" s="5" t="s">
        <v>1</v>
      </c>
      <c r="B7" s="6">
        <v>827768.18699999992</v>
      </c>
      <c r="C7" s="6">
        <v>819376.65700000047</v>
      </c>
    </row>
    <row r="8" spans="1:3" x14ac:dyDescent="0.3">
      <c r="A8" s="5" t="s">
        <v>4</v>
      </c>
      <c r="B8" s="6">
        <v>853478.85900000017</v>
      </c>
      <c r="C8" s="6">
        <v>845802.3189999992</v>
      </c>
    </row>
    <row r="9" spans="1:3" x14ac:dyDescent="0.3">
      <c r="A9" s="5" t="s">
        <v>3074</v>
      </c>
      <c r="B9" s="6">
        <v>4379992.4285000023</v>
      </c>
      <c r="C9" s="6">
        <v>4338731.4884999981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3E87-F0DC-4ADA-97A6-BF24CA617B91}">
  <dimension ref="A3:B11"/>
  <sheetViews>
    <sheetView workbookViewId="0">
      <selection activeCell="H9" sqref="H9"/>
    </sheetView>
  </sheetViews>
  <sheetFormatPr defaultRowHeight="14.4" x14ac:dyDescent="0.3"/>
  <cols>
    <col min="1" max="1" width="12.5546875" bestFit="1" customWidth="1"/>
    <col min="2" max="2" width="16.33203125" bestFit="1" customWidth="1"/>
    <col min="3" max="7" width="12" bestFit="1" customWidth="1"/>
  </cols>
  <sheetData>
    <row r="3" spans="1:2" x14ac:dyDescent="0.3">
      <c r="A3" s="4" t="s">
        <v>3073</v>
      </c>
      <c r="B3" t="s">
        <v>3075</v>
      </c>
    </row>
    <row r="4" spans="1:2" x14ac:dyDescent="0.3">
      <c r="A4" s="5" t="s">
        <v>8</v>
      </c>
      <c r="B4" s="6">
        <v>622589.47800000012</v>
      </c>
    </row>
    <row r="5" spans="1:2" x14ac:dyDescent="0.3">
      <c r="A5" s="5" t="s">
        <v>7</v>
      </c>
      <c r="B5" s="6">
        <v>555266.6645000003</v>
      </c>
    </row>
    <row r="6" spans="1:2" x14ac:dyDescent="0.3">
      <c r="A6" s="5" t="s">
        <v>5</v>
      </c>
      <c r="B6" s="6">
        <v>684417.24150000012</v>
      </c>
    </row>
    <row r="7" spans="1:2" x14ac:dyDescent="0.3">
      <c r="A7" s="5" t="s">
        <v>9</v>
      </c>
      <c r="B7" s="6">
        <v>651629.39249999973</v>
      </c>
    </row>
    <row r="8" spans="1:2" x14ac:dyDescent="0.3">
      <c r="A8" s="5" t="s">
        <v>6</v>
      </c>
      <c r="B8" s="6">
        <v>497162.85099999979</v>
      </c>
    </row>
    <row r="9" spans="1:2" x14ac:dyDescent="0.3">
      <c r="A9" s="5" t="s">
        <v>11</v>
      </c>
      <c r="B9" s="6">
        <v>684387.4155000007</v>
      </c>
    </row>
    <row r="10" spans="1:2" x14ac:dyDescent="0.3">
      <c r="A10" s="5" t="s">
        <v>10</v>
      </c>
      <c r="B10" s="6">
        <v>684539.38550000067</v>
      </c>
    </row>
    <row r="11" spans="1:2" x14ac:dyDescent="0.3">
      <c r="A11" s="5" t="s">
        <v>3074</v>
      </c>
      <c r="B11" s="6">
        <v>4379992.4285000013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3E77-7002-4C0E-82AB-E9735CE6D1CD}">
  <dimension ref="A3:B10"/>
  <sheetViews>
    <sheetView topLeftCell="A3" workbookViewId="0">
      <selection activeCell="A3" sqref="A3"/>
    </sheetView>
  </sheetViews>
  <sheetFormatPr defaultRowHeight="14.4" x14ac:dyDescent="0.3"/>
  <cols>
    <col min="1" max="1" width="12.5546875" bestFit="1" customWidth="1"/>
    <col min="2" max="2" width="16.33203125" bestFit="1" customWidth="1"/>
  </cols>
  <sheetData>
    <row r="3" spans="1:2" x14ac:dyDescent="0.3">
      <c r="A3" s="4" t="s">
        <v>3073</v>
      </c>
      <c r="B3" t="s">
        <v>3075</v>
      </c>
    </row>
    <row r="4" spans="1:2" x14ac:dyDescent="0.3">
      <c r="A4" s="5" t="s">
        <v>19</v>
      </c>
      <c r="B4" s="6">
        <v>786165.8400000002</v>
      </c>
    </row>
    <row r="5" spans="1:2" x14ac:dyDescent="0.3">
      <c r="A5" s="5" t="s">
        <v>23</v>
      </c>
      <c r="B5" s="6">
        <v>796780.52149999957</v>
      </c>
    </row>
    <row r="6" spans="1:2" x14ac:dyDescent="0.3">
      <c r="A6" s="5" t="s">
        <v>21</v>
      </c>
      <c r="B6" s="6">
        <v>707166.71600000071</v>
      </c>
    </row>
    <row r="7" spans="1:2" x14ac:dyDescent="0.3">
      <c r="A7" s="5" t="s">
        <v>22</v>
      </c>
      <c r="B7" s="6">
        <v>676568.2495000005</v>
      </c>
    </row>
    <row r="8" spans="1:2" x14ac:dyDescent="0.3">
      <c r="A8" s="5" t="s">
        <v>18</v>
      </c>
      <c r="B8" s="6">
        <v>698669.57950000011</v>
      </c>
    </row>
    <row r="9" spans="1:2" x14ac:dyDescent="0.3">
      <c r="A9" s="5" t="s">
        <v>20</v>
      </c>
      <c r="B9" s="6">
        <v>714641.52200000035</v>
      </c>
    </row>
    <row r="10" spans="1:2" x14ac:dyDescent="0.3">
      <c r="A10" s="5" t="s">
        <v>3074</v>
      </c>
      <c r="B10" s="6">
        <v>4379992.4285000013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81D6-6621-4AD7-9FE3-BB417C22DC5B}">
  <dimension ref="A3:B16"/>
  <sheetViews>
    <sheetView topLeftCell="B1" workbookViewId="0">
      <selection activeCell="Q4" sqref="Q4"/>
    </sheetView>
  </sheetViews>
  <sheetFormatPr defaultRowHeight="14.4" x14ac:dyDescent="0.3"/>
  <cols>
    <col min="1" max="1" width="12.5546875" bestFit="1" customWidth="1"/>
    <col min="2" max="2" width="16.33203125" bestFit="1" customWidth="1"/>
  </cols>
  <sheetData>
    <row r="3" spans="1:2" x14ac:dyDescent="0.3">
      <c r="A3" s="4" t="s">
        <v>3073</v>
      </c>
      <c r="B3" t="s">
        <v>3075</v>
      </c>
    </row>
    <row r="4" spans="1:2" x14ac:dyDescent="0.3">
      <c r="A4" s="5" t="s">
        <v>42</v>
      </c>
      <c r="B4" s="6">
        <v>498358.50149999995</v>
      </c>
    </row>
    <row r="5" spans="1:2" x14ac:dyDescent="0.3">
      <c r="A5" s="5" t="s">
        <v>38</v>
      </c>
      <c r="B5" s="6">
        <v>415057.81349999999</v>
      </c>
    </row>
    <row r="6" spans="1:2" x14ac:dyDescent="0.3">
      <c r="A6" s="5" t="s">
        <v>44</v>
      </c>
      <c r="B6" s="6">
        <v>532090.95349999995</v>
      </c>
    </row>
    <row r="7" spans="1:2" x14ac:dyDescent="0.3">
      <c r="A7" s="5" t="s">
        <v>45</v>
      </c>
      <c r="B7" s="6">
        <v>443318.72650000016</v>
      </c>
    </row>
    <row r="8" spans="1:2" x14ac:dyDescent="0.3">
      <c r="A8" s="5" t="s">
        <v>40</v>
      </c>
      <c r="B8" s="6">
        <v>402408.02549999999</v>
      </c>
    </row>
    <row r="9" spans="1:2" x14ac:dyDescent="0.3">
      <c r="A9" s="5" t="s">
        <v>41</v>
      </c>
      <c r="B9" s="6">
        <v>434261.66899999999</v>
      </c>
    </row>
    <row r="10" spans="1:2" x14ac:dyDescent="0.3">
      <c r="A10" s="5" t="s">
        <v>46</v>
      </c>
      <c r="B10" s="6">
        <v>280050.04749999981</v>
      </c>
    </row>
    <row r="11" spans="1:2" x14ac:dyDescent="0.3">
      <c r="A11" s="5" t="s">
        <v>48</v>
      </c>
      <c r="B11" s="6">
        <v>289639.00349999999</v>
      </c>
    </row>
    <row r="12" spans="1:2" x14ac:dyDescent="0.3">
      <c r="A12" s="5" t="s">
        <v>49</v>
      </c>
      <c r="B12" s="6">
        <v>282114.64899999998</v>
      </c>
    </row>
    <row r="13" spans="1:2" x14ac:dyDescent="0.3">
      <c r="A13" s="5" t="s">
        <v>43</v>
      </c>
      <c r="B13" s="6">
        <v>256612.897</v>
      </c>
    </row>
    <row r="14" spans="1:2" x14ac:dyDescent="0.3">
      <c r="A14" s="5" t="s">
        <v>47</v>
      </c>
      <c r="B14" s="6">
        <v>283330.62000000005</v>
      </c>
    </row>
    <row r="15" spans="1:2" x14ac:dyDescent="0.3">
      <c r="A15" s="5" t="s">
        <v>39</v>
      </c>
      <c r="B15" s="6">
        <v>262749.522</v>
      </c>
    </row>
    <row r="16" spans="1:2" x14ac:dyDescent="0.3">
      <c r="A16" s="5" t="s">
        <v>3074</v>
      </c>
      <c r="B16" s="6">
        <v>4379992.4284999995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1F47-2515-4C1A-9B6D-0AFA660265DF}">
  <dimension ref="A3:B6"/>
  <sheetViews>
    <sheetView workbookViewId="0">
      <selection activeCell="O22" sqref="O22"/>
    </sheetView>
  </sheetViews>
  <sheetFormatPr defaultRowHeight="14.4" x14ac:dyDescent="0.3"/>
  <cols>
    <col min="1" max="1" width="12.5546875" bestFit="1" customWidth="1"/>
    <col min="2" max="2" width="16.33203125" bestFit="1" customWidth="1"/>
  </cols>
  <sheetData>
    <row r="3" spans="1:2" x14ac:dyDescent="0.3">
      <c r="A3" s="4" t="s">
        <v>3073</v>
      </c>
      <c r="B3" t="s">
        <v>3075</v>
      </c>
    </row>
    <row r="4" spans="1:2" x14ac:dyDescent="0.3">
      <c r="A4" s="5" t="s">
        <v>17</v>
      </c>
      <c r="B4" s="6">
        <v>2195525.5929999994</v>
      </c>
    </row>
    <row r="5" spans="1:2" x14ac:dyDescent="0.3">
      <c r="A5" s="5" t="s">
        <v>16</v>
      </c>
      <c r="B5" s="6">
        <v>2184466.8355000019</v>
      </c>
    </row>
    <row r="6" spans="1:2" x14ac:dyDescent="0.3">
      <c r="A6" s="5" t="s">
        <v>3074</v>
      </c>
      <c r="B6" s="6">
        <v>4379992.4285000013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F86A-52D4-4B52-81F9-5955848CBBC5}">
  <dimension ref="A1:BX3"/>
  <sheetViews>
    <sheetView tabSelected="1" zoomScale="75" zoomScaleNormal="75" workbookViewId="0">
      <selection activeCell="D1" sqref="D1:AE3"/>
    </sheetView>
  </sheetViews>
  <sheetFormatPr defaultRowHeight="14.4" x14ac:dyDescent="0.3"/>
  <cols>
    <col min="1" max="3" width="9.21875" style="11" customWidth="1"/>
    <col min="4" max="76" width="8.88671875" style="7"/>
  </cols>
  <sheetData>
    <row r="1" spans="4:31" x14ac:dyDescent="0.3">
      <c r="D1" s="12" t="s">
        <v>3089</v>
      </c>
      <c r="E1" s="12"/>
      <c r="F1" s="12"/>
      <c r="G1" s="12"/>
      <c r="H1" s="12"/>
      <c r="I1" s="12"/>
      <c r="J1" s="12"/>
      <c r="K1" s="12"/>
      <c r="L1" s="12"/>
      <c r="M1" s="12"/>
      <c r="N1" s="12"/>
      <c r="O1" s="12"/>
      <c r="P1" s="12"/>
      <c r="Q1" s="12"/>
      <c r="R1" s="12"/>
      <c r="S1" s="12"/>
      <c r="T1" s="12"/>
      <c r="U1" s="12"/>
      <c r="V1" s="12"/>
      <c r="W1" s="12"/>
      <c r="X1" s="12"/>
      <c r="Y1" s="12"/>
      <c r="Z1" s="12"/>
      <c r="AA1" s="12"/>
      <c r="AB1" s="12"/>
      <c r="AC1" s="12"/>
      <c r="AD1" s="12"/>
      <c r="AE1" s="12"/>
    </row>
    <row r="2" spans="4:31" x14ac:dyDescent="0.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row>
    <row r="3" spans="4:31" x14ac:dyDescent="0.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sheetData>
  <mergeCells count="2">
    <mergeCell ref="A1:C1048576"/>
    <mergeCell ref="D1:AE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KPI</vt:lpstr>
      <vt:lpstr>Regional Performance</vt:lpstr>
      <vt:lpstr>Product Analysis</vt:lpstr>
      <vt:lpstr>Salesperson Ranking</vt:lpstr>
      <vt:lpstr>Monthly Sales Trend</vt:lpstr>
      <vt:lpstr>Customer Type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Sawant</dc:creator>
  <cp:lastModifiedBy>Rohan Sawant</cp:lastModifiedBy>
  <dcterms:created xsi:type="dcterms:W3CDTF">2026-02-20T14:37:46Z</dcterms:created>
  <dcterms:modified xsi:type="dcterms:W3CDTF">2026-02-23T07:51:59Z</dcterms:modified>
</cp:coreProperties>
</file>